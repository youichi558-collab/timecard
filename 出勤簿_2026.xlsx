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'4月'!$A$1:$K$39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00&quot;:&quot;00"/>
    <numFmt numFmtId="170" formatCode="[h]:mm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69" fontId="2" fillId="0" borderId="2" applyAlignment="1" pivotButton="0" quotePrefix="0" xfId="0">
      <alignment horizontal="center" vertical="center"/>
    </xf>
    <xf numFmtId="169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69" fontId="2" fillId="0" borderId="10" applyAlignment="1" pivotButton="0" quotePrefix="0" xfId="0">
      <alignment horizontal="center" vertical="center"/>
    </xf>
    <xf numFmtId="169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69" fontId="2" fillId="0" borderId="1" applyAlignment="1" pivotButton="0" quotePrefix="0" xfId="0">
      <alignment horizontal="center" vertical="center"/>
    </xf>
    <xf numFmtId="169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70" fontId="14" fillId="0" borderId="0" applyAlignment="1" pivotButton="0" quotePrefix="0" xfId="0">
      <alignment horizontal="center" vertical="center"/>
    </xf>
    <xf numFmtId="170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1" fillId="0" borderId="0" applyAlignment="1" pivotButton="0" quotePrefix="0" xfId="0">
      <alignment horizontal="center" vertical="center"/>
    </xf>
    <xf numFmtId="170" fontId="1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168" fontId="2" fillId="0" borderId="17" applyAlignment="1" pivotButton="0" quotePrefix="0" xfId="0">
      <alignment vertical="center"/>
    </xf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46023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str">
        <f>IF($A7="","",IFERROR(VLOOKUP($A7,祝日リスト!$A$2:$C$40,3,0),""))</f>
        <v>元日</v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46024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46025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46026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46027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46028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46029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46030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46031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46032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入社日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46033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46034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成人の日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46035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46036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46037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>
        <v>1000</v>
      </c>
      <c r="E21" s="36" t="inlineStr">
        <is>
          <t>～</t>
        </is>
      </c>
      <c r="F21" s="85" t="n">
        <v>1600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46038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46039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46040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46041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46042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>
        <v>1000</v>
      </c>
      <c r="E26" s="36" t="inlineStr">
        <is>
          <t>～</t>
        </is>
      </c>
      <c r="F26" s="85" t="n">
        <v>1600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46043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46044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>
        <v>1000</v>
      </c>
      <c r="E28" s="36" t="inlineStr">
        <is>
          <t>～</t>
        </is>
      </c>
      <c r="F28" s="85" t="n">
        <v>1600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46045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46046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46047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46048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46049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46050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46051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>
        <v>1000</v>
      </c>
      <c r="E35" s="36" t="inlineStr">
        <is>
          <t>～</t>
        </is>
      </c>
      <c r="F35" s="85" t="n">
        <v>1600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46052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>
        <v>1000</v>
      </c>
      <c r="E36" s="36" t="inlineStr">
        <is>
          <t>～</t>
        </is>
      </c>
      <c r="F36" s="85" t="n">
        <v>1600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46053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11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2.75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2.75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zoomScale="104" zoomScaleNormal="104"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60" t="inlineStr">
        <is>
          <t>　　　　　　</t>
        </is>
      </c>
      <c r="J2" s="4" t="inlineStr">
        <is>
          <t>氏名</t>
        </is>
      </c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46054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46055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>
        <v>1000</v>
      </c>
      <c r="E8" s="36" t="inlineStr">
        <is>
          <t>～</t>
        </is>
      </c>
      <c r="F8" s="85" t="n">
        <v>1600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46056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>
        <v>1000</v>
      </c>
      <c r="E9" s="36" t="inlineStr">
        <is>
          <t>～</t>
        </is>
      </c>
      <c r="F9" s="85" t="n">
        <v>1600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46057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46058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>
        <v>1000</v>
      </c>
      <c r="E11" s="36" t="inlineStr">
        <is>
          <t>～</t>
        </is>
      </c>
      <c r="F11" s="85" t="n">
        <v>1600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46059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>
        <v>1000</v>
      </c>
      <c r="E12" s="36" t="inlineStr">
        <is>
          <t>～</t>
        </is>
      </c>
      <c r="F12" s="85" t="n">
        <v>1600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46060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46061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46062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>
        <v>1000</v>
      </c>
      <c r="E15" s="36" t="inlineStr">
        <is>
          <t>～</t>
        </is>
      </c>
      <c r="F15" s="85" t="n">
        <v>1600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46063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>
        <v>1000</v>
      </c>
      <c r="E16" s="36" t="inlineStr">
        <is>
          <t>～</t>
        </is>
      </c>
      <c r="F16" s="85" t="n">
        <v>1600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46064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建国記念の日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46065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>
        <v>1000</v>
      </c>
      <c r="E18" s="36" t="inlineStr">
        <is>
          <t>～</t>
        </is>
      </c>
      <c r="F18" s="85" t="n">
        <v>1600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46066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46067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46068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46069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46070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>
        <v>1000</v>
      </c>
      <c r="E23" s="36" t="inlineStr">
        <is>
          <t>～</t>
        </is>
      </c>
      <c r="F23" s="85" t="n">
        <v>1600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46071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46072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46073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>
        <v>1000</v>
      </c>
      <c r="E26" s="36" t="inlineStr">
        <is>
          <t>～</t>
        </is>
      </c>
      <c r="F26" s="85" t="n">
        <v>1600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46074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46075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46076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 t="str">
        <f>IF($A29="","",IFERROR(VLOOKUP($A29,祝日リスト!$A$2:$C$40,3,0),""))</f>
        <v>天皇誕生日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46077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>
        <v>1000</v>
      </c>
      <c r="E30" s="36" t="inlineStr">
        <is>
          <t>～</t>
        </is>
      </c>
      <c r="F30" s="85" t="n">
        <v>1600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46078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46079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46080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46081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15.9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16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4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.3" footer="0.3"/>
  <pageSetup orientation="portrait" paperSize="9" scale="95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inlineStr">
        <is>
          <t>　　　</t>
        </is>
      </c>
      <c r="J2" s="22" t="inlineStr">
        <is>
          <t>氏名</t>
        </is>
      </c>
      <c r="K2" s="62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46082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46083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>
        <v>1600</v>
      </c>
      <c r="G8" s="86" t="n"/>
      <c r="H8" s="86" t="n"/>
      <c r="I8" s="86" t="n"/>
      <c r="J8" s="86" t="n"/>
      <c r="K8" s="16" t="inlineStr">
        <is>
          <t>要確認: 出勤「10::00」</t>
        </is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46084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>
        <v>1000</v>
      </c>
      <c r="E9" s="36" t="inlineStr">
        <is>
          <t>～</t>
        </is>
      </c>
      <c r="F9" s="85" t="n">
        <v>1600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46085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46086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>
        <v>1000</v>
      </c>
      <c r="E11" s="36" t="inlineStr">
        <is>
          <t>～</t>
        </is>
      </c>
      <c r="F11" s="85" t="n">
        <v>1600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46087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>
        <v>1000</v>
      </c>
      <c r="E12" s="36" t="inlineStr">
        <is>
          <t>～</t>
        </is>
      </c>
      <c r="F12" s="85" t="n">
        <v>1600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46088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46089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46090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>
        <v>1000</v>
      </c>
      <c r="E15" s="36" t="inlineStr">
        <is>
          <t>～</t>
        </is>
      </c>
      <c r="F15" s="85" t="n">
        <v>1600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46091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>
        <v>1000</v>
      </c>
      <c r="E16" s="36" t="inlineStr">
        <is>
          <t>～</t>
        </is>
      </c>
      <c r="F16" s="85" t="n">
        <v>1600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46092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46093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>
        <v>1000</v>
      </c>
      <c r="E18" s="36" t="inlineStr">
        <is>
          <t>～</t>
        </is>
      </c>
      <c r="F18" s="85" t="n">
        <v>1600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46094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>
        <v>1000</v>
      </c>
      <c r="E19" s="36" t="inlineStr">
        <is>
          <t>～</t>
        </is>
      </c>
      <c r="F19" s="85" t="n">
        <v>1600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46095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46096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46097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>
        <v>1000</v>
      </c>
      <c r="E22" s="36" t="inlineStr">
        <is>
          <t>～</t>
        </is>
      </c>
      <c r="F22" s="85" t="n">
        <v>1600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46098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>
        <v>1000</v>
      </c>
      <c r="E23" s="36" t="inlineStr">
        <is>
          <t>～</t>
        </is>
      </c>
      <c r="F23" s="85" t="n">
        <v>1600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46099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46100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>
        <v>1000</v>
      </c>
      <c r="E25" s="36" t="inlineStr">
        <is>
          <t>～</t>
        </is>
      </c>
      <c r="F25" s="85" t="n">
        <v>1600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46101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str">
        <f>IF($A26="","",IFERROR(VLOOKUP($A26,祝日リスト!$A$2:$C$40,3,0),""))</f>
        <v>春分の日</v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46102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46103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46104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>
        <v>1000</v>
      </c>
      <c r="E29" s="36" t="inlineStr">
        <is>
          <t>～</t>
        </is>
      </c>
      <c r="F29" s="85" t="n">
        <v>1600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46105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>
        <v>1000</v>
      </c>
      <c r="E30" s="36" t="inlineStr">
        <is>
          <t>～</t>
        </is>
      </c>
      <c r="F30" s="85" t="n">
        <v>1600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46106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46107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>
        <v>1000</v>
      </c>
      <c r="E32" s="36" t="inlineStr">
        <is>
          <t>～</t>
        </is>
      </c>
      <c r="F32" s="85" t="n">
        <v>1600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46108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>
        <v>1000</v>
      </c>
      <c r="E33" s="36" t="inlineStr">
        <is>
          <t>～</t>
        </is>
      </c>
      <c r="F33" s="85" t="n">
        <v>1600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46109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46110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46111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>
        <v>1000</v>
      </c>
      <c r="E36" s="36" t="inlineStr">
        <is>
          <t>～</t>
        </is>
      </c>
      <c r="F36" s="85" t="n">
        <v>1600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46112</v>
      </c>
      <c r="B37" s="33">
        <f>IF(A37="","","日")</f>
        <v/>
      </c>
      <c r="C37" s="34" t="str">
        <f>IF(A37="","","("&amp;CHOOSE(WEEKDAY(A37,2),"月","火","水","木","金","土","日")&amp;"）")</f>
        <v>(火）</v>
      </c>
      <c r="D37" s="88" t="n">
        <v>1000</v>
      </c>
      <c r="E37" s="37" t="inlineStr">
        <is>
          <t>～</t>
        </is>
      </c>
      <c r="F37" s="88" t="n">
        <v>1600</v>
      </c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16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</v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997"/>
  <sheetViews>
    <sheetView tabSelected="1" workbookViewId="0">
      <selection activeCell="D39" sqref="D39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63" t="inlineStr">
        <is>
          <t>氏　名</t>
        </is>
      </c>
      <c r="K2" s="61" t="inlineStr">
        <is>
          <t>盛田　裕一</t>
        </is>
      </c>
    </row>
    <row r="3" ht="16.5" customHeight="1" thickBo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20.25" customFormat="1" customHeight="1" s="49" thickBot="1" thickTop="1">
      <c r="A4" s="75" t="inlineStr">
        <is>
          <t>日付</t>
        </is>
      </c>
      <c r="B4" s="76" t="n"/>
      <c r="C4" s="77" t="n"/>
      <c r="D4" s="78" t="inlineStr">
        <is>
          <t>勤務時間</t>
        </is>
      </c>
      <c r="E4" s="79" t="n"/>
      <c r="F4" s="80" t="n"/>
      <c r="G4" s="12" t="inlineStr">
        <is>
          <t>通常残業</t>
        </is>
      </c>
      <c r="H4" s="12" t="inlineStr">
        <is>
          <t>深夜残業</t>
        </is>
      </c>
      <c r="I4" s="12" t="inlineStr">
        <is>
          <t>早朝残業</t>
        </is>
      </c>
      <c r="J4" s="13" t="inlineStr">
        <is>
          <t>遅刻・早退</t>
        </is>
      </c>
      <c r="K4" s="14" t="inlineStr">
        <is>
          <t>理由</t>
        </is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  <c r="AA4" s="26" t="n"/>
    </row>
    <row r="5" ht="20.25" customFormat="1" customHeight="1" s="28" thickTop="1">
      <c r="A5" s="81">
        <f>DATE($A$2,$C$2,1)</f>
        <v>46113</v>
      </c>
      <c r="B5" s="30">
        <f>IF(A5="","","日")</f>
        <v/>
      </c>
      <c r="C5" s="31" t="str">
        <f>IF(A5="","","("&amp;CHOOSE(WEEKDAY(A5,2),"月","火","水","木","金","土","日")&amp;"）")</f>
        <v>(水）</v>
      </c>
      <c r="D5" s="82" t="n"/>
      <c r="E5" s="69" t="inlineStr">
        <is>
          <t>～</t>
        </is>
      </c>
      <c r="F5" s="82" t="n"/>
      <c r="G5" s="83" t="n"/>
      <c r="H5" s="83" t="n"/>
      <c r="I5" s="83" t="n"/>
      <c r="J5" s="83" t="n"/>
      <c r="K5" s="16">
        <f>IF($A5="","",IFERROR(VLOOKUP($A5,祝日リスト!$A$2:$C$40,3,0),""))</f>
        <v/>
      </c>
      <c r="N5">
        <f>IF(NOT(ISNUMBER($D5)),"",IF($D5&lt;1,$D5,(INT($D5/100)*60+MOD($D5,100))/1440))</f>
        <v/>
      </c>
      <c r="O5">
        <f>IF(NOT(ISNUMBER($F5)),"",IF($F5&lt;1,$F5,(INT($F5/100)*60+MOD($F5,100))/1440))</f>
        <v/>
      </c>
      <c r="P5">
        <f>IF(NOT(ISNUMBER($G5)),"",IF($G5&lt;1,$G5,(INT($G5/100)*60+MOD($G5,100))/1440))</f>
        <v/>
      </c>
      <c r="Q5">
        <f>IF(NOT(ISNUMBER($H5)),"",IF($H5&lt;1,$H5,(INT($H5/100)*60+MOD($H5,100))/1440))</f>
        <v/>
      </c>
      <c r="R5">
        <f>IF(NOT(ISNUMBER($I5)),"",IF($I5&lt;1,$I5,(INT($I5/100)*60+MOD($I5,100))/1440))</f>
        <v/>
      </c>
      <c r="S5">
        <f>IF(NOT(ISNUMBER($J5)),"",IF($J5&lt;1,$J5,(INT($J5/100)*60+MOD($J5,100))/1440))</f>
        <v/>
      </c>
      <c r="T5">
        <f>IF(OR($N5="",$O5=""),"",MOD($O5-$N5,1))</f>
        <v/>
      </c>
      <c r="U5">
        <f>IF($A5="","",IF($K5&lt;&gt;"","祝",IF(WEEKDAY($A5,2)=6,"土",IF(WEEKDAY($A5,2)=7,"日","平"))))</f>
        <v/>
      </c>
    </row>
    <row r="6" ht="20.25" customFormat="1" customHeight="1" s="28">
      <c r="A6" s="84">
        <f>IF(A5="","",IF(MONTH(A5+1)=$C$2,A5+1,""))</f>
        <v>46114</v>
      </c>
      <c r="B6" s="32">
        <f>IF(A6="","","日")</f>
        <v/>
      </c>
      <c r="C6" s="31" t="str">
        <f>IF(A6="","","("&amp;CHOOSE(WEEKDAY(A6,2),"月","火","水","木","金","土","日")&amp;"）")</f>
        <v>(木）</v>
      </c>
      <c r="D6" s="85" t="n"/>
      <c r="E6" s="36" t="inlineStr">
        <is>
          <t>～</t>
        </is>
      </c>
      <c r="F6" s="85" t="n"/>
      <c r="G6" s="86" t="n"/>
      <c r="H6" s="86" t="n"/>
      <c r="I6" s="86" t="n"/>
      <c r="J6" s="86" t="n"/>
      <c r="K6" s="16">
        <f>IF($A6="","",IFERROR(VLOOKUP($A6,祝日リスト!$A$2:$C$40,3,0),""))</f>
        <v/>
      </c>
      <c r="N6">
        <f>IF(NOT(ISNUMBER($D6)),"",IF($D6&lt;1,$D6,(INT($D6/100)*60+MOD($D6,100))/1440))</f>
        <v/>
      </c>
      <c r="O6" s="35">
        <f>IF(NOT(ISNUMBER($F6)),"",IF($F6&lt;1,$F6,(INT($F6/100)*60+MOD($F6,100))/1440))</f>
        <v/>
      </c>
      <c r="P6">
        <f>IF(NOT(ISNUMBER($G6)),"",IF($G6&lt;1,$G6,(INT($G6/100)*60+MOD($G6,100))/1440))</f>
        <v/>
      </c>
      <c r="Q6">
        <f>IF(NOT(ISNUMBER($H6)),"",IF($H6&lt;1,$H6,(INT($H6/100)*60+MOD($H6,100))/1440))</f>
        <v/>
      </c>
      <c r="R6">
        <f>IF(NOT(ISNUMBER($I6)),"",IF($I6&lt;1,$I6,(INT($I6/100)*60+MOD($I6,100))/1440))</f>
        <v/>
      </c>
      <c r="S6">
        <f>IF(NOT(ISNUMBER($J6)),"",IF($J6&lt;1,$J6,(INT($J6/100)*60+MOD($J6,100))/1440))</f>
        <v/>
      </c>
      <c r="T6">
        <f>IF(OR($N6="",$O6=""),"",MOD($O6-$N6,1))</f>
        <v/>
      </c>
      <c r="U6">
        <f>IF($A6="","",IF($K6&lt;&gt;"","祝",IF(WEEKDAY($A6,2)=6,"土",IF(WEEKDAY($A6,2)=7,"日","平"))))</f>
        <v/>
      </c>
    </row>
    <row r="7" ht="20.25" customFormat="1" customHeight="1" s="28">
      <c r="A7" s="84">
        <f>IF(A6="","",IF(MONTH(A6+1)=$C$2,A6+1,""))</f>
        <v>46115</v>
      </c>
      <c r="B7" s="32">
        <f>IF(A7="","","日")</f>
        <v/>
      </c>
      <c r="C7" s="31" t="str">
        <f>IF(A7="","","("&amp;CHOOSE(WEEKDAY(A7,2),"月","火","水","木","金","土","日")&amp;"）")</f>
        <v>(金）</v>
      </c>
      <c r="D7" s="85" t="n"/>
      <c r="E7" s="36" t="inlineStr">
        <is>
          <t>～</t>
        </is>
      </c>
      <c r="F7" s="85" t="n"/>
      <c r="G7" s="86" t="n"/>
      <c r="H7" s="86" t="n"/>
      <c r="I7" s="86" t="n"/>
      <c r="J7" s="86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 s="35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46116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46117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46118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46119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46120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46121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46122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46123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46124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46125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46126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46127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 t="inlineStr">
        <is>
          <t>入社日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46128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>
        <v>900</v>
      </c>
      <c r="E20" s="36" t="inlineStr">
        <is>
          <t>～</t>
        </is>
      </c>
      <c r="F20" s="85" t="n">
        <v>1500</v>
      </c>
      <c r="G20" s="86" t="n"/>
      <c r="H20" s="86" t="n"/>
      <c r="I20" s="86" t="n"/>
      <c r="J20" s="86" t="n"/>
      <c r="K20" s="16">
        <f>IF($A20="","",IFERROR(VLOOKUP($A20,祝日リスト!$A$2:$C$40,3,0),""))</f>
        <v/>
      </c>
      <c r="L20" s="4" t="n"/>
      <c r="M20" s="4" t="n"/>
      <c r="N20" s="4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 s="4">
        <f>IF(NOT(ISNUMBER($G20)),"",IF($G20&lt;1,$G20,(INT($G20/100)*60+MOD($G20,100))/1440))</f>
        <v/>
      </c>
      <c r="Q20" s="4">
        <f>IF(NOT(ISNUMBER($H20)),"",IF($H20&lt;1,$H20,(INT($H20/100)*60+MOD($H20,100))/1440))</f>
        <v/>
      </c>
      <c r="R20" s="4">
        <f>IF(NOT(ISNUMBER($I20)),"",IF($I20&lt;1,$I20,(INT($I20/100)*60+MOD($I20,100))/1440))</f>
        <v/>
      </c>
      <c r="S20" s="4">
        <f>IF(NOT(ISNUMBER($J20)),"",IF($J20&lt;1,$J20,(INT($J20/100)*60+MOD($J20,100))/1440))</f>
        <v/>
      </c>
      <c r="T20" s="4">
        <f>IF(OR($N20="",$O20=""),"",MOD($O20-$N20,1))</f>
        <v/>
      </c>
      <c r="U20" s="4">
        <f>IF($A20="","",IF($K20&lt;&gt;"","祝",IF(WEEKDAY($A20,2)=6,"土",IF(WEEKDAY($A20,2)=7,"日","平"))))</f>
        <v/>
      </c>
      <c r="V20" s="4" t="n"/>
      <c r="W20" s="4" t="n"/>
      <c r="X20" s="4" t="n"/>
      <c r="Y20" s="4" t="n"/>
      <c r="Z20" s="4" t="n"/>
      <c r="AA20" s="4" t="n"/>
    </row>
    <row r="21" ht="20.25" customFormat="1" customHeight="1" s="28">
      <c r="A21" s="84">
        <f>IF(A20="","",IF(MONTH(A20+1)=$C$2,A20+1,""))</f>
        <v>46129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46130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N22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>
        <f>IF(NOT(ISNUMBER($G22)),"",IF($G22&lt;1,$G22,(INT($G22/100)*60+MOD($G22,100))/1440))</f>
        <v/>
      </c>
      <c r="Q22">
        <f>IF(NOT(ISNUMBER($H22)),"",IF($H22&lt;1,$H22,(INT($H22/100)*60+MOD($H22,100))/1440))</f>
        <v/>
      </c>
      <c r="R22">
        <f>IF(NOT(ISNUMBER($I22)),"",IF($I22&lt;1,$I22,(INT($I22/100)*60+MOD($I22,100))/1440))</f>
        <v/>
      </c>
      <c r="S22">
        <f>IF(NOT(ISNUMBER($J22)),"",IF($J22&lt;1,$J22,(INT($J22/100)*60+MOD($J22,100))/1440))</f>
        <v/>
      </c>
      <c r="T22">
        <f>IF(OR($N22="",$O22=""),"",MOD($O22-$N22,1))</f>
        <v/>
      </c>
      <c r="U22">
        <f>IF($A22="","",IF($K22&lt;&gt;"","祝",IF(WEEKDAY($A22,2)=6,"土",IF(WEEKDAY($A22,2)=7,"日","平"))))</f>
        <v/>
      </c>
    </row>
    <row r="23" ht="20.25" customFormat="1" customHeight="1" s="28">
      <c r="A23" s="84">
        <f>IF(A22="","",IF(MONTH(A22+1)=$C$2,A22+1,""))</f>
        <v>46131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46132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L24" s="4" t="n"/>
      <c r="M24" s="4" t="n"/>
      <c r="N24" s="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 s="4">
        <f>IF(NOT(ISNUMBER($G24)),"",IF($G24&lt;1,$G24,(INT($G24/100)*60+MOD($G24,100))/1440))</f>
        <v/>
      </c>
      <c r="Q24" s="4">
        <f>IF(NOT(ISNUMBER($H24)),"",IF($H24&lt;1,$H24,(INT($H24/100)*60+MOD($H24,100))/1440))</f>
        <v/>
      </c>
      <c r="R24" s="4">
        <f>IF(NOT(ISNUMBER($I24)),"",IF($I24&lt;1,$I24,(INT($I24/100)*60+MOD($I24,100))/1440))</f>
        <v/>
      </c>
      <c r="S24" s="4">
        <f>IF(NOT(ISNUMBER($J24)),"",IF($J24&lt;1,$J24,(INT($J24/100)*60+MOD($J24,100))/1440))</f>
        <v/>
      </c>
      <c r="T24" s="4">
        <f>IF(OR($N24="",$O24=""),"",MOD($O24-$N24,1))</f>
        <v/>
      </c>
      <c r="U24" s="4">
        <f>IF($A24="","",IF($K24&lt;&gt;"","祝",IF(WEEKDAY($A24,2)=6,"土",IF(WEEKDAY($A24,2)=7,"日","平"))))</f>
        <v/>
      </c>
      <c r="V24" s="4" t="n"/>
      <c r="W24" s="4" t="n"/>
      <c r="X24" s="4" t="n"/>
      <c r="Y24" s="4" t="n"/>
      <c r="Z24" s="4" t="n"/>
      <c r="AA24" s="4" t="n"/>
    </row>
    <row r="25" ht="20.25" customFormat="1" customHeight="1" s="28">
      <c r="A25" s="84">
        <f>IF(A24="","",IF(MONTH(A24+1)=$C$2,A24+1,""))</f>
        <v>46133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46134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N26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>
        <f>IF(NOT(ISNUMBER($G26)),"",IF($G26&lt;1,$G26,(INT($G26/100)*60+MOD($G26,100))/1440))</f>
        <v/>
      </c>
      <c r="Q26">
        <f>IF(NOT(ISNUMBER($H26)),"",IF($H26&lt;1,$H26,(INT($H26/100)*60+MOD($H26,100))/1440))</f>
        <v/>
      </c>
      <c r="R26">
        <f>IF(NOT(ISNUMBER($I26)),"",IF($I26&lt;1,$I26,(INT($I26/100)*60+MOD($I26,100))/1440))</f>
        <v/>
      </c>
      <c r="S26">
        <f>IF(NOT(ISNUMBER($J26)),"",IF($J26&lt;1,$J26,(INT($J26/100)*60+MOD($J26,100))/1440))</f>
        <v/>
      </c>
      <c r="T26">
        <f>IF(OR($N26="",$O26=""),"",MOD($O26-$N26,1))</f>
        <v/>
      </c>
      <c r="U26">
        <f>IF($A26="","",IF($K26&lt;&gt;"","祝",IF(WEEKDAY($A26,2)=6,"土",IF(WEEKDAY($A26,2)=7,"日","平"))))</f>
        <v/>
      </c>
    </row>
    <row r="27" ht="20.25" customFormat="1" customHeight="1" s="28">
      <c r="A27" s="84">
        <f>IF(A26="","",IF(MONTH(A26+1)=$C$2,A26+1,""))</f>
        <v>46135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46136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46137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46138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46139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46140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46141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str">
        <f>IF($A33="","",IFERROR(VLOOKUP($A33,祝日リスト!$A$2:$C$40,3,0),""))</f>
        <v>昭和の日</v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46142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 thickBot="1">
      <c r="A35" s="87">
        <f>IF(A34="","",IF(MONTH(A34+1)=$C$2,A34+1,""))</f>
        <v/>
      </c>
      <c r="B35" s="33">
        <f>IF(A35="","","日")</f>
        <v/>
      </c>
      <c r="C35" s="34">
        <f>IF(A35="","","("&amp;CHOOSE(WEEKDAY(A35,2),"月","火","水","木","金","土","日")&amp;"）")</f>
        <v/>
      </c>
      <c r="D35" s="88" t="n"/>
      <c r="E35" s="37" t="inlineStr">
        <is>
          <t>～</t>
        </is>
      </c>
      <c r="F35" s="88" t="n"/>
      <c r="G35" s="89" t="n"/>
      <c r="H35" s="89" t="n"/>
      <c r="I35" s="89" t="n"/>
      <c r="J35" s="89" t="n"/>
      <c r="K35" s="58">
        <f>IF($A35="","",IFERROR(VLOOKUP($A35,祝日リスト!$A$2:$C$40,3,0),""))</f>
        <v/>
      </c>
      <c r="N35">
        <f>IF(NOT(ISNUMBER($D35)),"",IF($D35&lt;1,$D35,(INT($D35/100)*60+MOD($D35,100))/1440))</f>
        <v/>
      </c>
      <c r="O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1" customFormat="1" customHeight="1" s="28" thickTop="1">
      <c r="A36" s="91" t="n"/>
      <c r="B36" s="24" t="n"/>
      <c r="C36" s="25" t="inlineStr">
        <is>
          <t>出勤日数</t>
        </is>
      </c>
      <c r="D36" s="92">
        <f>COUNT($N$5:$N$35)</f>
        <v>10</v>
      </c>
      <c r="E36" s="26" t="n"/>
      <c r="F36" s="24" t="inlineStr">
        <is>
          <t>日</t>
        </is>
      </c>
      <c r="G36" s="27" t="n"/>
      <c r="H36" s="27" t="n"/>
      <c r="I36" s="27" t="n"/>
      <c r="J36" s="27" t="n"/>
      <c r="K36" s="22" t="n"/>
      <c r="L36" s="4" t="n"/>
    </row>
    <row r="37" ht="21" customFormat="1" customHeight="1" s="28">
      <c r="A37" s="91" t="n"/>
      <c r="B37" s="24" t="n"/>
      <c r="C37" s="25" t="inlineStr">
        <is>
          <t>普通出勤時間</t>
        </is>
      </c>
      <c r="D37" s="93">
        <f>SUM($T$5:$T$35)-SUMIF($U$5:$U$35,"土",$T$5:$T$35)</f>
        <v>2.5</v>
      </c>
      <c r="E37" s="26" t="n"/>
      <c r="F37" s="24" t="inlineStr">
        <is>
          <t>時間</t>
        </is>
      </c>
      <c r="G37" s="27" t="n"/>
      <c r="H37" s="27" t="n"/>
      <c r="I37" s="27" t="n"/>
      <c r="J37" s="27" t="n"/>
      <c r="K37" s="22" t="n"/>
      <c r="L37" s="4" t="n"/>
    </row>
    <row r="38" ht="21" customFormat="1" customHeight="1" s="28">
      <c r="A38" s="91" t="n"/>
      <c r="B38" s="24" t="n"/>
      <c r="C38" s="25" t="inlineStr">
        <is>
          <t>残業</t>
        </is>
      </c>
      <c r="D38" s="93">
        <f>SUM($P$5:$P$35)+SUM($Q$5:$Q$35)+SUM($R$5:$R$35)</f>
        <v>0</v>
      </c>
      <c r="E38" s="26" t="n"/>
      <c r="F38" s="24" t="inlineStr">
        <is>
          <t>時間</t>
        </is>
      </c>
      <c r="G38" s="27" t="n"/>
      <c r="H38" s="27" t="n"/>
      <c r="I38" s="27" t="n"/>
      <c r="J38" s="27" t="n"/>
      <c r="K38" s="22" t="n"/>
      <c r="L38" s="4" t="n"/>
    </row>
    <row r="39" ht="21" customFormat="1" customHeight="1" s="28">
      <c r="A39" s="91" t="n"/>
      <c r="B39" s="24" t="n"/>
      <c r="C39" s="25" t="inlineStr">
        <is>
          <t>土曜出勤</t>
        </is>
      </c>
      <c r="D39" s="93">
        <f>SUMIF($U$5:$U$35,"土",$T$5:$T$35)</f>
        <v>0</v>
      </c>
      <c r="E39" s="26" t="n"/>
      <c r="F39" s="24" t="inlineStr">
        <is>
          <t>時間</t>
        </is>
      </c>
      <c r="G39" s="27" t="n"/>
      <c r="H39" s="27" t="n"/>
      <c r="I39" s="24" t="inlineStr">
        <is>
          <t>合計</t>
        </is>
      </c>
      <c r="J39" s="94">
        <f>SUM($T$5:$T$35)</f>
        <v>2.5</v>
      </c>
      <c r="K39" s="22" t="inlineStr">
        <is>
          <t>時間</t>
        </is>
      </c>
      <c r="L39" s="4" t="n"/>
    </row>
    <row r="40" ht="15.75" customHeight="1">
      <c r="A40" s="90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1" t="n"/>
      <c r="L40" s="1" t="n"/>
    </row>
    <row r="41" ht="14.25" customHeight="1">
      <c r="A41" s="90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1" t="n"/>
      <c r="L41" s="1" t="n"/>
    </row>
    <row r="42" ht="14.25" customHeight="1">
      <c r="A42" s="90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1" t="n"/>
      <c r="L42" s="1" t="n"/>
    </row>
    <row r="43" ht="14.2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2.75" customHeight="1">
      <c r="A46" s="73" t="n"/>
      <c r="B46" s="8" t="n"/>
      <c r="C46" s="8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</row>
    <row r="47" ht="12.75" customHeight="1">
      <c r="A47" s="73" t="n"/>
      <c r="B47" s="8" t="n"/>
      <c r="C47" s="8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</row>
    <row r="48" ht="12.75" customHeight="1">
      <c r="A48" s="73" t="n"/>
      <c r="B48" s="8" t="n"/>
      <c r="C48" s="8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95" t="n"/>
      <c r="B64" s="21" t="n"/>
      <c r="C64" s="21" t="n"/>
    </row>
    <row r="65" ht="12.75" customHeight="1">
      <c r="A65" s="95" t="n"/>
      <c r="B65" s="21" t="n"/>
      <c r="C65" s="21" t="n"/>
    </row>
    <row r="66" ht="12.75" customHeight="1">
      <c r="A66" s="95" t="n"/>
      <c r="B66" s="21" t="n"/>
      <c r="C66" s="2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</sheetData>
  <mergeCells count="2">
    <mergeCell ref="A4:C4"/>
    <mergeCell ref="D4:F4"/>
  </mergeCells>
  <dataValidations count="1">
    <dataValidation sqref="D5:D35 F5:F35 G5:G35 H5:H35 I5:I35 J5:J35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=OR(AND(D5&gt;=0,D5&lt;1),AND(D5=INT(D5),D5&lt;=2359,MOD(D5,100)&lt;60))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D42" sqref="D4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63" t="inlineStr">
        <is>
          <t>氏　名</t>
        </is>
      </c>
      <c r="K2" s="61" t="inlineStr">
        <is>
          <t>盛田　裕一</t>
        </is>
      </c>
    </row>
    <row r="3" ht="16.5" customHeight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46143</v>
      </c>
      <c r="B7" s="30">
        <f>IF(A7="","","日")</f>
        <v/>
      </c>
      <c r="C7" s="31" t="str">
        <f>IF(A7="","","("&amp;CHOOSE(WEEKDAY(A7,2),"月","火","水","木","金","土","日")&amp;"）")</f>
        <v>(金）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46144</v>
      </c>
      <c r="B8" s="32">
        <f>IF(A8="","","日")</f>
        <v/>
      </c>
      <c r="C8" s="31" t="str">
        <f>IF(A8="","","("&amp;CHOOSE(WEEKDAY(A8,2),"月","火","水","木","金","土","日")&amp;"）")</f>
        <v>(土）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46145</v>
      </c>
      <c r="B9" s="32">
        <f>IF(A9="","","日")</f>
        <v/>
      </c>
      <c r="C9" s="31" t="str">
        <f>IF(A9="","","("&amp;CHOOSE(WEEKDAY(A9,2),"月","火","水","木","金","土","日")&amp;"）")</f>
        <v>(日）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憲法記念日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46146</v>
      </c>
      <c r="B10" s="32">
        <f>IF(A10="","","日")</f>
        <v/>
      </c>
      <c r="C10" s="31" t="str">
        <f>IF(A10="","","("&amp;CHOOSE(WEEKDAY(A10,2),"月","火","水","木","金","土","日")&amp;"）")</f>
        <v>(月）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str">
        <f>IF($A10="","",IFERROR(VLOOKUP($A10,祝日リスト!$A$2:$C$40,3,0),""))</f>
        <v>みどりの日</v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46147</v>
      </c>
      <c r="B11" s="32">
        <f>IF(A11="","","日")</f>
        <v/>
      </c>
      <c r="C11" s="31" t="str">
        <f>IF(A11="","","("&amp;CHOOSE(WEEKDAY(A11,2),"月","火","水","木","金","土","日")&amp;"）")</f>
        <v>(火）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 t="str">
        <f>IF($A11="","",IFERROR(VLOOKUP($A11,祝日リスト!$A$2:$C$40,3,0),""))</f>
        <v>こどもの日</v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46148</v>
      </c>
      <c r="B12" s="32">
        <f>IF(A12="","","日")</f>
        <v/>
      </c>
      <c r="C12" s="31" t="str">
        <f>IF(A12="","","("&amp;CHOOSE(WEEKDAY(A12,2),"月","火","水","木","金","土","日")&amp;"）")</f>
        <v>(水）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str">
        <f>IF($A12="","",IFERROR(VLOOKUP($A12,祝日リスト!$A$2:$C$40,3,0),""))</f>
        <v>休日</v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46149</v>
      </c>
      <c r="B13" s="32">
        <f>IF(A13="","","日")</f>
        <v/>
      </c>
      <c r="C13" s="31" t="str">
        <f>IF(A13="","","("&amp;CHOOSE(WEEKDAY(A13,2),"月","火","水","木","金","土","日")&amp;"）")</f>
        <v>(木）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46150</v>
      </c>
      <c r="B14" s="32">
        <f>IF(A14="","","日")</f>
        <v/>
      </c>
      <c r="C14" s="31" t="str">
        <f>IF(A14="","","("&amp;CHOOSE(WEEKDAY(A14,2),"月","火","水","木","金","土","日")&amp;"）")</f>
        <v>(金）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46151</v>
      </c>
      <c r="B15" s="32">
        <f>IF(A15="","","日")</f>
        <v/>
      </c>
      <c r="C15" s="31" t="str">
        <f>IF(A15="","","("&amp;CHOOSE(WEEKDAY(A15,2),"月","火","水","木","金","土","日")&amp;"）")</f>
        <v>(土）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46152</v>
      </c>
      <c r="B16" s="32">
        <f>IF(A16="","","日")</f>
        <v/>
      </c>
      <c r="C16" s="31" t="str">
        <f>IF(A16="","","("&amp;CHOOSE(WEEKDAY(A16,2),"月","火","水","木","金","土","日")&amp;"）")</f>
        <v>(日）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46153</v>
      </c>
      <c r="B17" s="32">
        <f>IF(A17="","","日")</f>
        <v/>
      </c>
      <c r="C17" s="31" t="str">
        <f>IF(A17="","","("&amp;CHOOSE(WEEKDAY(A17,2),"月","火","水","木","金","土","日")&amp;"）")</f>
        <v>(月）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46154</v>
      </c>
      <c r="B18" s="32">
        <f>IF(A18="","","日")</f>
        <v/>
      </c>
      <c r="C18" s="31" t="str">
        <f>IF(A18="","","("&amp;CHOOSE(WEEKDAY(A18,2),"月","火","水","木","金","土","日")&amp;"）")</f>
        <v>(火）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46155</v>
      </c>
      <c r="B19" s="32">
        <f>IF(A19="","","日")</f>
        <v/>
      </c>
      <c r="C19" s="31" t="str">
        <f>IF(A19="","","("&amp;CHOOSE(WEEKDAY(A19,2),"月","火","水","木","金","土","日")&amp;"）")</f>
        <v>(水）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46156</v>
      </c>
      <c r="B20" s="32">
        <f>IF(A20="","","日")</f>
        <v/>
      </c>
      <c r="C20" s="31" t="str">
        <f>IF(A20="","","("&amp;CHOOSE(WEEKDAY(A20,2),"月","火","水","木","金","土","日")&amp;"）")</f>
        <v>(木）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46157</v>
      </c>
      <c r="B21" s="32">
        <f>IF(A21="","","日")</f>
        <v/>
      </c>
      <c r="C21" s="31" t="str">
        <f>IF(A21="","","("&amp;CHOOSE(WEEKDAY(A21,2),"月","火","水","木","金","土","日")&amp;"）")</f>
        <v>(金）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46158</v>
      </c>
      <c r="B22" s="32">
        <f>IF(A22="","","日")</f>
        <v/>
      </c>
      <c r="C22" s="31" t="str">
        <f>IF(A22="","","("&amp;CHOOSE(WEEKDAY(A22,2),"月","火","水","木","金","土","日")&amp;"）")</f>
        <v>(土）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46159</v>
      </c>
      <c r="B23" s="32">
        <f>IF(A23="","","日")</f>
        <v/>
      </c>
      <c r="C23" s="31" t="str">
        <f>IF(A23="","","("&amp;CHOOSE(WEEKDAY(A23,2),"月","火","水","木","金","土","日")&amp;"）")</f>
        <v>(日）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46160</v>
      </c>
      <c r="B24" s="32">
        <f>IF(A24="","","日")</f>
        <v/>
      </c>
      <c r="C24" s="31" t="str">
        <f>IF(A24="","","("&amp;CHOOSE(WEEKDAY(A24,2),"月","火","水","木","金","土","日")&amp;"）")</f>
        <v>(月）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46161</v>
      </c>
      <c r="B25" s="32">
        <f>IF(A25="","","日")</f>
        <v/>
      </c>
      <c r="C25" s="31" t="str">
        <f>IF(A25="","","("&amp;CHOOSE(WEEKDAY(A25,2),"月","火","水","木","金","土","日")&amp;"）")</f>
        <v>(火）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46162</v>
      </c>
      <c r="B26" s="32">
        <f>IF(A26="","","日")</f>
        <v/>
      </c>
      <c r="C26" s="31" t="str">
        <f>IF(A26="","","("&amp;CHOOSE(WEEKDAY(A26,2),"月","火","水","木","金","土","日")&amp;"）")</f>
        <v>(水）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46163</v>
      </c>
      <c r="B27" s="32">
        <f>IF(A27="","","日")</f>
        <v/>
      </c>
      <c r="C27" s="31" t="str">
        <f>IF(A27="","","("&amp;CHOOSE(WEEKDAY(A27,2),"月","火","水","木","金","土","日")&amp;"）")</f>
        <v>(木）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 s="98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46164</v>
      </c>
      <c r="B28" s="32">
        <f>IF(A28="","","日")</f>
        <v/>
      </c>
      <c r="C28" s="31" t="str">
        <f>IF(A28="","","("&amp;CHOOSE(WEEKDAY(A28,2),"月","火","水","木","金","土","日")&amp;"）")</f>
        <v>(金）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46165</v>
      </c>
      <c r="B29" s="32">
        <f>IF(A29="","","日")</f>
        <v/>
      </c>
      <c r="C29" s="31" t="str">
        <f>IF(A29="","","("&amp;CHOOSE(WEEKDAY(A29,2),"月","火","水","木","金","土","日")&amp;"）")</f>
        <v>(土）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46166</v>
      </c>
      <c r="B30" s="32">
        <f>IF(A30="","","日")</f>
        <v/>
      </c>
      <c r="C30" s="31" t="str">
        <f>IF(A30="","","("&amp;CHOOSE(WEEKDAY(A30,2),"月","火","水","木","金","土","日")&amp;"）")</f>
        <v>(日）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46167</v>
      </c>
      <c r="B31" s="32">
        <f>IF(A31="","","日")</f>
        <v/>
      </c>
      <c r="C31" s="31" t="str">
        <f>IF(A31="","","("&amp;CHOOSE(WEEKDAY(A31,2),"月","火","水","木","金","土","日")&amp;"）")</f>
        <v>(月）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46168</v>
      </c>
      <c r="B32" s="32">
        <f>IF(A32="","","日")</f>
        <v/>
      </c>
      <c r="C32" s="31" t="str">
        <f>IF(A32="","","("&amp;CHOOSE(WEEKDAY(A32,2),"月","火","水","木","金","土","日")&amp;"）")</f>
        <v>(火）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46169</v>
      </c>
      <c r="B33" s="32">
        <f>IF(A33="","","日")</f>
        <v/>
      </c>
      <c r="C33" s="31" t="str">
        <f>IF(A33="","","("&amp;CHOOSE(WEEKDAY(A33,2),"月","火","水","木","金","土","日")&amp;"）")</f>
        <v>(水）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46170</v>
      </c>
      <c r="B34" s="32">
        <f>IF(A34="","","日")</f>
        <v/>
      </c>
      <c r="C34" s="31" t="str">
        <f>IF(A34="","","("&amp;CHOOSE(WEEKDAY(A34,2),"月","火","水","木","金","土","日")&amp;"）")</f>
        <v>(木）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46171</v>
      </c>
      <c r="B35" s="32">
        <f>IF(A35="","","日")</f>
        <v/>
      </c>
      <c r="C35" s="31" t="str">
        <f>IF(A35="","","("&amp;CHOOSE(WEEKDAY(A35,2),"月","火","水","木","金","土","日")&amp;"）")</f>
        <v>(金）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46172</v>
      </c>
      <c r="B36" s="32">
        <f>IF(A36="","","日")</f>
        <v/>
      </c>
      <c r="C36" s="31" t="str">
        <f>IF(A36="","","("&amp;CHOOSE(WEEKDAY(A36,2),"月","火","水","木","金","土","日")&amp;"）")</f>
        <v>(土）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46173</v>
      </c>
      <c r="B37" s="33">
        <f>IF(A37="","","日")</f>
        <v/>
      </c>
      <c r="C37" s="34" t="str">
        <f>IF(A37="","","("&amp;CHOOSE(WEEKDAY(A37,2),"月","火","水","木","金","土","日")&amp;"）")</f>
        <v>(日）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14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3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0.5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3.5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G2" sqref="G2: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4" t="inlineStr">
        <is>
          <t xml:space="preserve">氏名　　　　　　　　　</t>
        </is>
      </c>
      <c r="K2" s="61" t="inlineStr">
        <is>
          <t>盛田　裕一</t>
        </is>
      </c>
    </row>
    <row r="3" ht="16.5" customHeight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46174</v>
      </c>
      <c r="B7" s="30">
        <f>IF(A7="","","日")</f>
        <v/>
      </c>
      <c r="C7" s="31" t="str">
        <f>IF(A7="","","("&amp;CHOOSE(WEEKDAY(A7,2),"月","火","水","木","金","土","日")&amp;"）")</f>
        <v>(月）</v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46175</v>
      </c>
      <c r="B8" s="32">
        <f>IF(A8="","","日")</f>
        <v/>
      </c>
      <c r="C8" s="31" t="str">
        <f>IF(A8="","","("&amp;CHOOSE(WEEKDAY(A8,2),"月","火","水","木","金","土","日")&amp;"）")</f>
        <v>(火）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46176</v>
      </c>
      <c r="B9" s="32">
        <f>IF(A9="","","日")</f>
        <v/>
      </c>
      <c r="C9" s="31" t="str">
        <f>IF(A9="","","("&amp;CHOOSE(WEEKDAY(A9,2),"月","火","水","木","金","土","日")&amp;"）")</f>
        <v>(水）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46177</v>
      </c>
      <c r="B10" s="32">
        <f>IF(A10="","","日")</f>
        <v/>
      </c>
      <c r="C10" s="31" t="str">
        <f>IF(A10="","","("&amp;CHOOSE(WEEKDAY(A10,2),"月","火","水","木","金","土","日")&amp;"）")</f>
        <v>(木）</v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46178</v>
      </c>
      <c r="B11" s="32">
        <f>IF(A11="","","日")</f>
        <v/>
      </c>
      <c r="C11" s="31" t="str">
        <f>IF(A11="","","("&amp;CHOOSE(WEEKDAY(A11,2),"月","火","水","木","金","土","日")&amp;"）")</f>
        <v>(金）</v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46179</v>
      </c>
      <c r="B12" s="32">
        <f>IF(A12="","","日")</f>
        <v/>
      </c>
      <c r="C12" s="31" t="str">
        <f>IF(A12="","","("&amp;CHOOSE(WEEKDAY(A12,2),"月","火","水","木","金","土","日")&amp;"）")</f>
        <v>(土）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46180</v>
      </c>
      <c r="B13" s="32">
        <f>IF(A13="","","日")</f>
        <v/>
      </c>
      <c r="C13" s="31" t="str">
        <f>IF(A13="","","("&amp;CHOOSE(WEEKDAY(A13,2),"月","火","水","木","金","土","日")&amp;"）")</f>
        <v>(日）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46181</v>
      </c>
      <c r="B14" s="32">
        <f>IF(A14="","","日")</f>
        <v/>
      </c>
      <c r="C14" s="31" t="str">
        <f>IF(A14="","","("&amp;CHOOSE(WEEKDAY(A14,2),"月","火","水","木","金","土","日")&amp;"）")</f>
        <v>(月）</v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46182</v>
      </c>
      <c r="B15" s="32">
        <f>IF(A15="","","日")</f>
        <v/>
      </c>
      <c r="C15" s="31" t="str">
        <f>IF(A15="","","("&amp;CHOOSE(WEEKDAY(A15,2),"月","火","水","木","金","土","日")&amp;"）")</f>
        <v>(火）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46183</v>
      </c>
      <c r="B16" s="32">
        <f>IF(A16="","","日")</f>
        <v/>
      </c>
      <c r="C16" s="31" t="str">
        <f>IF(A16="","","("&amp;CHOOSE(WEEKDAY(A16,2),"月","火","水","木","金","土","日")&amp;"）")</f>
        <v>(水）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46184</v>
      </c>
      <c r="B17" s="32">
        <f>IF(A17="","","日")</f>
        <v/>
      </c>
      <c r="C17" s="31" t="str">
        <f>IF(A17="","","("&amp;CHOOSE(WEEKDAY(A17,2),"月","火","水","木","金","土","日")&amp;"）")</f>
        <v>(木）</v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46185</v>
      </c>
      <c r="B18" s="32">
        <f>IF(A18="","","日")</f>
        <v/>
      </c>
      <c r="C18" s="31" t="str">
        <f>IF(A18="","","("&amp;CHOOSE(WEEKDAY(A18,2),"月","火","水","木","金","土","日")&amp;"）")</f>
        <v>(金）</v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46186</v>
      </c>
      <c r="B19" s="32">
        <f>IF(A19="","","日")</f>
        <v/>
      </c>
      <c r="C19" s="31" t="str">
        <f>IF(A19="","","("&amp;CHOOSE(WEEKDAY(A19,2),"月","火","水","木","金","土","日")&amp;"）")</f>
        <v>(土）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46187</v>
      </c>
      <c r="B20" s="32">
        <f>IF(A20="","","日")</f>
        <v/>
      </c>
      <c r="C20" s="31" t="str">
        <f>IF(A20="","","("&amp;CHOOSE(WEEKDAY(A20,2),"月","火","水","木","金","土","日")&amp;"）")</f>
        <v>(日）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46188</v>
      </c>
      <c r="B21" s="32">
        <f>IF(A21="","","日")</f>
        <v/>
      </c>
      <c r="C21" s="31" t="str">
        <f>IF(A21="","","("&amp;CHOOSE(WEEKDAY(A21,2),"月","火","水","木","金","土","日")&amp;"）")</f>
        <v>(月）</v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46189</v>
      </c>
      <c r="B22" s="32">
        <f>IF(A22="","","日")</f>
        <v/>
      </c>
      <c r="C22" s="31" t="str">
        <f>IF(A22="","","("&amp;CHOOSE(WEEKDAY(A22,2),"月","火","水","木","金","土","日")&amp;"）")</f>
        <v>(火）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46190</v>
      </c>
      <c r="B23" s="32">
        <f>IF(A23="","","日")</f>
        <v/>
      </c>
      <c r="C23" s="31" t="str">
        <f>IF(A23="","","("&amp;CHOOSE(WEEKDAY(A23,2),"月","火","水","木","金","土","日")&amp;"）")</f>
        <v>(水）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46191</v>
      </c>
      <c r="B24" s="32">
        <f>IF(A24="","","日")</f>
        <v/>
      </c>
      <c r="C24" s="31" t="str">
        <f>IF(A24="","","("&amp;CHOOSE(WEEKDAY(A24,2),"月","火","水","木","金","土","日")&amp;"）")</f>
        <v>(木）</v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46192</v>
      </c>
      <c r="B25" s="32">
        <f>IF(A25="","","日")</f>
        <v/>
      </c>
      <c r="C25" s="31" t="str">
        <f>IF(A25="","","("&amp;CHOOSE(WEEKDAY(A25,2),"月","火","水","木","金","土","日")&amp;"）")</f>
        <v>(金）</v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46193</v>
      </c>
      <c r="B26" s="32">
        <f>IF(A26="","","日")</f>
        <v/>
      </c>
      <c r="C26" s="31" t="str">
        <f>IF(A26="","","("&amp;CHOOSE(WEEKDAY(A26,2),"月","火","水","木","金","土","日")&amp;"）")</f>
        <v>(土）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46194</v>
      </c>
      <c r="B27" s="32">
        <f>IF(A27="","","日")</f>
        <v/>
      </c>
      <c r="C27" s="31" t="str">
        <f>IF(A27="","","("&amp;CHOOSE(WEEKDAY(A27,2),"月","火","水","木","金","土","日")&amp;"）")</f>
        <v>(日）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46195</v>
      </c>
      <c r="B28" s="32">
        <f>IF(A28="","","日")</f>
        <v/>
      </c>
      <c r="C28" s="31" t="str">
        <f>IF(A28="","","("&amp;CHOOSE(WEEKDAY(A28,2),"月","火","水","木","金","土","日")&amp;"）")</f>
        <v>(月）</v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46196</v>
      </c>
      <c r="B29" s="32">
        <f>IF(A29="","","日")</f>
        <v/>
      </c>
      <c r="C29" s="31" t="str">
        <f>IF(A29="","","("&amp;CHOOSE(WEEKDAY(A29,2),"月","火","水","木","金","土","日")&amp;"）")</f>
        <v>(火）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46197</v>
      </c>
      <c r="B30" s="32">
        <f>IF(A30="","","日")</f>
        <v/>
      </c>
      <c r="C30" s="31" t="str">
        <f>IF(A30="","","("&amp;CHOOSE(WEEKDAY(A30,2),"月","火","水","木","金","土","日")&amp;"）")</f>
        <v>(水）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46198</v>
      </c>
      <c r="B31" s="32">
        <f>IF(A31="","","日")</f>
        <v/>
      </c>
      <c r="C31" s="31" t="str">
        <f>IF(A31="","","("&amp;CHOOSE(WEEKDAY(A31,2),"月","火","水","木","金","土","日")&amp;"）")</f>
        <v>(木）</v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46199</v>
      </c>
      <c r="B32" s="32">
        <f>IF(A32="","","日")</f>
        <v/>
      </c>
      <c r="C32" s="31" t="str">
        <f>IF(A32="","","("&amp;CHOOSE(WEEKDAY(A32,2),"月","火","水","木","金","土","日")&amp;"）")</f>
        <v>(金）</v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46200</v>
      </c>
      <c r="B33" s="32">
        <f>IF(A33="","","日")</f>
        <v/>
      </c>
      <c r="C33" s="31" t="str">
        <f>IF(A33="","","("&amp;CHOOSE(WEEKDAY(A33,2),"月","火","水","木","金","土","日")&amp;"）")</f>
        <v>(土）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46201</v>
      </c>
      <c r="B34" s="32">
        <f>IF(A34="","","日")</f>
        <v/>
      </c>
      <c r="C34" s="31" t="str">
        <f>IF(A34="","","("&amp;CHOOSE(WEEKDAY(A34,2),"月","火","水","木","金","土","日")&amp;"）")</f>
        <v>(日）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46202</v>
      </c>
      <c r="B35" s="32">
        <f>IF(A35="","","日")</f>
        <v/>
      </c>
      <c r="C35" s="31" t="str">
        <f>IF(A35="","","("&amp;CHOOSE(WEEKDAY(A35,2),"月","火","水","木","金","土","日")&amp;"）")</f>
        <v>(月）</v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46203</v>
      </c>
      <c r="B36" s="32">
        <f>IF(A36="","","日")</f>
        <v/>
      </c>
      <c r="C36" s="31" t="str">
        <f>IF(A36="","","("&amp;CHOOSE(WEEKDAY(A36,2),"月","火","水","木","金","土","日")&amp;"）")</f>
        <v>(火）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>18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>4.5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4.5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O16" sqref="O16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4" t="inlineStr">
        <is>
          <t xml:space="preserve">氏名　　　　　　　　　</t>
        </is>
      </c>
      <c r="K2" s="61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46204</v>
      </c>
      <c r="B7" s="30">
        <f>IF(A7="","","日")</f>
        <v/>
      </c>
      <c r="C7" s="31" t="str">
        <f>IF(A7="","","("&amp;CHOOSE(WEEKDAY(A7,2),"月","火","水","木","金","土","日")&amp;"）")</f>
        <v>(水）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 t="inlineStr">
        <is>
          <t>休</t>
        </is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46205</v>
      </c>
      <c r="B8" s="32">
        <f>IF(A8="","","日")</f>
        <v/>
      </c>
      <c r="C8" s="31" t="str">
        <f>IF(A8="","","("&amp;CHOOSE(WEEKDAY(A8,2),"月","火","水","木","金","土","日")&amp;"）")</f>
        <v>(木）</v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46206</v>
      </c>
      <c r="B9" s="32">
        <f>IF(A9="","","日")</f>
        <v/>
      </c>
      <c r="C9" s="31" t="str">
        <f>IF(A9="","","("&amp;CHOOSE(WEEKDAY(A9,2),"月","火","水","木","金","土","日")&amp;"）")</f>
        <v>(金）</v>
      </c>
      <c r="D9" s="85" t="n">
        <v>900</v>
      </c>
      <c r="E9" s="36" t="inlineStr">
        <is>
          <t>～</t>
        </is>
      </c>
      <c r="F9" s="85" t="n">
        <v>1500</v>
      </c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46207</v>
      </c>
      <c r="B10" s="32">
        <f>IF(A10="","","日")</f>
        <v/>
      </c>
      <c r="C10" s="31" t="str">
        <f>IF(A10="","","("&amp;CHOOSE(WEEKDAY(A10,2),"月","火","水","木","金","土","日")&amp;"）")</f>
        <v>(土）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 t="inlineStr">
        <is>
          <t>休</t>
        </is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46208</v>
      </c>
      <c r="B11" s="32">
        <f>IF(A11="","","日")</f>
        <v/>
      </c>
      <c r="C11" s="31" t="str">
        <f>IF(A11="","","("&amp;CHOOSE(WEEKDAY(A11,2),"月","火","水","木","金","土","日")&amp;"）")</f>
        <v>(日）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99" t="inlineStr">
        <is>
          <t>休</t>
        </is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46209</v>
      </c>
      <c r="B12" s="32">
        <f>IF(A12="","","日")</f>
        <v/>
      </c>
      <c r="C12" s="31" t="str">
        <f>IF(A12="","","("&amp;CHOOSE(WEEKDAY(A12,2),"月","火","水","木","金","土","日")&amp;"）")</f>
        <v>(月）</v>
      </c>
      <c r="D12" s="85" t="n">
        <v>900</v>
      </c>
      <c r="E12" s="36" t="inlineStr">
        <is>
          <t>～</t>
        </is>
      </c>
      <c r="F12" s="85" t="n">
        <v>1500</v>
      </c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46210</v>
      </c>
      <c r="B13" s="32">
        <f>IF(A13="","","日")</f>
        <v/>
      </c>
      <c r="C13" s="31" t="str">
        <f>IF(A13="","","("&amp;CHOOSE(WEEKDAY(A13,2),"月","火","水","木","金","土","日")&amp;"）")</f>
        <v>(火）</v>
      </c>
      <c r="D13" s="85" t="n">
        <v>900</v>
      </c>
      <c r="E13" s="36" t="inlineStr">
        <is>
          <t>～</t>
        </is>
      </c>
      <c r="F13" s="85" t="n">
        <v>1500</v>
      </c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46211</v>
      </c>
      <c r="B14" s="32">
        <f>IF(A14="","","日")</f>
        <v/>
      </c>
      <c r="C14" s="31" t="str">
        <f>IF(A14="","","("&amp;CHOOSE(WEEKDAY(A14,2),"月","火","水","木","金","土","日")&amp;"）")</f>
        <v>(水）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99" t="inlineStr">
        <is>
          <t>休</t>
        </is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46212</v>
      </c>
      <c r="B15" s="32">
        <f>IF(A15="","","日")</f>
        <v/>
      </c>
      <c r="C15" s="31" t="str">
        <f>IF(A15="","","("&amp;CHOOSE(WEEKDAY(A15,2),"月","火","水","木","金","土","日")&amp;"）")</f>
        <v>(木）</v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46213</v>
      </c>
      <c r="B16" s="32">
        <f>IF(A16="","","日")</f>
        <v/>
      </c>
      <c r="C16" s="31" t="str">
        <f>IF(A16="","","("&amp;CHOOSE(WEEKDAY(A16,2),"月","火","水","木","金","土","日")&amp;"）")</f>
        <v>(金）</v>
      </c>
      <c r="D16" s="85" t="n">
        <v>900</v>
      </c>
      <c r="E16" s="36" t="inlineStr">
        <is>
          <t>～</t>
        </is>
      </c>
      <c r="F16" s="85" t="n">
        <v>1500</v>
      </c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46214</v>
      </c>
      <c r="B17" s="32">
        <f>IF(A17="","","日")</f>
        <v/>
      </c>
      <c r="C17" s="31" t="str">
        <f>IF(A17="","","("&amp;CHOOSE(WEEKDAY(A17,2),"月","火","水","木","金","土","日")&amp;"）")</f>
        <v>(土）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inlineStr">
        <is>
          <t>休</t>
        </is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46215</v>
      </c>
      <c r="B18" s="32">
        <f>IF(A18="","","日")</f>
        <v/>
      </c>
      <c r="C18" s="31" t="str">
        <f>IF(A18="","","("&amp;CHOOSE(WEEKDAY(A18,2),"月","火","水","木","金","土","日")&amp;"）")</f>
        <v>(日）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99" t="inlineStr">
        <is>
          <t>休</t>
        </is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46216</v>
      </c>
      <c r="B19" s="32">
        <f>IF(A19="","","日")</f>
        <v/>
      </c>
      <c r="C19" s="31" t="str">
        <f>IF(A19="","","("&amp;CHOOSE(WEEKDAY(A19,2),"月","火","水","木","金","土","日")&amp;"）")</f>
        <v>(月）</v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46217</v>
      </c>
      <c r="B20" s="32">
        <f>IF(A20="","","日")</f>
        <v/>
      </c>
      <c r="C20" s="31" t="str">
        <f>IF(A20="","","("&amp;CHOOSE(WEEKDAY(A20,2),"月","火","水","木","金","土","日")&amp;"）")</f>
        <v>(火）</v>
      </c>
      <c r="D20" s="85" t="n">
        <v>900</v>
      </c>
      <c r="E20" s="36" t="inlineStr">
        <is>
          <t>～</t>
        </is>
      </c>
      <c r="F20" s="85" t="n">
        <v>1500</v>
      </c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46218</v>
      </c>
      <c r="B21" s="32">
        <f>IF(A21="","","日")</f>
        <v/>
      </c>
      <c r="C21" s="31" t="str">
        <f>IF(A21="","","("&amp;CHOOSE(WEEKDAY(A21,2),"月","火","水","木","金","土","日")&amp;"）")</f>
        <v>(水）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99" t="inlineStr">
        <is>
          <t>休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46219</v>
      </c>
      <c r="B22" s="32">
        <f>IF(A22="","","日")</f>
        <v/>
      </c>
      <c r="C22" s="31" t="str">
        <f>IF(A22="","","("&amp;CHOOSE(WEEKDAY(A22,2),"月","火","水","木","金","土","日")&amp;"）")</f>
        <v>(木）</v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46220</v>
      </c>
      <c r="B23" s="32">
        <f>IF(A23="","","日")</f>
        <v/>
      </c>
      <c r="C23" s="31" t="str">
        <f>IF(A23="","","("&amp;CHOOSE(WEEKDAY(A23,2),"月","火","水","木","金","土","日")&amp;"）")</f>
        <v>(金）</v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46221</v>
      </c>
      <c r="B24" s="32">
        <f>IF(A24="","","日")</f>
        <v/>
      </c>
      <c r="C24" s="31" t="str">
        <f>IF(A24="","","("&amp;CHOOSE(WEEKDAY(A24,2),"月","火","水","木","金","土","日")&amp;"）")</f>
        <v>(土）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99" t="inlineStr">
        <is>
          <t>休</t>
        </is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46222</v>
      </c>
      <c r="B25" s="32">
        <f>IF(A25="","","日")</f>
        <v/>
      </c>
      <c r="C25" s="31" t="str">
        <f>IF(A25="","","("&amp;CHOOSE(WEEKDAY(A25,2),"月","火","水","木","金","土","日")&amp;"）")</f>
        <v>(日）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99" t="inlineStr">
        <is>
          <t>休</t>
        </is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46223</v>
      </c>
      <c r="B26" s="32">
        <f>IF(A26="","","日")</f>
        <v/>
      </c>
      <c r="C26" s="31" t="str">
        <f>IF(A26="","","("&amp;CHOOSE(WEEKDAY(A26,2),"月","火","水","木","金","土","日")&amp;"）")</f>
        <v>(月）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99" t="inlineStr">
        <is>
          <t>休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46224</v>
      </c>
      <c r="B27" s="32">
        <f>IF(A27="","","日")</f>
        <v/>
      </c>
      <c r="C27" s="31" t="str">
        <f>IF(A27="","","("&amp;CHOOSE(WEEKDAY(A27,2),"月","火","水","木","金","土","日")&amp;"）")</f>
        <v>(火）</v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46225</v>
      </c>
      <c r="B28" s="32">
        <f>IF(A28="","","日")</f>
        <v/>
      </c>
      <c r="C28" s="31" t="str">
        <f>IF(A28="","","("&amp;CHOOSE(WEEKDAY(A28,2),"月","火","水","木","金","土","日")&amp;"）")</f>
        <v>(水）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99" t="inlineStr">
        <is>
          <t>休</t>
        </is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46226</v>
      </c>
      <c r="B29" s="32">
        <f>IF(A29="","","日")</f>
        <v/>
      </c>
      <c r="C29" s="31" t="str">
        <f>IF(A29="","","("&amp;CHOOSE(WEEKDAY(A29,2),"月","火","水","木","金","土","日")&amp;"）")</f>
        <v>(木）</v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46227</v>
      </c>
      <c r="B30" s="32">
        <f>IF(A30="","","日")</f>
        <v/>
      </c>
      <c r="C30" s="31" t="str">
        <f>IF(A30="","","("&amp;CHOOSE(WEEKDAY(A30,2),"月","火","水","木","金","土","日")&amp;"）")</f>
        <v>(金）</v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46228</v>
      </c>
      <c r="B31" s="32">
        <f>IF(A31="","","日")</f>
        <v/>
      </c>
      <c r="C31" s="31" t="str">
        <f>IF(A31="","","("&amp;CHOOSE(WEEKDAY(A31,2),"月","火","水","木","金","土","日")&amp;"）")</f>
        <v>(土）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99" t="inlineStr">
        <is>
          <t>休</t>
        </is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46229</v>
      </c>
      <c r="B32" s="32">
        <f>IF(A32="","","日")</f>
        <v/>
      </c>
      <c r="C32" s="31" t="str">
        <f>IF(A32="","","("&amp;CHOOSE(WEEKDAY(A32,2),"月","火","水","木","金","土","日")&amp;"）")</f>
        <v>(日）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99" t="inlineStr">
        <is>
          <t>休</t>
        </is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46230</v>
      </c>
      <c r="B33" s="32">
        <f>IF(A33="","","日")</f>
        <v/>
      </c>
      <c r="C33" s="31" t="str">
        <f>IF(A33="","","("&amp;CHOOSE(WEEKDAY(A33,2),"月","火","水","木","金","土","日")&amp;"）")</f>
        <v>(月）</v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46231</v>
      </c>
      <c r="B34" s="32">
        <f>IF(A34="","","日")</f>
        <v/>
      </c>
      <c r="C34" s="31" t="str">
        <f>IF(A34="","","("&amp;CHOOSE(WEEKDAY(A34,2),"月","火","水","木","金","土","日")&amp;"）")</f>
        <v>(火）</v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46232</v>
      </c>
      <c r="B35" s="32">
        <f>IF(A35="","","日")</f>
        <v/>
      </c>
      <c r="C35" s="31" t="str">
        <f>IF(A35="","","("&amp;CHOOSE(WEEKDAY(A35,2),"月","火","水","木","金","土","日")&amp;"）")</f>
        <v>(水）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99" t="inlineStr">
        <is>
          <t>休</t>
        </is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46233</v>
      </c>
      <c r="B36" s="32">
        <f>IF(A36="","","日")</f>
        <v/>
      </c>
      <c r="C36" s="31" t="str">
        <f>IF(A36="","","("&amp;CHOOSE(WEEKDAY(A36,2),"月","火","水","木","金","土","日")&amp;"）")</f>
        <v>(木）</v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>
      <c r="A37" s="87">
        <f>IF(A36="","",IF(MONTH(A36+1)=$C$2,A36+1,""))</f>
        <v>46234</v>
      </c>
      <c r="B37" s="33">
        <f>IF(A37="","","日")</f>
        <v/>
      </c>
      <c r="C37" s="34" t="str">
        <f>IF(A37="","","("&amp;CHOOSE(WEEKDAY(A37,2),"月","火","水","木","金","土","日")&amp;"）")</f>
        <v>(金）</v>
      </c>
      <c r="D37" s="88" t="n">
        <v>900</v>
      </c>
      <c r="E37" s="37" t="inlineStr">
        <is>
          <t>～</t>
        </is>
      </c>
      <c r="F37" s="88" t="n">
        <v>1500</v>
      </c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17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4.25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4.25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46235</v>
      </c>
      <c r="B7" s="30">
        <f>IF(A7="","","日")</f>
        <v/>
      </c>
      <c r="C7" s="31" t="str">
        <f>IF(A7="","","("&amp;CHOOSE(WEEKDAY(A7,2),"月","火","水","木","金","土","日")&amp;"）")</f>
        <v>(土）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46236</v>
      </c>
      <c r="B8" s="32">
        <f>IF(A8="","","日")</f>
        <v/>
      </c>
      <c r="C8" s="31" t="str">
        <f>IF(A8="","","("&amp;CHOOSE(WEEKDAY(A8,2),"月","火","水","木","金","土","日")&amp;"）")</f>
        <v>(日）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46237</v>
      </c>
      <c r="B9" s="32">
        <f>IF(A9="","","日")</f>
        <v/>
      </c>
      <c r="C9" s="31" t="str">
        <f>IF(A9="","","("&amp;CHOOSE(WEEKDAY(A9,2),"月","火","水","木","金","土","日")&amp;"）")</f>
        <v>(月）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46238</v>
      </c>
      <c r="B10" s="32">
        <f>IF(A10="","","日")</f>
        <v/>
      </c>
      <c r="C10" s="31" t="str">
        <f>IF(A10="","","("&amp;CHOOSE(WEEKDAY(A10,2),"月","火","水","木","金","土","日")&amp;"）")</f>
        <v>(火）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46239</v>
      </c>
      <c r="B11" s="32">
        <f>IF(A11="","","日")</f>
        <v/>
      </c>
      <c r="C11" s="31" t="str">
        <f>IF(A11="","","("&amp;CHOOSE(WEEKDAY(A11,2),"月","火","水","木","金","土","日")&amp;"）")</f>
        <v>(水）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46240</v>
      </c>
      <c r="B12" s="32">
        <f>IF(A12="","","日")</f>
        <v/>
      </c>
      <c r="C12" s="31" t="str">
        <f>IF(A12="","","("&amp;CHOOSE(WEEKDAY(A12,2),"月","火","水","木","金","土","日")&amp;"）")</f>
        <v>(木）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46241</v>
      </c>
      <c r="B13" s="32">
        <f>IF(A13="","","日")</f>
        <v/>
      </c>
      <c r="C13" s="31" t="str">
        <f>IF(A13="","","("&amp;CHOOSE(WEEKDAY(A13,2),"月","火","水","木","金","土","日")&amp;"）")</f>
        <v>(金）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46242</v>
      </c>
      <c r="B14" s="32">
        <f>IF(A14="","","日")</f>
        <v/>
      </c>
      <c r="C14" s="31" t="str">
        <f>IF(A14="","","("&amp;CHOOSE(WEEKDAY(A14,2),"月","火","水","木","金","土","日")&amp;"）")</f>
        <v>(土）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46243</v>
      </c>
      <c r="B15" s="32">
        <f>IF(A15="","","日")</f>
        <v/>
      </c>
      <c r="C15" s="31" t="str">
        <f>IF(A15="","","("&amp;CHOOSE(WEEKDAY(A15,2),"月","火","水","木","金","土","日")&amp;"）")</f>
        <v>(日）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46244</v>
      </c>
      <c r="B16" s="32">
        <f>IF(A16="","","日")</f>
        <v/>
      </c>
      <c r="C16" s="31" t="str">
        <f>IF(A16="","","("&amp;CHOOSE(WEEKDAY(A16,2),"月","火","水","木","金","土","日")&amp;"）")</f>
        <v>(月）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46245</v>
      </c>
      <c r="B17" s="32">
        <f>IF(A17="","","日")</f>
        <v/>
      </c>
      <c r="C17" s="31" t="str">
        <f>IF(A17="","","("&amp;CHOOSE(WEEKDAY(A17,2),"月","火","水","木","金","土","日")&amp;"）")</f>
        <v>(火）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 t="str">
        <f>IF($A17="","",IFERROR(VLOOKUP($A17,祝日リスト!$A$2:$C$40,3,0),""))</f>
        <v>山の日</v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46246</v>
      </c>
      <c r="B18" s="32">
        <f>IF(A18="","","日")</f>
        <v/>
      </c>
      <c r="C18" s="31" t="str">
        <f>IF(A18="","","("&amp;CHOOSE(WEEKDAY(A18,2),"月","火","水","木","金","土","日")&amp;"）")</f>
        <v>(水）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46247</v>
      </c>
      <c r="B19" s="32">
        <f>IF(A19="","","日")</f>
        <v/>
      </c>
      <c r="C19" s="31" t="str">
        <f>IF(A19="","","("&amp;CHOOSE(WEEKDAY(A19,2),"月","火","水","木","金","土","日")&amp;"）")</f>
        <v>(木）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46248</v>
      </c>
      <c r="B20" s="32">
        <f>IF(A20="","","日")</f>
        <v/>
      </c>
      <c r="C20" s="31" t="str">
        <f>IF(A20="","","("&amp;CHOOSE(WEEKDAY(A20,2),"月","火","水","木","金","土","日")&amp;"）")</f>
        <v>(金）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46249</v>
      </c>
      <c r="B21" s="32">
        <f>IF(A21="","","日")</f>
        <v/>
      </c>
      <c r="C21" s="31" t="str">
        <f>IF(A21="","","("&amp;CHOOSE(WEEKDAY(A21,2),"月","火","水","木","金","土","日")&amp;"）")</f>
        <v>(土）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46250</v>
      </c>
      <c r="B22" s="32">
        <f>IF(A22="","","日")</f>
        <v/>
      </c>
      <c r="C22" s="31" t="str">
        <f>IF(A22="","","("&amp;CHOOSE(WEEKDAY(A22,2),"月","火","水","木","金","土","日")&amp;"）")</f>
        <v>(日）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46251</v>
      </c>
      <c r="B23" s="32">
        <f>IF(A23="","","日")</f>
        <v/>
      </c>
      <c r="C23" s="31" t="str">
        <f>IF(A23="","","("&amp;CHOOSE(WEEKDAY(A23,2),"月","火","水","木","金","土","日")&amp;"）")</f>
        <v>(月）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46252</v>
      </c>
      <c r="B24" s="32">
        <f>IF(A24="","","日")</f>
        <v/>
      </c>
      <c r="C24" s="31" t="str">
        <f>IF(A24="","","("&amp;CHOOSE(WEEKDAY(A24,2),"月","火","水","木","金","土","日")&amp;"）")</f>
        <v>(火）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46253</v>
      </c>
      <c r="B25" s="32">
        <f>IF(A25="","","日")</f>
        <v/>
      </c>
      <c r="C25" s="31" t="str">
        <f>IF(A25="","","("&amp;CHOOSE(WEEKDAY(A25,2),"月","火","水","木","金","土","日")&amp;"）")</f>
        <v>(水）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46254</v>
      </c>
      <c r="B26" s="32">
        <f>IF(A26="","","日")</f>
        <v/>
      </c>
      <c r="C26" s="31" t="str">
        <f>IF(A26="","","("&amp;CHOOSE(WEEKDAY(A26,2),"月","火","水","木","金","土","日")&amp;"）")</f>
        <v>(木）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46255</v>
      </c>
      <c r="B27" s="32">
        <f>IF(A27="","","日")</f>
        <v/>
      </c>
      <c r="C27" s="31" t="str">
        <f>IF(A27="","","("&amp;CHOOSE(WEEKDAY(A27,2),"月","火","水","木","金","土","日")&amp;"）")</f>
        <v>(金）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46256</v>
      </c>
      <c r="B28" s="32">
        <f>IF(A28="","","日")</f>
        <v/>
      </c>
      <c r="C28" s="31" t="str">
        <f>IF(A28="","","("&amp;CHOOSE(WEEKDAY(A28,2),"月","火","水","木","金","土","日")&amp;"）")</f>
        <v>(土）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46257</v>
      </c>
      <c r="B29" s="32">
        <f>IF(A29="","","日")</f>
        <v/>
      </c>
      <c r="C29" s="31" t="str">
        <f>IF(A29="","","("&amp;CHOOSE(WEEKDAY(A29,2),"月","火","水","木","金","土","日")&amp;"）")</f>
        <v>(日）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46258</v>
      </c>
      <c r="B30" s="32">
        <f>IF(A30="","","日")</f>
        <v/>
      </c>
      <c r="C30" s="31" t="str">
        <f>IF(A30="","","("&amp;CHOOSE(WEEKDAY(A30,2),"月","火","水","木","金","土","日")&amp;"）")</f>
        <v>(月）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46259</v>
      </c>
      <c r="B31" s="32">
        <f>IF(A31="","","日")</f>
        <v/>
      </c>
      <c r="C31" s="31" t="str">
        <f>IF(A31="","","("&amp;CHOOSE(WEEKDAY(A31,2),"月","火","水","木","金","土","日")&amp;"）")</f>
        <v>(火）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46260</v>
      </c>
      <c r="B32" s="32">
        <f>IF(A32="","","日")</f>
        <v/>
      </c>
      <c r="C32" s="31" t="str">
        <f>IF(A32="","","("&amp;CHOOSE(WEEKDAY(A32,2),"月","火","水","木","金","土","日")&amp;"）")</f>
        <v>(水）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46261</v>
      </c>
      <c r="B33" s="32">
        <f>IF(A33="","","日")</f>
        <v/>
      </c>
      <c r="C33" s="31" t="str">
        <f>IF(A33="","","("&amp;CHOOSE(WEEKDAY(A33,2),"月","火","水","木","金","土","日")&amp;"）")</f>
        <v>(木）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46262</v>
      </c>
      <c r="B34" s="32">
        <f>IF(A34="","","日")</f>
        <v/>
      </c>
      <c r="C34" s="31" t="str">
        <f>IF(A34="","","("&amp;CHOOSE(WEEKDAY(A34,2),"月","火","水","木","金","土","日")&amp;"）")</f>
        <v>(金）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46263</v>
      </c>
      <c r="B35" s="32">
        <f>IF(A35="","","日")</f>
        <v/>
      </c>
      <c r="C35" s="31" t="str">
        <f>IF(A35="","","("&amp;CHOOSE(WEEKDAY(A35,2),"月","火","水","木","金","土","日")&amp;"）")</f>
        <v>(土）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46264</v>
      </c>
      <c r="B36" s="32">
        <f>IF(A36="","","日")</f>
        <v/>
      </c>
      <c r="C36" s="31" t="str">
        <f>IF(A36="","","("&amp;CHOOSE(WEEKDAY(A36,2),"月","火","水","木","金","土","日")&amp;"）")</f>
        <v>(日）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46265</v>
      </c>
      <c r="B37" s="33">
        <f>IF(A37="","","日")</f>
        <v/>
      </c>
      <c r="C37" s="34" t="str">
        <f>IF(A37="","","("&amp;CHOOSE(WEEKDAY(A37,2),"月","火","水","木","金","土","日")&amp;"）")</f>
        <v>(月）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46266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46267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46268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46269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46270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46271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46272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46273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46274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46275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46276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46277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46278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46279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46280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46281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46282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46283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46284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46285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46286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str">
        <f>IF($A27="","",IFERROR(VLOOKUP($A27,祝日リスト!$A$2:$C$40,3,0),""))</f>
        <v>敬老の日</v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46287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 t="str">
        <f>IF($A28="","",IFERROR(VLOOKUP($A28,祝日リスト!$A$2:$C$40,3,0),""))</f>
        <v>国民の休日</v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46288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秋分の日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46289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46290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46291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46292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46293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46294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46295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46296</v>
      </c>
      <c r="B7" s="30">
        <f>IF(A7="","","日")</f>
        <v/>
      </c>
      <c r="C7" s="31" t="str">
        <f>IF(A7="","","("&amp;CHOOSE(WEEKDAY(A7,2),"月","火","水","木","金","土","日")&amp;"）")</f>
        <v>(木）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46297</v>
      </c>
      <c r="B8" s="32">
        <f>IF(A8="","","日")</f>
        <v/>
      </c>
      <c r="C8" s="31" t="str">
        <f>IF(A8="","","("&amp;CHOOSE(WEEKDAY(A8,2),"月","火","水","木","金","土","日")&amp;"）")</f>
        <v>(金）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46298</v>
      </c>
      <c r="B9" s="32">
        <f>IF(A9="","","日")</f>
        <v/>
      </c>
      <c r="C9" s="31" t="str">
        <f>IF(A9="","","("&amp;CHOOSE(WEEKDAY(A9,2),"月","火","水","木","金","土","日")&amp;"）")</f>
        <v>(土）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46299</v>
      </c>
      <c r="B10" s="32">
        <f>IF(A10="","","日")</f>
        <v/>
      </c>
      <c r="C10" s="31" t="str">
        <f>IF(A10="","","("&amp;CHOOSE(WEEKDAY(A10,2),"月","火","水","木","金","土","日")&amp;"）")</f>
        <v>(日）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46300</v>
      </c>
      <c r="B11" s="32">
        <f>IF(A11="","","日")</f>
        <v/>
      </c>
      <c r="C11" s="31" t="str">
        <f>IF(A11="","","("&amp;CHOOSE(WEEKDAY(A11,2),"月","火","水","木","金","土","日")&amp;"）")</f>
        <v>(月）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46301</v>
      </c>
      <c r="B12" s="32">
        <f>IF(A12="","","日")</f>
        <v/>
      </c>
      <c r="C12" s="31" t="str">
        <f>IF(A12="","","("&amp;CHOOSE(WEEKDAY(A12,2),"月","火","水","木","金","土","日")&amp;"）")</f>
        <v>(火）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46302</v>
      </c>
      <c r="B13" s="32">
        <f>IF(A13="","","日")</f>
        <v/>
      </c>
      <c r="C13" s="31" t="str">
        <f>IF(A13="","","("&amp;CHOOSE(WEEKDAY(A13,2),"月","火","水","木","金","土","日")&amp;"）")</f>
        <v>(水）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46303</v>
      </c>
      <c r="B14" s="32">
        <f>IF(A14="","","日")</f>
        <v/>
      </c>
      <c r="C14" s="31" t="str">
        <f>IF(A14="","","("&amp;CHOOSE(WEEKDAY(A14,2),"月","火","水","木","金","土","日")&amp;"）")</f>
        <v>(木）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46304</v>
      </c>
      <c r="B15" s="32">
        <f>IF(A15="","","日")</f>
        <v/>
      </c>
      <c r="C15" s="31" t="str">
        <f>IF(A15="","","("&amp;CHOOSE(WEEKDAY(A15,2),"月","火","水","木","金","土","日")&amp;"）")</f>
        <v>(金）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46305</v>
      </c>
      <c r="B16" s="32">
        <f>IF(A16="","","日")</f>
        <v/>
      </c>
      <c r="C16" s="31" t="str">
        <f>IF(A16="","","("&amp;CHOOSE(WEEKDAY(A16,2),"月","火","水","木","金","土","日")&amp;"）")</f>
        <v>(土）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46306</v>
      </c>
      <c r="B17" s="32">
        <f>IF(A17="","","日")</f>
        <v/>
      </c>
      <c r="C17" s="31" t="str">
        <f>IF(A17="","","("&amp;CHOOSE(WEEKDAY(A17,2),"月","火","水","木","金","土","日")&amp;"）")</f>
        <v>(日）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46307</v>
      </c>
      <c r="B18" s="32">
        <f>IF(A18="","","日")</f>
        <v/>
      </c>
      <c r="C18" s="31" t="str">
        <f>IF(A18="","","("&amp;CHOOSE(WEEKDAY(A18,2),"月","火","水","木","金","土","日")&amp;"）")</f>
        <v>(月）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 t="str">
        <f>IF($A18="","",IFERROR(VLOOKUP($A18,祝日リスト!$A$2:$C$40,3,0),""))</f>
        <v>スポーツの日</v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46308</v>
      </c>
      <c r="B19" s="32">
        <f>IF(A19="","","日")</f>
        <v/>
      </c>
      <c r="C19" s="31" t="str">
        <f>IF(A19="","","("&amp;CHOOSE(WEEKDAY(A19,2),"月","火","水","木","金","土","日")&amp;"）")</f>
        <v>(火）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46309</v>
      </c>
      <c r="B20" s="32">
        <f>IF(A20="","","日")</f>
        <v/>
      </c>
      <c r="C20" s="31" t="str">
        <f>IF(A20="","","("&amp;CHOOSE(WEEKDAY(A20,2),"月","火","水","木","金","土","日")&amp;"）")</f>
        <v>(水）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46310</v>
      </c>
      <c r="B21" s="32">
        <f>IF(A21="","","日")</f>
        <v/>
      </c>
      <c r="C21" s="31" t="str">
        <f>IF(A21="","","("&amp;CHOOSE(WEEKDAY(A21,2),"月","火","水","木","金","土","日")&amp;"）")</f>
        <v>(木）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46311</v>
      </c>
      <c r="B22" s="32">
        <f>IF(A22="","","日")</f>
        <v/>
      </c>
      <c r="C22" s="31" t="str">
        <f>IF(A22="","","("&amp;CHOOSE(WEEKDAY(A22,2),"月","火","水","木","金","土","日")&amp;"）")</f>
        <v>(金）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46312</v>
      </c>
      <c r="B23" s="32">
        <f>IF(A23="","","日")</f>
        <v/>
      </c>
      <c r="C23" s="31" t="str">
        <f>IF(A23="","","("&amp;CHOOSE(WEEKDAY(A23,2),"月","火","水","木","金","土","日")&amp;"）")</f>
        <v>(土）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46313</v>
      </c>
      <c r="B24" s="32">
        <f>IF(A24="","","日")</f>
        <v/>
      </c>
      <c r="C24" s="31" t="str">
        <f>IF(A24="","","("&amp;CHOOSE(WEEKDAY(A24,2),"月","火","水","木","金","土","日")&amp;"）")</f>
        <v>(日）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46314</v>
      </c>
      <c r="B25" s="32">
        <f>IF(A25="","","日")</f>
        <v/>
      </c>
      <c r="C25" s="31" t="str">
        <f>IF(A25="","","("&amp;CHOOSE(WEEKDAY(A25,2),"月","火","水","木","金","土","日")&amp;"）")</f>
        <v>(月）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46315</v>
      </c>
      <c r="B26" s="32">
        <f>IF(A26="","","日")</f>
        <v/>
      </c>
      <c r="C26" s="31" t="str">
        <f>IF(A26="","","("&amp;CHOOSE(WEEKDAY(A26,2),"月","火","水","木","金","土","日")&amp;"）")</f>
        <v>(火）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46316</v>
      </c>
      <c r="B27" s="32">
        <f>IF(A27="","","日")</f>
        <v/>
      </c>
      <c r="C27" s="31" t="str">
        <f>IF(A27="","","("&amp;CHOOSE(WEEKDAY(A27,2),"月","火","水","木","金","土","日")&amp;"）")</f>
        <v>(水）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46317</v>
      </c>
      <c r="B28" s="32">
        <f>IF(A28="","","日")</f>
        <v/>
      </c>
      <c r="C28" s="31" t="str">
        <f>IF(A28="","","("&amp;CHOOSE(WEEKDAY(A28,2),"月","火","水","木","金","土","日")&amp;"）")</f>
        <v>(木）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46318</v>
      </c>
      <c r="B29" s="32">
        <f>IF(A29="","","日")</f>
        <v/>
      </c>
      <c r="C29" s="31" t="str">
        <f>IF(A29="","","("&amp;CHOOSE(WEEKDAY(A29,2),"月","火","水","木","金","土","日")&amp;"）")</f>
        <v>(金）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46319</v>
      </c>
      <c r="B30" s="32">
        <f>IF(A30="","","日")</f>
        <v/>
      </c>
      <c r="C30" s="31" t="str">
        <f>IF(A30="","","("&amp;CHOOSE(WEEKDAY(A30,2),"月","火","水","木","金","土","日")&amp;"）")</f>
        <v>(土）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46320</v>
      </c>
      <c r="B31" s="32">
        <f>IF(A31="","","日")</f>
        <v/>
      </c>
      <c r="C31" s="31" t="str">
        <f>IF(A31="","","("&amp;CHOOSE(WEEKDAY(A31,2),"月","火","水","木","金","土","日")&amp;"）")</f>
        <v>(日）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46321</v>
      </c>
      <c r="B32" s="32">
        <f>IF(A32="","","日")</f>
        <v/>
      </c>
      <c r="C32" s="31" t="str">
        <f>IF(A32="","","("&amp;CHOOSE(WEEKDAY(A32,2),"月","火","水","木","金","土","日")&amp;"）")</f>
        <v>(月）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46322</v>
      </c>
      <c r="B33" s="32">
        <f>IF(A33="","","日")</f>
        <v/>
      </c>
      <c r="C33" s="31" t="str">
        <f>IF(A33="","","("&amp;CHOOSE(WEEKDAY(A33,2),"月","火","水","木","金","土","日")&amp;"）")</f>
        <v>(火）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46323</v>
      </c>
      <c r="B34" s="32">
        <f>IF(A34="","","日")</f>
        <v/>
      </c>
      <c r="C34" s="31" t="str">
        <f>IF(A34="","","("&amp;CHOOSE(WEEKDAY(A34,2),"月","火","水","木","金","土","日")&amp;"）")</f>
        <v>(水）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46324</v>
      </c>
      <c r="B35" s="32">
        <f>IF(A35="","","日")</f>
        <v/>
      </c>
      <c r="C35" s="31" t="str">
        <f>IF(A35="","","("&amp;CHOOSE(WEEKDAY(A35,2),"月","火","水","木","金","土","日")&amp;"）")</f>
        <v>(木）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46325</v>
      </c>
      <c r="B36" s="32">
        <f>IF(A36="","","日")</f>
        <v/>
      </c>
      <c r="C36" s="31" t="str">
        <f>IF(A36="","","("&amp;CHOOSE(WEEKDAY(A36,2),"月","火","水","木","金","土","日")&amp;"）")</f>
        <v>(金）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46326</v>
      </c>
      <c r="B37" s="33">
        <f>IF(A37="","","日")</f>
        <v/>
      </c>
      <c r="C37" s="34" t="str">
        <f>IF(A37="","","("&amp;CHOOSE(WEEKDAY(A37,2),"月","火","水","木","金","土","日")&amp;"）")</f>
        <v>(土）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topLeftCell="A2"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46327</v>
      </c>
      <c r="B7" s="30">
        <f>IF(A7="","","日")</f>
        <v/>
      </c>
      <c r="C7" s="31" t="str">
        <f>IF(A7="","","("&amp;CHOOSE(WEEKDAY(A7,2),"月","火","水","木","金","土","日")&amp;"）")</f>
        <v>(日）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46328</v>
      </c>
      <c r="B8" s="32">
        <f>IF(A8="","","日")</f>
        <v/>
      </c>
      <c r="C8" s="31" t="str">
        <f>IF(A8="","","("&amp;CHOOSE(WEEKDAY(A8,2),"月","火","水","木","金","土","日")&amp;"）")</f>
        <v>(月）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46329</v>
      </c>
      <c r="B9" s="32">
        <f>IF(A9="","","日")</f>
        <v/>
      </c>
      <c r="C9" s="31" t="str">
        <f>IF(A9="","","("&amp;CHOOSE(WEEKDAY(A9,2),"月","火","水","木","金","土","日")&amp;"）")</f>
        <v>(火）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str">
        <f>IF($A9="","",IFERROR(VLOOKUP($A9,祝日リスト!$A$2:$C$40,3,0),""))</f>
        <v>文化の日</v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46330</v>
      </c>
      <c r="B10" s="32">
        <f>IF(A10="","","日")</f>
        <v/>
      </c>
      <c r="C10" s="31" t="str">
        <f>IF(A10="","","("&amp;CHOOSE(WEEKDAY(A10,2),"月","火","水","木","金","土","日")&amp;"）")</f>
        <v>(水）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46331</v>
      </c>
      <c r="B11" s="32">
        <f>IF(A11="","","日")</f>
        <v/>
      </c>
      <c r="C11" s="31" t="str">
        <f>IF(A11="","","("&amp;CHOOSE(WEEKDAY(A11,2),"月","火","水","木","金","土","日")&amp;"）")</f>
        <v>(木）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46332</v>
      </c>
      <c r="B12" s="32">
        <f>IF(A12="","","日")</f>
        <v/>
      </c>
      <c r="C12" s="31" t="str">
        <f>IF(A12="","","("&amp;CHOOSE(WEEKDAY(A12,2),"月","火","水","木","金","土","日")&amp;"）")</f>
        <v>(金）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46333</v>
      </c>
      <c r="B13" s="32">
        <f>IF(A13="","","日")</f>
        <v/>
      </c>
      <c r="C13" s="31" t="str">
        <f>IF(A13="","","("&amp;CHOOSE(WEEKDAY(A13,2),"月","火","水","木","金","土","日")&amp;"）")</f>
        <v>(土）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46334</v>
      </c>
      <c r="B14" s="32">
        <f>IF(A14="","","日")</f>
        <v/>
      </c>
      <c r="C14" s="31" t="str">
        <f>IF(A14="","","("&amp;CHOOSE(WEEKDAY(A14,2),"月","火","水","木","金","土","日")&amp;"）")</f>
        <v>(日）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46335</v>
      </c>
      <c r="B15" s="32">
        <f>IF(A15="","","日")</f>
        <v/>
      </c>
      <c r="C15" s="31" t="str">
        <f>IF(A15="","","("&amp;CHOOSE(WEEKDAY(A15,2),"月","火","水","木","金","土","日")&amp;"）")</f>
        <v>(月）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46336</v>
      </c>
      <c r="B16" s="32">
        <f>IF(A16="","","日")</f>
        <v/>
      </c>
      <c r="C16" s="31" t="str">
        <f>IF(A16="","","("&amp;CHOOSE(WEEKDAY(A16,2),"月","火","水","木","金","土","日")&amp;"）")</f>
        <v>(火）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46337</v>
      </c>
      <c r="B17" s="32">
        <f>IF(A17="","","日")</f>
        <v/>
      </c>
      <c r="C17" s="31" t="str">
        <f>IF(A17="","","("&amp;CHOOSE(WEEKDAY(A17,2),"月","火","水","木","金","土","日")&amp;"）")</f>
        <v>(水）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46338</v>
      </c>
      <c r="B18" s="32">
        <f>IF(A18="","","日")</f>
        <v/>
      </c>
      <c r="C18" s="31" t="str">
        <f>IF(A18="","","("&amp;CHOOSE(WEEKDAY(A18,2),"月","火","水","木","金","土","日")&amp;"）")</f>
        <v>(木）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46339</v>
      </c>
      <c r="B19" s="32">
        <f>IF(A19="","","日")</f>
        <v/>
      </c>
      <c r="C19" s="31" t="str">
        <f>IF(A19="","","("&amp;CHOOSE(WEEKDAY(A19,2),"月","火","水","木","金","土","日")&amp;"）")</f>
        <v>(金）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46340</v>
      </c>
      <c r="B20" s="32">
        <f>IF(A20="","","日")</f>
        <v/>
      </c>
      <c r="C20" s="31" t="str">
        <f>IF(A20="","","("&amp;CHOOSE(WEEKDAY(A20,2),"月","火","水","木","金","土","日")&amp;"）")</f>
        <v>(土）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46341</v>
      </c>
      <c r="B21" s="32">
        <f>IF(A21="","","日")</f>
        <v/>
      </c>
      <c r="C21" s="31" t="str">
        <f>IF(A21="","","("&amp;CHOOSE(WEEKDAY(A21,2),"月","火","水","木","金","土","日")&amp;"）")</f>
        <v>(日）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46342</v>
      </c>
      <c r="B22" s="32">
        <f>IF(A22="","","日")</f>
        <v/>
      </c>
      <c r="C22" s="31" t="str">
        <f>IF(A22="","","("&amp;CHOOSE(WEEKDAY(A22,2),"月","火","水","木","金","土","日")&amp;"）")</f>
        <v>(月）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46343</v>
      </c>
      <c r="B23" s="32">
        <f>IF(A23="","","日")</f>
        <v/>
      </c>
      <c r="C23" s="31" t="str">
        <f>IF(A23="","","("&amp;CHOOSE(WEEKDAY(A23,2),"月","火","水","木","金","土","日")&amp;"）")</f>
        <v>(火）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46344</v>
      </c>
      <c r="B24" s="32">
        <f>IF(A24="","","日")</f>
        <v/>
      </c>
      <c r="C24" s="31" t="str">
        <f>IF(A24="","","("&amp;CHOOSE(WEEKDAY(A24,2),"月","火","水","木","金","土","日")&amp;"）")</f>
        <v>(水）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46345</v>
      </c>
      <c r="B25" s="32">
        <f>IF(A25="","","日")</f>
        <v/>
      </c>
      <c r="C25" s="31" t="str">
        <f>IF(A25="","","("&amp;CHOOSE(WEEKDAY(A25,2),"月","火","水","木","金","土","日")&amp;"）")</f>
        <v>(木）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46346</v>
      </c>
      <c r="B26" s="32">
        <f>IF(A26="","","日")</f>
        <v/>
      </c>
      <c r="C26" s="31" t="str">
        <f>IF(A26="","","("&amp;CHOOSE(WEEKDAY(A26,2),"月","火","水","木","金","土","日")&amp;"）")</f>
        <v>(金）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46347</v>
      </c>
      <c r="B27" s="32">
        <f>IF(A27="","","日")</f>
        <v/>
      </c>
      <c r="C27" s="31" t="str">
        <f>IF(A27="","","("&amp;CHOOSE(WEEKDAY(A27,2),"月","火","水","木","金","土","日")&amp;"）")</f>
        <v>(土）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46348</v>
      </c>
      <c r="B28" s="32">
        <f>IF(A28="","","日")</f>
        <v/>
      </c>
      <c r="C28" s="31" t="str">
        <f>IF(A28="","","("&amp;CHOOSE(WEEKDAY(A28,2),"月","火","水","木","金","土","日")&amp;"）")</f>
        <v>(日）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46349</v>
      </c>
      <c r="B29" s="32">
        <f>IF(A29="","","日")</f>
        <v/>
      </c>
      <c r="C29" s="31" t="str">
        <f>IF(A29="","","("&amp;CHOOSE(WEEKDAY(A29,2),"月","火","水","木","金","土","日")&amp;"）")</f>
        <v>(月）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 t="str">
        <f>IF($A29="","",IFERROR(VLOOKUP($A29,祝日リスト!$A$2:$C$40,3,0),""))</f>
        <v>勤労感謝の日</v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46350</v>
      </c>
      <c r="B30" s="32">
        <f>IF(A30="","","日")</f>
        <v/>
      </c>
      <c r="C30" s="31" t="str">
        <f>IF(A30="","","("&amp;CHOOSE(WEEKDAY(A30,2),"月","火","水","木","金","土","日")&amp;"）")</f>
        <v>(火）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46351</v>
      </c>
      <c r="B31" s="32">
        <f>IF(A31="","","日")</f>
        <v/>
      </c>
      <c r="C31" s="31" t="str">
        <f>IF(A31="","","("&amp;CHOOSE(WEEKDAY(A31,2),"月","火","水","木","金","土","日")&amp;"）")</f>
        <v>(水）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46352</v>
      </c>
      <c r="B32" s="32">
        <f>IF(A32="","","日")</f>
        <v/>
      </c>
      <c r="C32" s="31" t="str">
        <f>IF(A32="","","("&amp;CHOOSE(WEEKDAY(A32,2),"月","火","水","木","金","土","日")&amp;"）")</f>
        <v>(木）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46353</v>
      </c>
      <c r="B33" s="32">
        <f>IF(A33="","","日")</f>
        <v/>
      </c>
      <c r="C33" s="31" t="str">
        <f>IF(A33="","","("&amp;CHOOSE(WEEKDAY(A33,2),"月","火","水","木","金","土","日")&amp;"）")</f>
        <v>(金）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46354</v>
      </c>
      <c r="B34" s="32">
        <f>IF(A34="","","日")</f>
        <v/>
      </c>
      <c r="C34" s="31" t="str">
        <f>IF(A34="","","("&amp;CHOOSE(WEEKDAY(A34,2),"月","火","水","木","金","土","日")&amp;"）")</f>
        <v>(土）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46355</v>
      </c>
      <c r="B35" s="32">
        <f>IF(A35="","","日")</f>
        <v/>
      </c>
      <c r="C35" s="31" t="str">
        <f>IF(A35="","","("&amp;CHOOSE(WEEKDAY(A35,2),"月","火","水","木","金","土","日")&amp;"）")</f>
        <v>(日）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46356</v>
      </c>
      <c r="B36" s="32">
        <f>IF(A36="","","日")</f>
        <v/>
      </c>
      <c r="C36" s="31" t="str">
        <f>IF(A36="","","("&amp;CHOOSE(WEEKDAY(A36,2),"月","火","水","木","金","土","日")&amp;"）")</f>
        <v>(月）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3" sqref="A3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inlineStr">
        <is>
          <t xml:space="preserve">氏名　　　　　　　　　</t>
        </is>
      </c>
      <c r="J2" s="4" t="n"/>
      <c r="K2" s="29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2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>46357</v>
      </c>
      <c r="B7" s="30">
        <f>IF(A7="","","日")</f>
        <v/>
      </c>
      <c r="C7" s="31" t="str">
        <f>IF(A7="","","("&amp;CHOOSE(WEEKDAY(A7,2),"月","火","水","木","金","土","日")&amp;"）")</f>
        <v>(火）</v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IF($A7="","",IF($K7&lt;&gt;"","祝",IF(WEEKDAY($A7,2)=6,"土",IF(WEEKDAY($A7,2)=7,"日","平"))))</f>
        <v/>
      </c>
    </row>
    <row r="8" ht="20.25" customFormat="1" customHeight="1" s="28">
      <c r="A8" s="84">
        <f>IF(A7="","",IF(MONTH(A7+1)=$C$2,A7+1,""))</f>
        <v>46358</v>
      </c>
      <c r="B8" s="32">
        <f>IF(A8="","","日")</f>
        <v/>
      </c>
      <c r="C8" s="31" t="str">
        <f>IF(A8="","","("&amp;CHOOSE(WEEKDAY(A8,2),"月","火","水","木","金","土","日")&amp;"）")</f>
        <v>(水）</v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IF($A8="","",IF($K8&lt;&gt;"","祝",IF(WEEKDAY($A8,2)=6,"土",IF(WEEKDAY($A8,2)=7,"日","平"))))</f>
        <v/>
      </c>
    </row>
    <row r="9" ht="20.25" customFormat="1" customHeight="1" s="28">
      <c r="A9" s="84">
        <f>IF(A8="","",IF(MONTH(A8+1)=$C$2,A8+1,""))</f>
        <v>46359</v>
      </c>
      <c r="B9" s="32">
        <f>IF(A9="","","日")</f>
        <v/>
      </c>
      <c r="C9" s="31" t="str">
        <f>IF(A9="","","("&amp;CHOOSE(WEEKDAY(A9,2),"月","火","水","木","金","土","日")&amp;"）")</f>
        <v>(木）</v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IF($A9="","",IF($K9&lt;&gt;"","祝",IF(WEEKDAY($A9,2)=6,"土",IF(WEEKDAY($A9,2)=7,"日","平"))))</f>
        <v/>
      </c>
    </row>
    <row r="10" ht="20.25" customFormat="1" customHeight="1" s="28">
      <c r="A10" s="84">
        <f>IF(A9="","",IF(MONTH(A9+1)=$C$2,A9+1,""))</f>
        <v>46360</v>
      </c>
      <c r="B10" s="32">
        <f>IF(A10="","","日")</f>
        <v/>
      </c>
      <c r="C10" s="31" t="str">
        <f>IF(A10="","","("&amp;CHOOSE(WEEKDAY(A10,2),"月","火","水","木","金","土","日")&amp;"）")</f>
        <v>(金）</v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IF($A10="","",IF($K10&lt;&gt;"","祝",IF(WEEKDAY($A10,2)=6,"土",IF(WEEKDAY($A10,2)=7,"日","平"))))</f>
        <v/>
      </c>
    </row>
    <row r="11" ht="20.25" customFormat="1" customHeight="1" s="28">
      <c r="A11" s="84">
        <f>IF(A10="","",IF(MONTH(A10+1)=$C$2,A10+1,""))</f>
        <v>46361</v>
      </c>
      <c r="B11" s="32">
        <f>IF(A11="","","日")</f>
        <v/>
      </c>
      <c r="C11" s="31" t="str">
        <f>IF(A11="","","("&amp;CHOOSE(WEEKDAY(A11,2),"月","火","水","木","金","土","日")&amp;"）")</f>
        <v>(土）</v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IF($A11="","",IF($K11&lt;&gt;"","祝",IF(WEEKDAY($A11,2)=6,"土",IF(WEEKDAY($A11,2)=7,"日","平"))))</f>
        <v/>
      </c>
    </row>
    <row r="12" ht="20.25" customFormat="1" customHeight="1" s="28">
      <c r="A12" s="84">
        <f>IF(A11="","",IF(MONTH(A11+1)=$C$2,A11+1,""))</f>
        <v>46362</v>
      </c>
      <c r="B12" s="32">
        <f>IF(A12="","","日")</f>
        <v/>
      </c>
      <c r="C12" s="31" t="str">
        <f>IF(A12="","","("&amp;CHOOSE(WEEKDAY(A12,2),"月","火","水","木","金","土","日")&amp;"）")</f>
        <v>(日）</v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IF($A12="","",IF($K12&lt;&gt;"","祝",IF(WEEKDAY($A12,2)=6,"土",IF(WEEKDAY($A12,2)=7,"日","平"))))</f>
        <v/>
      </c>
    </row>
    <row r="13" ht="20.25" customFormat="1" customHeight="1" s="28">
      <c r="A13" s="84">
        <f>IF(A12="","",IF(MONTH(A12+1)=$C$2,A12+1,""))</f>
        <v>46363</v>
      </c>
      <c r="B13" s="32">
        <f>IF(A13="","","日")</f>
        <v/>
      </c>
      <c r="C13" s="31" t="str">
        <f>IF(A13="","","("&amp;CHOOSE(WEEKDAY(A13,2),"月","火","水","木","金","土","日")&amp;"）")</f>
        <v>(月）</v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IF($A13="","",IF($K13&lt;&gt;"","祝",IF(WEEKDAY($A13,2)=6,"土",IF(WEEKDAY($A13,2)=7,"日","平"))))</f>
        <v/>
      </c>
    </row>
    <row r="14" ht="20.25" customFormat="1" customHeight="1" s="28">
      <c r="A14" s="84">
        <f>IF(A13="","",IF(MONTH(A13+1)=$C$2,A13+1,""))</f>
        <v>46364</v>
      </c>
      <c r="B14" s="32">
        <f>IF(A14="","","日")</f>
        <v/>
      </c>
      <c r="C14" s="31" t="str">
        <f>IF(A14="","","("&amp;CHOOSE(WEEKDAY(A14,2),"月","火","水","木","金","土","日")&amp;"）")</f>
        <v>(火）</v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IF($A14="","",IF($K14&lt;&gt;"","祝",IF(WEEKDAY($A14,2)=6,"土",IF(WEEKDAY($A14,2)=7,"日","平"))))</f>
        <v/>
      </c>
    </row>
    <row r="15" ht="20.25" customFormat="1" customHeight="1" s="28">
      <c r="A15" s="84">
        <f>IF(A14="","",IF(MONTH(A14+1)=$C$2,A14+1,""))</f>
        <v>46365</v>
      </c>
      <c r="B15" s="32">
        <f>IF(A15="","","日")</f>
        <v/>
      </c>
      <c r="C15" s="31" t="str">
        <f>IF(A15="","","("&amp;CHOOSE(WEEKDAY(A15,2),"月","火","水","木","金","土","日")&amp;"）")</f>
        <v>(水）</v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IF($A15="","",IF($K15&lt;&gt;"","祝",IF(WEEKDAY($A15,2)=6,"土",IF(WEEKDAY($A15,2)=7,"日","平"))))</f>
        <v/>
      </c>
    </row>
    <row r="16" ht="20.25" customFormat="1" customHeight="1" s="28">
      <c r="A16" s="84">
        <f>IF(A15="","",IF(MONTH(A15+1)=$C$2,A15+1,""))</f>
        <v>46366</v>
      </c>
      <c r="B16" s="32">
        <f>IF(A16="","","日")</f>
        <v/>
      </c>
      <c r="C16" s="31" t="str">
        <f>IF(A16="","","("&amp;CHOOSE(WEEKDAY(A16,2),"月","火","水","木","金","土","日")&amp;"）")</f>
        <v>(木）</v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IF($A16="","",IF($K16&lt;&gt;"","祝",IF(WEEKDAY($A16,2)=6,"土",IF(WEEKDAY($A16,2)=7,"日","平"))))</f>
        <v/>
      </c>
    </row>
    <row r="17" ht="20.25" customFormat="1" customHeight="1" s="28">
      <c r="A17" s="84">
        <f>IF(A16="","",IF(MONTH(A16+1)=$C$2,A16+1,""))</f>
        <v>46367</v>
      </c>
      <c r="B17" s="32">
        <f>IF(A17="","","日")</f>
        <v/>
      </c>
      <c r="C17" s="31" t="str">
        <f>IF(A17="","","("&amp;CHOOSE(WEEKDAY(A17,2),"月","火","水","木","金","土","日")&amp;"）")</f>
        <v>(金）</v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IF($A17="","",IF($K17&lt;&gt;"","祝",IF(WEEKDAY($A17,2)=6,"土",IF(WEEKDAY($A17,2)=7,"日","平"))))</f>
        <v/>
      </c>
    </row>
    <row r="18" ht="20.25" customFormat="1" customHeight="1" s="28">
      <c r="A18" s="84">
        <f>IF(A17="","",IF(MONTH(A17+1)=$C$2,A17+1,""))</f>
        <v>46368</v>
      </c>
      <c r="B18" s="32">
        <f>IF(A18="","","日")</f>
        <v/>
      </c>
      <c r="C18" s="31" t="str">
        <f>IF(A18="","","("&amp;CHOOSE(WEEKDAY(A18,2),"月","火","水","木","金","土","日")&amp;"）")</f>
        <v>(土）</v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IF($A18="","",IF($K18&lt;&gt;"","祝",IF(WEEKDAY($A18,2)=6,"土",IF(WEEKDAY($A18,2)=7,"日","平"))))</f>
        <v/>
      </c>
    </row>
    <row r="19" ht="20.25" customFormat="1" customHeight="1" s="28">
      <c r="A19" s="84">
        <f>IF(A18="","",IF(MONTH(A18+1)=$C$2,A18+1,""))</f>
        <v>46369</v>
      </c>
      <c r="B19" s="32">
        <f>IF(A19="","","日")</f>
        <v/>
      </c>
      <c r="C19" s="31" t="str">
        <f>IF(A19="","","("&amp;CHOOSE(WEEKDAY(A19,2),"月","火","水","木","金","土","日")&amp;"）")</f>
        <v>(日）</v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IF($A19="","",IF($K19&lt;&gt;"","祝",IF(WEEKDAY($A19,2)=6,"土",IF(WEEKDAY($A19,2)=7,"日","平"))))</f>
        <v/>
      </c>
    </row>
    <row r="20" ht="20.25" customFormat="1" customHeight="1" s="28">
      <c r="A20" s="84">
        <f>IF(A19="","",IF(MONTH(A19+1)=$C$2,A19+1,""))</f>
        <v>46370</v>
      </c>
      <c r="B20" s="32">
        <f>IF(A20="","","日")</f>
        <v/>
      </c>
      <c r="C20" s="31" t="str">
        <f>IF(A20="","","("&amp;CHOOSE(WEEKDAY(A20,2),"月","火","水","木","金","土","日")&amp;"）")</f>
        <v>(月）</v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IF($A20="","",IF($K20&lt;&gt;"","祝",IF(WEEKDAY($A20,2)=6,"土",IF(WEEKDAY($A20,2)=7,"日","平"))))</f>
        <v/>
      </c>
    </row>
    <row r="21" ht="20.25" customFormat="1" customHeight="1" s="28">
      <c r="A21" s="84">
        <f>IF(A20="","",IF(MONTH(A20+1)=$C$2,A20+1,""))</f>
        <v>46371</v>
      </c>
      <c r="B21" s="32">
        <f>IF(A21="","","日")</f>
        <v/>
      </c>
      <c r="C21" s="31" t="str">
        <f>IF(A21="","","("&amp;CHOOSE(WEEKDAY(A21,2),"月","火","水","木","金","土","日")&amp;"）")</f>
        <v>(火）</v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IF($A21="","",IF($K21&lt;&gt;"","祝",IF(WEEKDAY($A21,2)=6,"土",IF(WEEKDAY($A21,2)=7,"日","平"))))</f>
        <v/>
      </c>
    </row>
    <row r="22" ht="20.25" customFormat="1" customHeight="1" s="28">
      <c r="A22" s="84">
        <f>IF(A21="","",IF(MONTH(A21+1)=$C$2,A21+1,""))</f>
        <v>46372</v>
      </c>
      <c r="B22" s="32">
        <f>IF(A22="","","日")</f>
        <v/>
      </c>
      <c r="C22" s="31" t="str">
        <f>IF(A22="","","("&amp;CHOOSE(WEEKDAY(A22,2),"月","火","水","木","金","土","日")&amp;"）")</f>
        <v>(水）</v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IF($A22="","",IF($K22&lt;&gt;"","祝",IF(WEEKDAY($A22,2)=6,"土",IF(WEEKDAY($A22,2)=7,"日","平"))))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>46373</v>
      </c>
      <c r="B23" s="32">
        <f>IF(A23="","","日")</f>
        <v/>
      </c>
      <c r="C23" s="31" t="str">
        <f>IF(A23="","","("&amp;CHOOSE(WEEKDAY(A23,2),"月","火","水","木","金","土","日")&amp;"）")</f>
        <v>(木）</v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IF($A23="","",IF($K23&lt;&gt;"","祝",IF(WEEKDAY($A23,2)=6,"土",IF(WEEKDAY($A23,2)=7,"日","平"))))</f>
        <v/>
      </c>
    </row>
    <row r="24" ht="20.25" customFormat="1" customHeight="1" s="28">
      <c r="A24" s="84">
        <f>IF(A23="","",IF(MONTH(A23+1)=$C$2,A23+1,""))</f>
        <v>46374</v>
      </c>
      <c r="B24" s="32">
        <f>IF(A24="","","日")</f>
        <v/>
      </c>
      <c r="C24" s="31" t="str">
        <f>IF(A24="","","("&amp;CHOOSE(WEEKDAY(A24,2),"月","火","水","木","金","土","日")&amp;"）")</f>
        <v>(金）</v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IF($A24="","",IF($K24&lt;&gt;"","祝",IF(WEEKDAY($A24,2)=6,"土",IF(WEEKDAY($A24,2)=7,"日","平"))))</f>
        <v/>
      </c>
    </row>
    <row r="25" ht="20.25" customFormat="1" customHeight="1" s="28">
      <c r="A25" s="84">
        <f>IF(A24="","",IF(MONTH(A24+1)=$C$2,A24+1,""))</f>
        <v>46375</v>
      </c>
      <c r="B25" s="32">
        <f>IF(A25="","","日")</f>
        <v/>
      </c>
      <c r="C25" s="31" t="str">
        <f>IF(A25="","","("&amp;CHOOSE(WEEKDAY(A25,2),"月","火","水","木","金","土","日")&amp;"）")</f>
        <v>(土）</v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IF($A25="","",IF($K25&lt;&gt;"","祝",IF(WEEKDAY($A25,2)=6,"土",IF(WEEKDAY($A25,2)=7,"日","平"))))</f>
        <v/>
      </c>
    </row>
    <row r="26" ht="20.25" customFormat="1" customHeight="1" s="28">
      <c r="A26" s="84">
        <f>IF(A25="","",IF(MONTH(A25+1)=$C$2,A25+1,""))</f>
        <v>46376</v>
      </c>
      <c r="B26" s="32">
        <f>IF(A26="","","日")</f>
        <v/>
      </c>
      <c r="C26" s="31" t="str">
        <f>IF(A26="","","("&amp;CHOOSE(WEEKDAY(A26,2),"月","火","水","木","金","土","日")&amp;"）")</f>
        <v>(日）</v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IF($A26="","",IF($K26&lt;&gt;"","祝",IF(WEEKDAY($A26,2)=6,"土",IF(WEEKDAY($A26,2)=7,"日","平"))))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>46377</v>
      </c>
      <c r="B27" s="32">
        <f>IF(A27="","","日")</f>
        <v/>
      </c>
      <c r="C27" s="31" t="str">
        <f>IF(A27="","","("&amp;CHOOSE(WEEKDAY(A27,2),"月","火","水","木","金","土","日")&amp;"）")</f>
        <v>(月）</v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IF($A27="","",IF($K27&lt;&gt;"","祝",IF(WEEKDAY($A27,2)=6,"土",IF(WEEKDAY($A27,2)=7,"日","平"))))</f>
        <v/>
      </c>
    </row>
    <row r="28" ht="20.25" customFormat="1" customHeight="1" s="28">
      <c r="A28" s="84">
        <f>IF(A27="","",IF(MONTH(A27+1)=$C$2,A27+1,""))</f>
        <v>46378</v>
      </c>
      <c r="B28" s="32">
        <f>IF(A28="","","日")</f>
        <v/>
      </c>
      <c r="C28" s="31" t="str">
        <f>IF(A28="","","("&amp;CHOOSE(WEEKDAY(A28,2),"月","火","水","木","金","土","日")&amp;"）")</f>
        <v>(火）</v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IF($A28="","",IF($K28&lt;&gt;"","祝",IF(WEEKDAY($A28,2)=6,"土",IF(WEEKDAY($A28,2)=7,"日","平"))))</f>
        <v/>
      </c>
    </row>
    <row r="29" ht="20.25" customFormat="1" customHeight="1" s="28">
      <c r="A29" s="84">
        <f>IF(A28="","",IF(MONTH(A28+1)=$C$2,A28+1,""))</f>
        <v>46379</v>
      </c>
      <c r="B29" s="32">
        <f>IF(A29="","","日")</f>
        <v/>
      </c>
      <c r="C29" s="31" t="str">
        <f>IF(A29="","","("&amp;CHOOSE(WEEKDAY(A29,2),"月","火","水","木","金","土","日")&amp;"）")</f>
        <v>(水）</v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IF($A29="","",IF($K29&lt;&gt;"","祝",IF(WEEKDAY($A29,2)=6,"土",IF(WEEKDAY($A29,2)=7,"日","平"))))</f>
        <v/>
      </c>
    </row>
    <row r="30" ht="20.25" customFormat="1" customHeight="1" s="28">
      <c r="A30" s="84">
        <f>IF(A29="","",IF(MONTH(A29+1)=$C$2,A29+1,""))</f>
        <v>46380</v>
      </c>
      <c r="B30" s="32">
        <f>IF(A30="","","日")</f>
        <v/>
      </c>
      <c r="C30" s="31" t="str">
        <f>IF(A30="","","("&amp;CHOOSE(WEEKDAY(A30,2),"月","火","水","木","金","土","日")&amp;"）")</f>
        <v>(木）</v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IF($A30="","",IF($K30&lt;&gt;"","祝",IF(WEEKDAY($A30,2)=6,"土",IF(WEEKDAY($A30,2)=7,"日","平"))))</f>
        <v/>
      </c>
    </row>
    <row r="31" ht="20.25" customFormat="1" customHeight="1" s="28">
      <c r="A31" s="84">
        <f>IF(A30="","",IF(MONTH(A30+1)=$C$2,A30+1,""))</f>
        <v>46381</v>
      </c>
      <c r="B31" s="32">
        <f>IF(A31="","","日")</f>
        <v/>
      </c>
      <c r="C31" s="31" t="str">
        <f>IF(A31="","","("&amp;CHOOSE(WEEKDAY(A31,2),"月","火","水","木","金","土","日")&amp;"）")</f>
        <v>(金）</v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IF($A31="","",IF($K31&lt;&gt;"","祝",IF(WEEKDAY($A31,2)=6,"土",IF(WEEKDAY($A31,2)=7,"日","平"))))</f>
        <v/>
      </c>
    </row>
    <row r="32" ht="20.25" customFormat="1" customHeight="1" s="28">
      <c r="A32" s="84">
        <f>IF(A31="","",IF(MONTH(A31+1)=$C$2,A31+1,""))</f>
        <v>46382</v>
      </c>
      <c r="B32" s="32">
        <f>IF(A32="","","日")</f>
        <v/>
      </c>
      <c r="C32" s="31" t="str">
        <f>IF(A32="","","("&amp;CHOOSE(WEEKDAY(A32,2),"月","火","水","木","金","土","日")&amp;"）")</f>
        <v>(土）</v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IF($A32="","",IF($K32&lt;&gt;"","祝",IF(WEEKDAY($A32,2)=6,"土",IF(WEEKDAY($A32,2)=7,"日","平"))))</f>
        <v/>
      </c>
    </row>
    <row r="33" ht="20.25" customFormat="1" customHeight="1" s="28">
      <c r="A33" s="84">
        <f>IF(A32="","",IF(MONTH(A32+1)=$C$2,A32+1,""))</f>
        <v>46383</v>
      </c>
      <c r="B33" s="32">
        <f>IF(A33="","","日")</f>
        <v/>
      </c>
      <c r="C33" s="31" t="str">
        <f>IF(A33="","","("&amp;CHOOSE(WEEKDAY(A33,2),"月","火","水","木","金","土","日")&amp;"）")</f>
        <v>(日）</v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IF($A33="","",IF($K33&lt;&gt;"","祝",IF(WEEKDAY($A33,2)=6,"土",IF(WEEKDAY($A33,2)=7,"日","平"))))</f>
        <v/>
      </c>
    </row>
    <row r="34" ht="20.25" customFormat="1" customHeight="1" s="28">
      <c r="A34" s="84">
        <f>IF(A33="","",IF(MONTH(A33+1)=$C$2,A33+1,""))</f>
        <v>46384</v>
      </c>
      <c r="B34" s="32">
        <f>IF(A34="","","日")</f>
        <v/>
      </c>
      <c r="C34" s="31" t="str">
        <f>IF(A34="","","("&amp;CHOOSE(WEEKDAY(A34,2),"月","火","水","木","金","土","日")&amp;"）")</f>
        <v>(月）</v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IF($A34="","",IF($K34&lt;&gt;"","祝",IF(WEEKDAY($A34,2)=6,"土",IF(WEEKDAY($A34,2)=7,"日","平"))))</f>
        <v/>
      </c>
    </row>
    <row r="35" ht="20.25" customFormat="1" customHeight="1" s="28">
      <c r="A35" s="84">
        <f>IF(A34="","",IF(MONTH(A34+1)=$C$2,A34+1,""))</f>
        <v>46385</v>
      </c>
      <c r="B35" s="32">
        <f>IF(A35="","","日")</f>
        <v/>
      </c>
      <c r="C35" s="31" t="str">
        <f>IF(A35="","","("&amp;CHOOSE(WEEKDAY(A35,2),"月","火","水","木","金","土","日")&amp;"）")</f>
        <v>(火）</v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IF($A35="","",IF($K35&lt;&gt;"","祝",IF(WEEKDAY($A35,2)=6,"土",IF(WEEKDAY($A35,2)=7,"日","平"))))</f>
        <v/>
      </c>
    </row>
    <row r="36" ht="20.25" customFormat="1" customHeight="1" s="28">
      <c r="A36" s="84">
        <f>IF(A35="","",IF(MONTH(A35+1)=$C$2,A35+1,""))</f>
        <v>46386</v>
      </c>
      <c r="B36" s="32">
        <f>IF(A36="","","日")</f>
        <v/>
      </c>
      <c r="C36" s="31" t="str">
        <f>IF(A36="","","("&amp;CHOOSE(WEEKDAY(A36,2),"月","火","水","木","金","土","日")&amp;"）")</f>
        <v>(水）</v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IF($A36="","",IF($K36&lt;&gt;"","祝",IF(WEEKDAY($A36,2)=6,"土",IF(WEEKDAY($A36,2)=7,"日","平"))))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>46387</v>
      </c>
      <c r="B37" s="33">
        <f>IF(A37="","","日")</f>
        <v/>
      </c>
      <c r="C37" s="34" t="str">
        <f>IF(A37="","","("&amp;CHOOSE(WEEKDAY(A37,2),"月","火","水","木","金","土","日")&amp;"）")</f>
        <v>(木）</v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IF($A37="","",IF($K37&lt;&gt;"","祝",IF(WEEKDAY($A37,2)=6,"土",IF(WEEKDAY($A37,2)=7,"日","平"))))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6">
        <f>COUNT($N$7:$N$37)</f>
        <v>0</v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7">
        <f>SUM($T$7:$T$37)-SUMIF($U$7:$U$37,"土",$T$7:$T$37)</f>
        <v>0</v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7">
        <f>SUM($P$7:$P$37)+SUM($Q$7:$Q$37)+SUM($R$7:$R$37)</f>
        <v>0</v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7">
        <f>SUMIF($U$7:$U$37,"土",$T$7:$T$37)</f>
        <v>0</v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>0</v>
      </c>
      <c r="K42" s="22" t="n"/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dataValidations count="1">
    <dataValidation sqref="D7:D37 F7:F37 G7:G37 H7:H37 I7:I37 J7:J37" showDropDown="0" showInputMessage="1" showErrorMessage="1" allowBlank="1" errorTitle="時刻の入力" error="コロンなしで 930（＝9時30分）のように入力してください。9:30 のようにコロン付きでも入力できます。" promptTitle="時刻の入力" prompt="930 と入力すれば 09:30 になります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9" fitToHeight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100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101" t="n">
        <v>46023</v>
      </c>
      <c r="B2" s="51" t="str">
        <f>IF(A2="","","（"&amp;CHOOSE(WEEKDAY(A2,2),"月","火","水","木","金","土","日")&amp;"）")</f>
        <v>（木）</v>
      </c>
      <c r="C2" t="inlineStr">
        <is>
          <t>元日</t>
        </is>
      </c>
    </row>
    <row r="3">
      <c r="A3" s="101" t="n">
        <v>46034</v>
      </c>
      <c r="B3" s="51" t="str">
        <f>IF(A3="","","（"&amp;CHOOSE(WEEKDAY(A3,2),"月","火","水","木","金","土","日")&amp;"）")</f>
        <v>（月）</v>
      </c>
      <c r="C3" t="inlineStr">
        <is>
          <t>成人の日</t>
        </is>
      </c>
    </row>
    <row r="4">
      <c r="A4" s="101" t="n">
        <v>46064</v>
      </c>
      <c r="B4" s="51" t="str">
        <f>IF(A4="","","（"&amp;CHOOSE(WEEKDAY(A4,2),"月","火","水","木","金","土","日")&amp;"）")</f>
        <v>（水）</v>
      </c>
      <c r="C4" t="inlineStr">
        <is>
          <t>建国記念の日</t>
        </is>
      </c>
    </row>
    <row r="5">
      <c r="A5" s="101" t="n">
        <v>46076</v>
      </c>
      <c r="B5" s="51" t="str">
        <f>IF(A5="","","（"&amp;CHOOSE(WEEKDAY(A5,2),"月","火","水","木","金","土","日")&amp;"）")</f>
        <v>（月）</v>
      </c>
      <c r="C5" t="inlineStr">
        <is>
          <t>天皇誕生日</t>
        </is>
      </c>
    </row>
    <row r="6">
      <c r="A6" s="101" t="n">
        <v>46101</v>
      </c>
      <c r="B6" s="51" t="str">
        <f>IF(A6="","","（"&amp;CHOOSE(WEEKDAY(A6,2),"月","火","水","木","金","土","日")&amp;"）")</f>
        <v>（金）</v>
      </c>
      <c r="C6" t="inlineStr">
        <is>
          <t>春分の日</t>
        </is>
      </c>
    </row>
    <row r="7">
      <c r="A7" s="101" t="n">
        <v>46141</v>
      </c>
      <c r="B7" s="51" t="str">
        <f>IF(A7="","","（"&amp;CHOOSE(WEEKDAY(A7,2),"月","火","水","木","金","土","日")&amp;"）")</f>
        <v>（水）</v>
      </c>
      <c r="C7" t="inlineStr">
        <is>
          <t>昭和の日</t>
        </is>
      </c>
    </row>
    <row r="8">
      <c r="A8" s="101" t="n">
        <v>46145</v>
      </c>
      <c r="B8" s="51" t="str">
        <f>IF(A8="","","（"&amp;CHOOSE(WEEKDAY(A8,2),"月","火","水","木","金","土","日")&amp;"）")</f>
        <v>（日）</v>
      </c>
      <c r="C8" t="inlineStr">
        <is>
          <t>憲法記念日</t>
        </is>
      </c>
    </row>
    <row r="9">
      <c r="A9" s="101" t="n">
        <v>46146</v>
      </c>
      <c r="B9" s="51" t="str">
        <f>IF(A9="","","（"&amp;CHOOSE(WEEKDAY(A9,2),"月","火","水","木","金","土","日")&amp;"）")</f>
        <v>（月）</v>
      </c>
      <c r="C9" t="inlineStr">
        <is>
          <t>みどりの日</t>
        </is>
      </c>
    </row>
    <row r="10">
      <c r="A10" s="101" t="n">
        <v>46147</v>
      </c>
      <c r="B10" s="51" t="str">
        <f>IF(A10="","","（"&amp;CHOOSE(WEEKDAY(A10,2),"月","火","水","木","金","土","日")&amp;"）")</f>
        <v>（火）</v>
      </c>
      <c r="C10" t="inlineStr">
        <is>
          <t>こどもの日</t>
        </is>
      </c>
    </row>
    <row r="11">
      <c r="A11" s="101" t="n">
        <v>46148</v>
      </c>
      <c r="B11" s="51" t="str">
        <f>IF(A11="","","（"&amp;CHOOSE(WEEKDAY(A11,2),"月","火","水","木","金","土","日")&amp;"）")</f>
        <v>（水）</v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101" t="n">
        <v>46223</v>
      </c>
      <c r="B12" s="51" t="str">
        <f>IF(A12="","","（"&amp;CHOOSE(WEEKDAY(A12,2),"月","火","水","木","金","土","日")&amp;"）")</f>
        <v>（月）</v>
      </c>
      <c r="C12" t="inlineStr">
        <is>
          <t>海の日</t>
        </is>
      </c>
    </row>
    <row r="13">
      <c r="A13" s="101" t="n">
        <v>46245</v>
      </c>
      <c r="B13" s="51" t="str">
        <f>IF(A13="","","（"&amp;CHOOSE(WEEKDAY(A13,2),"月","火","水","木","金","土","日")&amp;"）")</f>
        <v>（火）</v>
      </c>
      <c r="C13" t="inlineStr">
        <is>
          <t>山の日</t>
        </is>
      </c>
    </row>
    <row r="14">
      <c r="A14" s="101" t="n">
        <v>46286</v>
      </c>
      <c r="B14" s="51" t="str">
        <f>IF(A14="","","（"&amp;CHOOSE(WEEKDAY(A14,2),"月","火","水","木","金","土","日")&amp;"）")</f>
        <v>（月）</v>
      </c>
      <c r="C14" t="inlineStr">
        <is>
          <t>敬老の日</t>
        </is>
      </c>
    </row>
    <row r="15">
      <c r="A15" s="101" t="n">
        <v>46287</v>
      </c>
      <c r="B15" s="51" t="str">
        <f>IF(A15="","","（"&amp;CHOOSE(WEEKDAY(A15,2),"月","火","水","木","金","土","日")&amp;"）")</f>
        <v>（火）</v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101" t="n">
        <v>46288</v>
      </c>
      <c r="B16" s="51" t="str">
        <f>IF(A16="","","（"&amp;CHOOSE(WEEKDAY(A16,2),"月","火","水","木","金","土","日")&amp;"）")</f>
        <v>（水）</v>
      </c>
      <c r="C16" t="inlineStr">
        <is>
          <t>秋分の日</t>
        </is>
      </c>
    </row>
    <row r="17">
      <c r="A17" s="101" t="n">
        <v>46307</v>
      </c>
      <c r="B17" s="51" t="str">
        <f>IF(A17="","","（"&amp;CHOOSE(WEEKDAY(A17,2),"月","火","水","木","金","土","日")&amp;"）")</f>
        <v>（月）</v>
      </c>
      <c r="C17" t="inlineStr">
        <is>
          <t>スポーツの日</t>
        </is>
      </c>
    </row>
    <row r="18">
      <c r="A18" s="101" t="n">
        <v>46329</v>
      </c>
      <c r="B18" s="51" t="str">
        <f>IF(A18="","","（"&amp;CHOOSE(WEEKDAY(A18,2),"月","火","水","木","金","土","日")&amp;"）")</f>
        <v>（火）</v>
      </c>
      <c r="C18" t="inlineStr">
        <is>
          <t>文化の日</t>
        </is>
      </c>
    </row>
    <row r="19">
      <c r="A19" s="101" t="n">
        <v>46349</v>
      </c>
      <c r="B19" s="51" t="str">
        <f>IF(A19="","","（"&amp;CHOOSE(WEEKDAY(A19,2),"月","火","水","木","金","土","日")&amp;"）")</f>
        <v>（月）</v>
      </c>
      <c r="C19" t="inlineStr">
        <is>
          <t>勤労感謝の日</t>
        </is>
      </c>
    </row>
    <row r="20">
      <c r="A20" s="101" t="n"/>
      <c r="B20" s="51" t="n"/>
    </row>
    <row r="21">
      <c r="A21" s="102" t="n"/>
      <c r="C21" s="41" t="n"/>
    </row>
    <row r="22">
      <c r="A22" s="102" t="n"/>
    </row>
    <row r="23"/>
    <row r="24">
      <c r="A24" s="103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2026-08-04T03:22:16Z</dcterms:modified>
  <cp:lastModifiedBy>盛田 裕一</cp:lastModifiedBy>
</cp:coreProperties>
</file>