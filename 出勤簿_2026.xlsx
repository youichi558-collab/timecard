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6" activeTab="3" autoFilterDateGrouping="1"/>
  </bookViews>
  <sheets>
    <sheet name="1月" sheetId="1" state="visible" r:id="rId1"/>
    <sheet name="2月" sheetId="2" state="visible" r:id="rId2"/>
    <sheet name="3月" sheetId="3" state="visible" r:id="rId3"/>
    <sheet name="4月" sheetId="4" state="visible" r:id="rId4"/>
    <sheet name="5月" sheetId="5" state="visible" r:id="rId5"/>
    <sheet name="6月" sheetId="6" state="visible" r:id="rId6"/>
    <sheet name="7月" sheetId="7" state="visible" r:id="rId7"/>
    <sheet name="8月" sheetId="8" state="visible" r:id="rId8"/>
    <sheet name="9月" sheetId="9" state="visible" r:id="rId9"/>
    <sheet name="10月" sheetId="10" state="visible" r:id="rId10"/>
    <sheet name="11月" sheetId="11" state="visible" r:id="rId11"/>
    <sheet name="12月" sheetId="12" state="visible" r:id="rId12"/>
    <sheet name="祝日リスト" sheetId="13" state="visible" r:id="rId13"/>
  </sheets>
  <definedNames>
    <definedName name="_xlnm.Print_Area" localSheetId="0">'1月'!$A$1:$K$42</definedName>
    <definedName name="_xlnm.Print_Area" localSheetId="1">'2月'!$A$1:$K$42</definedName>
    <definedName name="_xlnm.Print_Area" localSheetId="2">'3月'!$A$1:$K$42</definedName>
    <definedName name="_xlnm.Print_Area" localSheetId="3">'4月'!$A$1:$K$42</definedName>
    <definedName name="_xlnm.Print_Area" localSheetId="4">'5月'!$A$1:$K$42</definedName>
    <definedName name="_xlnm.Print_Area" localSheetId="5">'6月'!$A$1:$K$42</definedName>
    <definedName name="_xlnm.Print_Area" localSheetId="6">'7月'!$A$1:$K$42</definedName>
    <definedName name="_xlnm.Print_Area" localSheetId="7">'8月'!$A$1:$K$42</definedName>
    <definedName name="_xlnm.Print_Area" localSheetId="8">'9月'!$A$1:$K$42</definedName>
    <definedName name="_xlnm.Print_Area" localSheetId="9">'10月'!$A$1:$K$42</definedName>
    <definedName name="_xlnm.Print_Area" localSheetId="10">'11月'!$A$1:$K$42</definedName>
    <definedName name="_xlnm.Print_Area" localSheetId="11">'12月'!$A$1:$K$42</definedName>
  </definedNames>
  <calcPr calcId="191028" fullCalcOnLoad="1"/>
</workbook>
</file>

<file path=xl/styles.xml><?xml version="1.0" encoding="utf-8"?>
<styleSheet xmlns="http://schemas.openxmlformats.org/spreadsheetml/2006/main">
  <numFmts count="7">
    <numFmt numFmtId="164" formatCode="d"/>
    <numFmt numFmtId="165" formatCode="yyyy/mm/dd"/>
    <numFmt numFmtId="166" formatCode="[$-F800]dddd\,\ mmmm\ dd\,\ yyyy"/>
    <numFmt numFmtId="167" formatCode="h:mm;@"/>
    <numFmt numFmtId="168" formatCode="[$-409]yyyy/m/d\ h:mm\ AM/PM;@"/>
    <numFmt numFmtId="169" formatCode="[h]:mm"/>
    <numFmt numFmtId="170" formatCode="00&quot;:&quot;00"/>
  </numFmts>
  <fonts count="16">
    <font>
      <name val="MS PGothic"/>
      <color rgb="FF000000"/>
      <sz val="11"/>
    </font>
    <font>
      <name val="MS PGothic"/>
      <charset val="128"/>
      <family val="3"/>
      <color theme="1"/>
      <sz val="11"/>
    </font>
    <font>
      <name val="MS PGothic"/>
      <charset val="128"/>
      <family val="3"/>
      <color theme="1"/>
      <sz val="14"/>
    </font>
    <font>
      <name val="Calibri"/>
      <family val="2"/>
      <color theme="1"/>
      <sz val="11"/>
    </font>
    <font>
      <name val="MS PGothic"/>
      <charset val="128"/>
      <family val="3"/>
      <sz val="11"/>
    </font>
    <font>
      <name val="MS PGothic"/>
      <charset val="128"/>
      <family val="3"/>
      <color theme="1"/>
      <sz val="12"/>
    </font>
    <font>
      <name val="Calibri"/>
      <family val="2"/>
      <color rgb="FF000000"/>
      <sz val="11"/>
    </font>
    <font>
      <name val="MS PGothic"/>
      <charset val="128"/>
      <family val="3"/>
      <color rgb="FF000000"/>
      <sz val="11"/>
    </font>
    <font>
      <name val="ＭＳ Ｐゴシック"/>
      <charset val="128"/>
      <family val="3"/>
      <sz val="6"/>
    </font>
    <font>
      <name val="ＭＳ ゴシック"/>
      <charset val="128"/>
      <family val="3"/>
      <color theme="1"/>
      <sz val="11"/>
    </font>
    <font>
      <name val="MS PGothic"/>
      <charset val="128"/>
      <family val="3"/>
      <color rgb="FF000000"/>
      <sz val="14"/>
    </font>
    <font>
      <name val="MS PGothic"/>
      <charset val="128"/>
      <family val="3"/>
      <sz val="14"/>
    </font>
    <font>
      <name val="MS PGothic"/>
      <charset val="128"/>
      <family val="3"/>
      <color theme="10"/>
      <sz val="11"/>
      <u val="single"/>
    </font>
    <font>
      <name val="MS PGothic"/>
      <charset val="128"/>
      <family val="3"/>
      <color theme="0"/>
      <sz val="11"/>
      <u val="double"/>
    </font>
    <font>
      <name val="MS PGothic"/>
      <charset val="128"/>
      <family val="3"/>
      <b val="1"/>
      <color theme="1"/>
      <sz val="11"/>
    </font>
    <font>
      <name val="ＭＳ ゴシック"/>
      <charset val="128"/>
      <family val="3"/>
      <color theme="1"/>
      <sz val="12"/>
    </font>
  </fonts>
  <fills count="2">
    <fill>
      <patternFill/>
    </fill>
    <fill>
      <patternFill patternType="gray125"/>
    </fill>
  </fills>
  <borders count="23">
    <border>
      <left/>
      <right/>
      <top/>
      <bottom/>
      <diagonal/>
    </border>
    <border>
      <left/>
      <right/>
      <top/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/>
      <right style="hair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/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/>
      <right/>
      <top/>
      <bottom style="double">
        <color indexed="64"/>
      </bottom>
      <diagonal/>
    </border>
    <border>
      <left style="double">
        <color rgb="FF000000"/>
      </left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indexed="64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/>
      <diagonal/>
    </border>
  </borders>
  <cellStyleXfs count="2">
    <xf numFmtId="0" fontId="0" fillId="0" borderId="0"/>
    <xf numFmtId="0" fontId="12" fillId="0" borderId="0"/>
  </cellStyleXfs>
  <cellXfs count="100">
    <xf numFmtId="0" fontId="0" fillId="0" borderId="0" pivotButton="0" quotePrefix="0" xfId="0"/>
    <xf numFmtId="0" fontId="1" fillId="0" borderId="0" pivotButton="0" quotePrefix="0" xfId="0"/>
    <xf numFmtId="0" fontId="1" fillId="0" borderId="2" pivotButton="0" quotePrefix="0" xfId="0"/>
    <xf numFmtId="0" fontId="2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164" fontId="1" fillId="0" borderId="0" pivotButton="0" quotePrefix="0" xfId="0"/>
    <xf numFmtId="0" fontId="1" fillId="0" borderId="0" applyAlignment="1" pivotButton="0" quotePrefix="0" xfId="0">
      <alignment horizontal="left"/>
    </xf>
    <xf numFmtId="164" fontId="2" fillId="0" borderId="0" pivotButton="0" quotePrefix="0" xfId="0"/>
    <xf numFmtId="0" fontId="2" fillId="0" borderId="0" applyAlignment="1" pivotButton="0" quotePrefix="0" xfId="0">
      <alignment horizontal="left"/>
    </xf>
    <xf numFmtId="0" fontId="5" fillId="0" borderId="2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5" fillId="0" borderId="15" applyAlignment="1" pivotButton="0" quotePrefix="0" xfId="0">
      <alignment horizontal="center" vertical="center"/>
    </xf>
    <xf numFmtId="0" fontId="5" fillId="0" borderId="1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17" applyAlignment="1" pivotButton="0" quotePrefix="0" xfId="0">
      <alignment vertical="center"/>
    </xf>
    <xf numFmtId="0" fontId="2" fillId="0" borderId="11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164" fontId="3" fillId="0" borderId="0" pivotButton="0" quotePrefix="0" xfId="0"/>
    <xf numFmtId="0" fontId="3" fillId="0" borderId="0" applyAlignment="1" pivotButton="0" quotePrefix="0" xfId="0">
      <alignment horizontal="left"/>
    </xf>
    <xf numFmtId="0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left" vertical="center"/>
    </xf>
    <xf numFmtId="0" fontId="5" fillId="0" borderId="9" applyAlignment="1" pivotButton="0" quotePrefix="0" xfId="0">
      <alignment horizontal="left" vertical="center"/>
    </xf>
    <xf numFmtId="0" fontId="5" fillId="0" borderId="1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0" borderId="12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5" fillId="0" borderId="1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20" fontId="2" fillId="0" borderId="2" applyAlignment="1" pivotButton="0" quotePrefix="0" xfId="0">
      <alignment horizontal="center" vertical="center"/>
    </xf>
    <xf numFmtId="20" fontId="2" fillId="0" borderId="10" applyAlignment="1" pivotButton="0" quotePrefix="0" xfId="0">
      <alignment horizontal="center" vertical="center"/>
    </xf>
    <xf numFmtId="20" fontId="2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2" applyAlignment="1" pivotButton="0" quotePrefix="0" xfId="0">
      <alignment horizontal="center" vertical="center"/>
    </xf>
    <xf numFmtId="164" fontId="5" fillId="0" borderId="7" applyAlignment="1" pivotButton="0" quotePrefix="0" xfId="0">
      <alignment horizontal="right" vertical="center"/>
    </xf>
    <xf numFmtId="164" fontId="5" fillId="0" borderId="8" applyAlignment="1" pivotButton="0" quotePrefix="0" xfId="0">
      <alignment horizontal="right" vertical="center"/>
    </xf>
    <xf numFmtId="164" fontId="5" fillId="0" borderId="19" applyAlignment="1" pivotButton="0" quotePrefix="0" xfId="0">
      <alignment horizontal="right" vertical="center"/>
    </xf>
    <xf numFmtId="0" fontId="10" fillId="0" borderId="18" applyAlignment="1" pivotButton="0" quotePrefix="0" xfId="0">
      <alignment vertical="center"/>
    </xf>
    <xf numFmtId="0" fontId="2" fillId="0" borderId="18" applyAlignment="1" pivotButton="0" quotePrefix="0" xfId="0">
      <alignment vertical="center"/>
    </xf>
    <xf numFmtId="0" fontId="11" fillId="0" borderId="18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14" fontId="7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right"/>
    </xf>
    <xf numFmtId="0" fontId="7" fillId="0" borderId="0" applyAlignment="1" pivotButton="0" quotePrefix="0" xfId="0">
      <alignment horizontal="center"/>
    </xf>
    <xf numFmtId="165" fontId="1" fillId="0" borderId="0" pivotButton="0" quotePrefix="0" xfId="0"/>
    <xf numFmtId="14" fontId="12" fillId="0" borderId="0" applyAlignment="1" pivotButton="0" quotePrefix="0" xfId="1">
      <alignment horizontal="left"/>
    </xf>
    <xf numFmtId="165" fontId="7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right"/>
    </xf>
    <xf numFmtId="0" fontId="2" fillId="0" borderId="20" applyAlignment="1" pivotButton="0" quotePrefix="0" xfId="0">
      <alignment vertical="center"/>
    </xf>
    <xf numFmtId="166" fontId="0" fillId="0" borderId="0" pivotButton="0" quotePrefix="0" xfId="0"/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20" fontId="2" fillId="0" borderId="11" applyAlignment="1" pivotButton="0" quotePrefix="0" xfId="0">
      <alignment horizontal="center" vertical="center"/>
    </xf>
    <xf numFmtId="167" fontId="0" fillId="0" borderId="0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168" fontId="2" fillId="0" borderId="17" applyAlignment="1" pivotButton="0" quotePrefix="0" xfId="0">
      <alignment vertical="center"/>
    </xf>
    <xf numFmtId="164" fontId="1" fillId="0" borderId="0" pivotButton="0" quotePrefix="0" xfId="0"/>
    <xf numFmtId="164" fontId="2" fillId="0" borderId="0" pivotButton="0" quotePrefix="0" xfId="0"/>
    <xf numFmtId="0" fontId="4" fillId="0" borderId="2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4" pivotButton="0" quotePrefix="0" xfId="0"/>
    <xf numFmtId="0" fontId="5" fillId="0" borderId="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164" fontId="5" fillId="0" borderId="7" applyAlignment="1" pivotButton="0" quotePrefix="0" xfId="0">
      <alignment horizontal="right" vertical="center"/>
    </xf>
    <xf numFmtId="170" fontId="2" fillId="0" borderId="2" applyAlignment="1" pivotButton="0" quotePrefix="0" xfId="0">
      <alignment horizontal="center" vertical="center"/>
    </xf>
    <xf numFmtId="170" fontId="2" fillId="0" borderId="6" applyAlignment="1" pivotButton="0" quotePrefix="0" xfId="0">
      <alignment horizontal="center" vertical="center"/>
    </xf>
    <xf numFmtId="164" fontId="5" fillId="0" borderId="8" applyAlignment="1" pivotButton="0" quotePrefix="0" xfId="0">
      <alignment horizontal="right" vertical="center"/>
    </xf>
    <xf numFmtId="170" fontId="2" fillId="0" borderId="10" applyAlignment="1" pivotButton="0" quotePrefix="0" xfId="0">
      <alignment horizontal="center" vertical="center"/>
    </xf>
    <xf numFmtId="170" fontId="2" fillId="0" borderId="11" applyAlignment="1" pivotButton="0" quotePrefix="0" xfId="0">
      <alignment horizontal="center" vertical="center"/>
    </xf>
    <xf numFmtId="164" fontId="5" fillId="0" borderId="19" applyAlignment="1" pivotButton="0" quotePrefix="0" xfId="0">
      <alignment horizontal="right" vertical="center"/>
    </xf>
    <xf numFmtId="170" fontId="2" fillId="0" borderId="1" applyAlignment="1" pivotButton="0" quotePrefix="0" xfId="0">
      <alignment horizontal="center" vertical="center"/>
    </xf>
    <xf numFmtId="170" fontId="2" fillId="0" borderId="13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right" vertical="center"/>
    </xf>
    <xf numFmtId="1" fontId="14" fillId="0" borderId="0" applyAlignment="1" pivotButton="0" quotePrefix="0" xfId="0">
      <alignment horizontal="center" vertical="center"/>
    </xf>
    <xf numFmtId="169" fontId="14" fillId="0" borderId="0" applyAlignment="1" pivotButton="0" quotePrefix="0" xfId="0">
      <alignment horizontal="center" vertical="center"/>
    </xf>
    <xf numFmtId="169" fontId="5" fillId="0" borderId="0" applyAlignment="1" pivotButton="0" quotePrefix="0" xfId="0">
      <alignment horizontal="center" vertical="center"/>
    </xf>
    <xf numFmtId="164" fontId="3" fillId="0" borderId="0" pivotButton="0" quotePrefix="0" xfId="0"/>
    <xf numFmtId="165" fontId="7" fillId="0" borderId="0" applyAlignment="1" pivotButton="0" quotePrefix="0" xfId="0">
      <alignment horizontal="center"/>
    </xf>
    <xf numFmtId="166" fontId="0" fillId="0" borderId="0" pivotButton="0" quotePrefix="0" xfId="0"/>
    <xf numFmtId="165" fontId="0" fillId="0" borderId="0" applyAlignment="1" pivotButton="0" quotePrefix="0" xfId="0">
      <alignment horizontal="right"/>
    </xf>
    <xf numFmtId="165" fontId="1" fillId="0" borderId="0" pivotButton="0" quotePrefix="0" xfId="0"/>
  </cellXfs>
  <cellStyles count="2">
    <cellStyle name="標準" xfId="0" builtinId="0"/>
    <cellStyle name="ハイパーリンク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K2" sqref="K2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46023</v>
      </c>
      <c r="B7" s="30">
        <f>IF(A7="","","日")</f>
        <v/>
      </c>
      <c r="C7" s="31" t="str">
        <f>IF(A7="","","("&amp;CHOOSE(WEEKDAY(A7,2),"月","火","水","木","金","土","日")&amp;"）")</f>
        <v>(木）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 t="str">
        <f>IF($A7="","",IFERROR(VLOOKUP($A7,祝日リスト!$A$2:$C$40,3,0),""))</f>
        <v>元日</v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46024</v>
      </c>
      <c r="B8" s="32">
        <f>IF(A8="","","日")</f>
        <v/>
      </c>
      <c r="C8" s="31" t="str">
        <f>IF(A8="","","("&amp;CHOOSE(WEEKDAY(A8,2),"月","火","水","木","金","土","日")&amp;"）")</f>
        <v>(金）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46025</v>
      </c>
      <c r="B9" s="32">
        <f>IF(A9="","","日")</f>
        <v/>
      </c>
      <c r="C9" s="31" t="str">
        <f>IF(A9="","","("&amp;CHOOSE(WEEKDAY(A9,2),"月","火","水","木","金","土","日")&amp;"）")</f>
        <v>(土）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46026</v>
      </c>
      <c r="B10" s="32">
        <f>IF(A10="","","日")</f>
        <v/>
      </c>
      <c r="C10" s="31" t="str">
        <f>IF(A10="","","("&amp;CHOOSE(WEEKDAY(A10,2),"月","火","水","木","金","土","日")&amp;"）")</f>
        <v>(日）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46027</v>
      </c>
      <c r="B11" s="32">
        <f>IF(A11="","","日")</f>
        <v/>
      </c>
      <c r="C11" s="31" t="str">
        <f>IF(A11="","","("&amp;CHOOSE(WEEKDAY(A11,2),"月","火","水","木","金","土","日")&amp;"）")</f>
        <v>(月）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46028</v>
      </c>
      <c r="B12" s="32">
        <f>IF(A12="","","日")</f>
        <v/>
      </c>
      <c r="C12" s="31" t="str">
        <f>IF(A12="","","("&amp;CHOOSE(WEEKDAY(A12,2),"月","火","水","木","金","土","日")&amp;"）")</f>
        <v>(火）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46029</v>
      </c>
      <c r="B13" s="32">
        <f>IF(A13="","","日")</f>
        <v/>
      </c>
      <c r="C13" s="31" t="str">
        <f>IF(A13="","","("&amp;CHOOSE(WEEKDAY(A13,2),"月","火","水","木","金","土","日")&amp;"）")</f>
        <v>(水）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46030</v>
      </c>
      <c r="B14" s="32">
        <f>IF(A14="","","日")</f>
        <v/>
      </c>
      <c r="C14" s="31" t="str">
        <f>IF(A14="","","("&amp;CHOOSE(WEEKDAY(A14,2),"月","火","水","木","金","土","日")&amp;"）")</f>
        <v>(木）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46031</v>
      </c>
      <c r="B15" s="32">
        <f>IF(A15="","","日")</f>
        <v/>
      </c>
      <c r="C15" s="31" t="str">
        <f>IF(A15="","","("&amp;CHOOSE(WEEKDAY(A15,2),"月","火","水","木","金","土","日")&amp;"）")</f>
        <v>(金）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46032</v>
      </c>
      <c r="B16" s="32">
        <f>IF(A16="","","日")</f>
        <v/>
      </c>
      <c r="C16" s="31" t="str">
        <f>IF(A16="","","("&amp;CHOOSE(WEEKDAY(A16,2),"月","火","水","木","金","土","日")&amp;"）")</f>
        <v>(土）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 t="inlineStr">
        <is>
          <t>入社日</t>
        </is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46033</v>
      </c>
      <c r="B17" s="32">
        <f>IF(A17="","","日")</f>
        <v/>
      </c>
      <c r="C17" s="31" t="str">
        <f>IF(A17="","","("&amp;CHOOSE(WEEKDAY(A17,2),"月","火","水","木","金","土","日")&amp;"）")</f>
        <v>(日）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46034</v>
      </c>
      <c r="B18" s="32">
        <f>IF(A18="","","日")</f>
        <v/>
      </c>
      <c r="C18" s="31" t="str">
        <f>IF(A18="","","("&amp;CHOOSE(WEEKDAY(A18,2),"月","火","水","木","金","土","日")&amp;"）")</f>
        <v>(月）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 t="str">
        <f>IF($A18="","",IFERROR(VLOOKUP($A18,祝日リスト!$A$2:$C$40,3,0),""))</f>
        <v>成人の日</v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46035</v>
      </c>
      <c r="B19" s="32">
        <f>IF(A19="","","日")</f>
        <v/>
      </c>
      <c r="C19" s="31" t="str">
        <f>IF(A19="","","("&amp;CHOOSE(WEEKDAY(A19,2),"月","火","水","木","金","土","日")&amp;"）")</f>
        <v>(火）</v>
      </c>
      <c r="D19" s="85" t="n">
        <v>1000</v>
      </c>
      <c r="E19" s="36" t="inlineStr">
        <is>
          <t>～</t>
        </is>
      </c>
      <c r="F19" s="85" t="n">
        <v>1600</v>
      </c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46036</v>
      </c>
      <c r="B20" s="32">
        <f>IF(A20="","","日")</f>
        <v/>
      </c>
      <c r="C20" s="31" t="str">
        <f>IF(A20="","","("&amp;CHOOSE(WEEKDAY(A20,2),"月","火","水","木","金","土","日")&amp;"）")</f>
        <v>(水）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46037</v>
      </c>
      <c r="B21" s="32">
        <f>IF(A21="","","日")</f>
        <v/>
      </c>
      <c r="C21" s="31" t="str">
        <f>IF(A21="","","("&amp;CHOOSE(WEEKDAY(A21,2),"月","火","水","木","金","土","日")&amp;"）")</f>
        <v>(木）</v>
      </c>
      <c r="D21" s="85" t="n">
        <v>1000</v>
      </c>
      <c r="E21" s="36" t="inlineStr">
        <is>
          <t>～</t>
        </is>
      </c>
      <c r="F21" s="85" t="n">
        <v>1600</v>
      </c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46038</v>
      </c>
      <c r="B22" s="32">
        <f>IF(A22="","","日")</f>
        <v/>
      </c>
      <c r="C22" s="31" t="str">
        <f>IF(A22="","","("&amp;CHOOSE(WEEKDAY(A22,2),"月","火","水","木","金","土","日")&amp;"）")</f>
        <v>(金）</v>
      </c>
      <c r="D22" s="85" t="n">
        <v>1000</v>
      </c>
      <c r="E22" s="36" t="inlineStr">
        <is>
          <t>～</t>
        </is>
      </c>
      <c r="F22" s="85" t="n">
        <v>1600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46039</v>
      </c>
      <c r="B23" s="32">
        <f>IF(A23="","","日")</f>
        <v/>
      </c>
      <c r="C23" s="31" t="str">
        <f>IF(A23="","","("&amp;CHOOSE(WEEKDAY(A23,2),"月","火","水","木","金","土","日")&amp;"）")</f>
        <v>(土）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46040</v>
      </c>
      <c r="B24" s="32">
        <f>IF(A24="","","日")</f>
        <v/>
      </c>
      <c r="C24" s="31" t="str">
        <f>IF(A24="","","("&amp;CHOOSE(WEEKDAY(A24,2),"月","火","水","木","金","土","日")&amp;"）")</f>
        <v>(日）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46041</v>
      </c>
      <c r="B25" s="32">
        <f>IF(A25="","","日")</f>
        <v/>
      </c>
      <c r="C25" s="31" t="str">
        <f>IF(A25="","","("&amp;CHOOSE(WEEKDAY(A25,2),"月","火","水","木","金","土","日")&amp;"）")</f>
        <v>(月）</v>
      </c>
      <c r="D25" s="85" t="n">
        <v>1000</v>
      </c>
      <c r="E25" s="36" t="inlineStr">
        <is>
          <t>～</t>
        </is>
      </c>
      <c r="F25" s="85" t="n">
        <v>1600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46042</v>
      </c>
      <c r="B26" s="32">
        <f>IF(A26="","","日")</f>
        <v/>
      </c>
      <c r="C26" s="31" t="str">
        <f>IF(A26="","","("&amp;CHOOSE(WEEKDAY(A26,2),"月","火","水","木","金","土","日")&amp;"）")</f>
        <v>(火）</v>
      </c>
      <c r="D26" s="85" t="n">
        <v>1000</v>
      </c>
      <c r="E26" s="36" t="inlineStr">
        <is>
          <t>～</t>
        </is>
      </c>
      <c r="F26" s="85" t="n">
        <v>1600</v>
      </c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46043</v>
      </c>
      <c r="B27" s="32">
        <f>IF(A27="","","日")</f>
        <v/>
      </c>
      <c r="C27" s="31" t="str">
        <f>IF(A27="","","("&amp;CHOOSE(WEEKDAY(A27,2),"月","火","水","木","金","土","日")&amp;"）")</f>
        <v>(水）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46044</v>
      </c>
      <c r="B28" s="32">
        <f>IF(A28="","","日")</f>
        <v/>
      </c>
      <c r="C28" s="31" t="str">
        <f>IF(A28="","","("&amp;CHOOSE(WEEKDAY(A28,2),"月","火","水","木","金","土","日")&amp;"）")</f>
        <v>(木）</v>
      </c>
      <c r="D28" s="85" t="n">
        <v>1000</v>
      </c>
      <c r="E28" s="36" t="inlineStr">
        <is>
          <t>～</t>
        </is>
      </c>
      <c r="F28" s="85" t="n">
        <v>1600</v>
      </c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46045</v>
      </c>
      <c r="B29" s="32">
        <f>IF(A29="","","日")</f>
        <v/>
      </c>
      <c r="C29" s="31" t="str">
        <f>IF(A29="","","("&amp;CHOOSE(WEEKDAY(A29,2),"月","火","水","木","金","土","日")&amp;"）")</f>
        <v>(金）</v>
      </c>
      <c r="D29" s="85" t="n">
        <v>1000</v>
      </c>
      <c r="E29" s="36" t="inlineStr">
        <is>
          <t>～</t>
        </is>
      </c>
      <c r="F29" s="85" t="n">
        <v>1600</v>
      </c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46046</v>
      </c>
      <c r="B30" s="32">
        <f>IF(A30="","","日")</f>
        <v/>
      </c>
      <c r="C30" s="31" t="str">
        <f>IF(A30="","","("&amp;CHOOSE(WEEKDAY(A30,2),"月","火","水","木","金","土","日")&amp;"）")</f>
        <v>(土）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46047</v>
      </c>
      <c r="B31" s="32">
        <f>IF(A31="","","日")</f>
        <v/>
      </c>
      <c r="C31" s="31" t="str">
        <f>IF(A31="","","("&amp;CHOOSE(WEEKDAY(A31,2),"月","火","水","木","金","土","日")&amp;"）")</f>
        <v>(日）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46048</v>
      </c>
      <c r="B32" s="32">
        <f>IF(A32="","","日")</f>
        <v/>
      </c>
      <c r="C32" s="31" t="str">
        <f>IF(A32="","","("&amp;CHOOSE(WEEKDAY(A32,2),"月","火","水","木","金","土","日")&amp;"）")</f>
        <v>(月）</v>
      </c>
      <c r="D32" s="85" t="n">
        <v>1000</v>
      </c>
      <c r="E32" s="36" t="inlineStr">
        <is>
          <t>～</t>
        </is>
      </c>
      <c r="F32" s="85" t="n">
        <v>1600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46049</v>
      </c>
      <c r="B33" s="32">
        <f>IF(A33="","","日")</f>
        <v/>
      </c>
      <c r="C33" s="31" t="str">
        <f>IF(A33="","","("&amp;CHOOSE(WEEKDAY(A33,2),"月","火","水","木","金","土","日")&amp;"）")</f>
        <v>(火）</v>
      </c>
      <c r="D33" s="85" t="n">
        <v>1000</v>
      </c>
      <c r="E33" s="36" t="inlineStr">
        <is>
          <t>～</t>
        </is>
      </c>
      <c r="F33" s="85" t="n">
        <v>1600</v>
      </c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46050</v>
      </c>
      <c r="B34" s="32">
        <f>IF(A34="","","日")</f>
        <v/>
      </c>
      <c r="C34" s="31" t="str">
        <f>IF(A34="","","("&amp;CHOOSE(WEEKDAY(A34,2),"月","火","水","木","金","土","日")&amp;"）")</f>
        <v>(水）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46051</v>
      </c>
      <c r="B35" s="32">
        <f>IF(A35="","","日")</f>
        <v/>
      </c>
      <c r="C35" s="31" t="str">
        <f>IF(A35="","","("&amp;CHOOSE(WEEKDAY(A35,2),"月","火","水","木","金","土","日")&amp;"）")</f>
        <v>(木）</v>
      </c>
      <c r="D35" s="85" t="n">
        <v>1000</v>
      </c>
      <c r="E35" s="36" t="inlineStr">
        <is>
          <t>～</t>
        </is>
      </c>
      <c r="F35" s="85" t="n">
        <v>1600</v>
      </c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46052</v>
      </c>
      <c r="B36" s="32">
        <f>IF(A36="","","日")</f>
        <v/>
      </c>
      <c r="C36" s="31" t="str">
        <f>IF(A36="","","("&amp;CHOOSE(WEEKDAY(A36,2),"月","火","水","木","金","土","日")&amp;"）")</f>
        <v>(金）</v>
      </c>
      <c r="D36" s="85" t="n">
        <v>1000</v>
      </c>
      <c r="E36" s="36" t="inlineStr">
        <is>
          <t>～</t>
        </is>
      </c>
      <c r="F36" s="85" t="n">
        <v>1600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>46053</v>
      </c>
      <c r="B37" s="33">
        <f>IF(A37="","","日")</f>
        <v/>
      </c>
      <c r="C37" s="34" t="str">
        <f>IF(A37="","","("&amp;CHOOSE(WEEKDAY(A37,2),"月","火","水","木","金","土","日")&amp;"）")</f>
        <v>(土）</v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11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2.75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2.75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2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46054</v>
      </c>
      <c r="B7" s="30">
        <f>IF(A7="","","日")</f>
        <v/>
      </c>
      <c r="C7" s="31" t="str">
        <f>IF(A7="","","("&amp;CHOOSE(WEEKDAY(A7,2),"月","火","水","木","金","土","日")&amp;"）")</f>
        <v>(日）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46055</v>
      </c>
      <c r="B8" s="32">
        <f>IF(A8="","","日")</f>
        <v/>
      </c>
      <c r="C8" s="31" t="str">
        <f>IF(A8="","","("&amp;CHOOSE(WEEKDAY(A8,2),"月","火","水","木","金","土","日")&amp;"）")</f>
        <v>(月）</v>
      </c>
      <c r="D8" s="85" t="n">
        <v>1000</v>
      </c>
      <c r="E8" s="36" t="inlineStr">
        <is>
          <t>～</t>
        </is>
      </c>
      <c r="F8" s="85" t="n">
        <v>1600</v>
      </c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46056</v>
      </c>
      <c r="B9" s="32">
        <f>IF(A9="","","日")</f>
        <v/>
      </c>
      <c r="C9" s="31" t="str">
        <f>IF(A9="","","("&amp;CHOOSE(WEEKDAY(A9,2),"月","火","水","木","金","土","日")&amp;"）")</f>
        <v>(火）</v>
      </c>
      <c r="D9" s="85" t="n">
        <v>1000</v>
      </c>
      <c r="E9" s="36" t="inlineStr">
        <is>
          <t>～</t>
        </is>
      </c>
      <c r="F9" s="85" t="n">
        <v>1600</v>
      </c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46057</v>
      </c>
      <c r="B10" s="32">
        <f>IF(A10="","","日")</f>
        <v/>
      </c>
      <c r="C10" s="31" t="str">
        <f>IF(A10="","","("&amp;CHOOSE(WEEKDAY(A10,2),"月","火","水","木","金","土","日")&amp;"）")</f>
        <v>(水）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46058</v>
      </c>
      <c r="B11" s="32">
        <f>IF(A11="","","日")</f>
        <v/>
      </c>
      <c r="C11" s="31" t="str">
        <f>IF(A11="","","("&amp;CHOOSE(WEEKDAY(A11,2),"月","火","水","木","金","土","日")&amp;"）")</f>
        <v>(木）</v>
      </c>
      <c r="D11" s="85" t="n">
        <v>1000</v>
      </c>
      <c r="E11" s="36" t="inlineStr">
        <is>
          <t>～</t>
        </is>
      </c>
      <c r="F11" s="85" t="n">
        <v>1600</v>
      </c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46059</v>
      </c>
      <c r="B12" s="32">
        <f>IF(A12="","","日")</f>
        <v/>
      </c>
      <c r="C12" s="31" t="str">
        <f>IF(A12="","","("&amp;CHOOSE(WEEKDAY(A12,2),"月","火","水","木","金","土","日")&amp;"）")</f>
        <v>(金）</v>
      </c>
      <c r="D12" s="85" t="n">
        <v>1000</v>
      </c>
      <c r="E12" s="36" t="inlineStr">
        <is>
          <t>～</t>
        </is>
      </c>
      <c r="F12" s="85" t="n">
        <v>1600</v>
      </c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46060</v>
      </c>
      <c r="B13" s="32">
        <f>IF(A13="","","日")</f>
        <v/>
      </c>
      <c r="C13" s="31" t="str">
        <f>IF(A13="","","("&amp;CHOOSE(WEEKDAY(A13,2),"月","火","水","木","金","土","日")&amp;"）")</f>
        <v>(土）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46061</v>
      </c>
      <c r="B14" s="32">
        <f>IF(A14="","","日")</f>
        <v/>
      </c>
      <c r="C14" s="31" t="str">
        <f>IF(A14="","","("&amp;CHOOSE(WEEKDAY(A14,2),"月","火","水","木","金","土","日")&amp;"）")</f>
        <v>(日）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46062</v>
      </c>
      <c r="B15" s="32">
        <f>IF(A15="","","日")</f>
        <v/>
      </c>
      <c r="C15" s="31" t="str">
        <f>IF(A15="","","("&amp;CHOOSE(WEEKDAY(A15,2),"月","火","水","木","金","土","日")&amp;"）")</f>
        <v>(月）</v>
      </c>
      <c r="D15" s="85" t="n">
        <v>1000</v>
      </c>
      <c r="E15" s="36" t="inlineStr">
        <is>
          <t>～</t>
        </is>
      </c>
      <c r="F15" s="85" t="n">
        <v>1600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46063</v>
      </c>
      <c r="B16" s="32">
        <f>IF(A16="","","日")</f>
        <v/>
      </c>
      <c r="C16" s="31" t="str">
        <f>IF(A16="","","("&amp;CHOOSE(WEEKDAY(A16,2),"月","火","水","木","金","土","日")&amp;"）")</f>
        <v>(火）</v>
      </c>
      <c r="D16" s="85" t="n">
        <v>1000</v>
      </c>
      <c r="E16" s="36" t="inlineStr">
        <is>
          <t>～</t>
        </is>
      </c>
      <c r="F16" s="85" t="n">
        <v>1600</v>
      </c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46064</v>
      </c>
      <c r="B17" s="32">
        <f>IF(A17="","","日")</f>
        <v/>
      </c>
      <c r="C17" s="31" t="str">
        <f>IF(A17="","","("&amp;CHOOSE(WEEKDAY(A17,2),"月","火","水","木","金","土","日")&amp;"）")</f>
        <v>(水）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 t="str">
        <f>IF($A17="","",IFERROR(VLOOKUP($A17,祝日リスト!$A$2:$C$40,3,0),""))</f>
        <v>建国記念の日</v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46065</v>
      </c>
      <c r="B18" s="32">
        <f>IF(A18="","","日")</f>
        <v/>
      </c>
      <c r="C18" s="31" t="str">
        <f>IF(A18="","","("&amp;CHOOSE(WEEKDAY(A18,2),"月","火","水","木","金","土","日")&amp;"）")</f>
        <v>(木）</v>
      </c>
      <c r="D18" s="85" t="n">
        <v>1000</v>
      </c>
      <c r="E18" s="36" t="inlineStr">
        <is>
          <t>～</t>
        </is>
      </c>
      <c r="F18" s="85" t="n">
        <v>1600</v>
      </c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46066</v>
      </c>
      <c r="B19" s="32">
        <f>IF(A19="","","日")</f>
        <v/>
      </c>
      <c r="C19" s="31" t="str">
        <f>IF(A19="","","("&amp;CHOOSE(WEEKDAY(A19,2),"月","火","水","木","金","土","日")&amp;"）")</f>
        <v>(金）</v>
      </c>
      <c r="D19" s="85" t="n">
        <v>1000</v>
      </c>
      <c r="E19" s="36" t="inlineStr">
        <is>
          <t>～</t>
        </is>
      </c>
      <c r="F19" s="85" t="n">
        <v>1600</v>
      </c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46067</v>
      </c>
      <c r="B20" s="32">
        <f>IF(A20="","","日")</f>
        <v/>
      </c>
      <c r="C20" s="31" t="str">
        <f>IF(A20="","","("&amp;CHOOSE(WEEKDAY(A20,2),"月","火","水","木","金","土","日")&amp;"）")</f>
        <v>(土）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46068</v>
      </c>
      <c r="B21" s="32">
        <f>IF(A21="","","日")</f>
        <v/>
      </c>
      <c r="C21" s="31" t="str">
        <f>IF(A21="","","("&amp;CHOOSE(WEEKDAY(A21,2),"月","火","水","木","金","土","日")&amp;"）")</f>
        <v>(日）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46069</v>
      </c>
      <c r="B22" s="32">
        <f>IF(A22="","","日")</f>
        <v/>
      </c>
      <c r="C22" s="31" t="str">
        <f>IF(A22="","","("&amp;CHOOSE(WEEKDAY(A22,2),"月","火","水","木","金","土","日")&amp;"）")</f>
        <v>(月）</v>
      </c>
      <c r="D22" s="85" t="n">
        <v>1000</v>
      </c>
      <c r="E22" s="36" t="inlineStr">
        <is>
          <t>～</t>
        </is>
      </c>
      <c r="F22" s="85" t="n">
        <v>1600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46070</v>
      </c>
      <c r="B23" s="32">
        <f>IF(A23="","","日")</f>
        <v/>
      </c>
      <c r="C23" s="31" t="str">
        <f>IF(A23="","","("&amp;CHOOSE(WEEKDAY(A23,2),"月","火","水","木","金","土","日")&amp;"）")</f>
        <v>(火）</v>
      </c>
      <c r="D23" s="85" t="n">
        <v>1000</v>
      </c>
      <c r="E23" s="36" t="inlineStr">
        <is>
          <t>～</t>
        </is>
      </c>
      <c r="F23" s="85" t="n">
        <v>1600</v>
      </c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46071</v>
      </c>
      <c r="B24" s="32">
        <f>IF(A24="","","日")</f>
        <v/>
      </c>
      <c r="C24" s="31" t="str">
        <f>IF(A24="","","("&amp;CHOOSE(WEEKDAY(A24,2),"月","火","水","木","金","土","日")&amp;"）")</f>
        <v>(水）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46072</v>
      </c>
      <c r="B25" s="32">
        <f>IF(A25="","","日")</f>
        <v/>
      </c>
      <c r="C25" s="31" t="str">
        <f>IF(A25="","","("&amp;CHOOSE(WEEKDAY(A25,2),"月","火","水","木","金","土","日")&amp;"）")</f>
        <v>(木）</v>
      </c>
      <c r="D25" s="85" t="n">
        <v>1000</v>
      </c>
      <c r="E25" s="36" t="inlineStr">
        <is>
          <t>～</t>
        </is>
      </c>
      <c r="F25" s="85" t="n">
        <v>1600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46073</v>
      </c>
      <c r="B26" s="32">
        <f>IF(A26="","","日")</f>
        <v/>
      </c>
      <c r="C26" s="31" t="str">
        <f>IF(A26="","","("&amp;CHOOSE(WEEKDAY(A26,2),"月","火","水","木","金","土","日")&amp;"）")</f>
        <v>(金）</v>
      </c>
      <c r="D26" s="85" t="n">
        <v>1000</v>
      </c>
      <c r="E26" s="36" t="inlineStr">
        <is>
          <t>～</t>
        </is>
      </c>
      <c r="F26" s="85" t="n">
        <v>1600</v>
      </c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46074</v>
      </c>
      <c r="B27" s="32">
        <f>IF(A27="","","日")</f>
        <v/>
      </c>
      <c r="C27" s="31" t="str">
        <f>IF(A27="","","("&amp;CHOOSE(WEEKDAY(A27,2),"月","火","水","木","金","土","日")&amp;"）")</f>
        <v>(土）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46075</v>
      </c>
      <c r="B28" s="32">
        <f>IF(A28="","","日")</f>
        <v/>
      </c>
      <c r="C28" s="31" t="str">
        <f>IF(A28="","","("&amp;CHOOSE(WEEKDAY(A28,2),"月","火","水","木","金","土","日")&amp;"）")</f>
        <v>(日）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46076</v>
      </c>
      <c r="B29" s="32">
        <f>IF(A29="","","日")</f>
        <v/>
      </c>
      <c r="C29" s="31" t="str">
        <f>IF(A29="","","("&amp;CHOOSE(WEEKDAY(A29,2),"月","火","水","木","金","土","日")&amp;"）")</f>
        <v>(月）</v>
      </c>
      <c r="D29" s="85" t="n">
        <v>1000</v>
      </c>
      <c r="E29" s="36" t="inlineStr">
        <is>
          <t>～</t>
        </is>
      </c>
      <c r="F29" s="85" t="n">
        <v>1600</v>
      </c>
      <c r="G29" s="86" t="n"/>
      <c r="H29" s="86" t="n"/>
      <c r="I29" s="86" t="n"/>
      <c r="J29" s="86" t="n"/>
      <c r="K29" s="16" t="str">
        <f>IF($A29="","",IFERROR(VLOOKUP($A29,祝日リスト!$A$2:$C$40,3,0),""))</f>
        <v>天皇誕生日</v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46077</v>
      </c>
      <c r="B30" s="32">
        <f>IF(A30="","","日")</f>
        <v/>
      </c>
      <c r="C30" s="31" t="str">
        <f>IF(A30="","","("&amp;CHOOSE(WEEKDAY(A30,2),"月","火","水","木","金","土","日")&amp;"）")</f>
        <v>(火）</v>
      </c>
      <c r="D30" s="85" t="n">
        <v>1000</v>
      </c>
      <c r="E30" s="36" t="inlineStr">
        <is>
          <t>～</t>
        </is>
      </c>
      <c r="F30" s="85" t="n">
        <v>1600</v>
      </c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46078</v>
      </c>
      <c r="B31" s="32">
        <f>IF(A31="","","日")</f>
        <v/>
      </c>
      <c r="C31" s="31" t="str">
        <f>IF(A31="","","("&amp;CHOOSE(WEEKDAY(A31,2),"月","火","水","木","金","土","日")&amp;"）")</f>
        <v>(水）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46079</v>
      </c>
      <c r="B32" s="32">
        <f>IF(A32="","","日")</f>
        <v/>
      </c>
      <c r="C32" s="31" t="str">
        <f>IF(A32="","","("&amp;CHOOSE(WEEKDAY(A32,2),"月","火","水","木","金","土","日")&amp;"）")</f>
        <v>(木）</v>
      </c>
      <c r="D32" s="85" t="n">
        <v>1000</v>
      </c>
      <c r="E32" s="36" t="inlineStr">
        <is>
          <t>～</t>
        </is>
      </c>
      <c r="F32" s="85" t="n">
        <v>1600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46080</v>
      </c>
      <c r="B33" s="32">
        <f>IF(A33="","","日")</f>
        <v/>
      </c>
      <c r="C33" s="31" t="str">
        <f>IF(A33="","","("&amp;CHOOSE(WEEKDAY(A33,2),"月","火","水","木","金","土","日")&amp;"）")</f>
        <v>(金）</v>
      </c>
      <c r="D33" s="85" t="n">
        <v>1000</v>
      </c>
      <c r="E33" s="36" t="inlineStr">
        <is>
          <t>～</t>
        </is>
      </c>
      <c r="F33" s="85" t="n">
        <v>1600</v>
      </c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46081</v>
      </c>
      <c r="B34" s="32">
        <f>IF(A34="","","日")</f>
        <v/>
      </c>
      <c r="C34" s="31" t="str">
        <f>IF(A34="","","("&amp;CHOOSE(WEEKDAY(A34,2),"月","火","水","木","金","土","日")&amp;"）")</f>
        <v>(土）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16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4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4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3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46082</v>
      </c>
      <c r="B7" s="30">
        <f>IF(A7="","","日")</f>
        <v/>
      </c>
      <c r="C7" s="31" t="str">
        <f>IF(A7="","","("&amp;CHOOSE(WEEKDAY(A7,2),"月","火","水","木","金","土","日")&amp;"）")</f>
        <v>(日）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46083</v>
      </c>
      <c r="B8" s="32">
        <f>IF(A8="","","日")</f>
        <v/>
      </c>
      <c r="C8" s="31" t="str">
        <f>IF(A8="","","("&amp;CHOOSE(WEEKDAY(A8,2),"月","火","水","木","金","土","日")&amp;"）")</f>
        <v>(月）</v>
      </c>
      <c r="D8" s="85" t="n"/>
      <c r="E8" s="36" t="inlineStr">
        <is>
          <t>～</t>
        </is>
      </c>
      <c r="F8" s="85" t="n">
        <v>1600</v>
      </c>
      <c r="G8" s="86" t="n"/>
      <c r="H8" s="86" t="n"/>
      <c r="I8" s="86" t="n"/>
      <c r="J8" s="86" t="n"/>
      <c r="K8" s="16" t="inlineStr">
        <is>
          <t>要確認: 出勤「10::00」</t>
        </is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46084</v>
      </c>
      <c r="B9" s="32">
        <f>IF(A9="","","日")</f>
        <v/>
      </c>
      <c r="C9" s="31" t="str">
        <f>IF(A9="","","("&amp;CHOOSE(WEEKDAY(A9,2),"月","火","水","木","金","土","日")&amp;"）")</f>
        <v>(火）</v>
      </c>
      <c r="D9" s="85" t="n">
        <v>1000</v>
      </c>
      <c r="E9" s="36" t="inlineStr">
        <is>
          <t>～</t>
        </is>
      </c>
      <c r="F9" s="85" t="n">
        <v>1600</v>
      </c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46085</v>
      </c>
      <c r="B10" s="32">
        <f>IF(A10="","","日")</f>
        <v/>
      </c>
      <c r="C10" s="31" t="str">
        <f>IF(A10="","","("&amp;CHOOSE(WEEKDAY(A10,2),"月","火","水","木","金","土","日")&amp;"）")</f>
        <v>(水）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46086</v>
      </c>
      <c r="B11" s="32">
        <f>IF(A11="","","日")</f>
        <v/>
      </c>
      <c r="C11" s="31" t="str">
        <f>IF(A11="","","("&amp;CHOOSE(WEEKDAY(A11,2),"月","火","水","木","金","土","日")&amp;"）")</f>
        <v>(木）</v>
      </c>
      <c r="D11" s="85" t="n">
        <v>1000</v>
      </c>
      <c r="E11" s="36" t="inlineStr">
        <is>
          <t>～</t>
        </is>
      </c>
      <c r="F11" s="85" t="n">
        <v>1600</v>
      </c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46087</v>
      </c>
      <c r="B12" s="32">
        <f>IF(A12="","","日")</f>
        <v/>
      </c>
      <c r="C12" s="31" t="str">
        <f>IF(A12="","","("&amp;CHOOSE(WEEKDAY(A12,2),"月","火","水","木","金","土","日")&amp;"）")</f>
        <v>(金）</v>
      </c>
      <c r="D12" s="85" t="n">
        <v>1000</v>
      </c>
      <c r="E12" s="36" t="inlineStr">
        <is>
          <t>～</t>
        </is>
      </c>
      <c r="F12" s="85" t="n">
        <v>1600</v>
      </c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46088</v>
      </c>
      <c r="B13" s="32">
        <f>IF(A13="","","日")</f>
        <v/>
      </c>
      <c r="C13" s="31" t="str">
        <f>IF(A13="","","("&amp;CHOOSE(WEEKDAY(A13,2),"月","火","水","木","金","土","日")&amp;"）")</f>
        <v>(土）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46089</v>
      </c>
      <c r="B14" s="32">
        <f>IF(A14="","","日")</f>
        <v/>
      </c>
      <c r="C14" s="31" t="str">
        <f>IF(A14="","","("&amp;CHOOSE(WEEKDAY(A14,2),"月","火","水","木","金","土","日")&amp;"）")</f>
        <v>(日）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46090</v>
      </c>
      <c r="B15" s="32">
        <f>IF(A15="","","日")</f>
        <v/>
      </c>
      <c r="C15" s="31" t="str">
        <f>IF(A15="","","("&amp;CHOOSE(WEEKDAY(A15,2),"月","火","水","木","金","土","日")&amp;"）")</f>
        <v>(月）</v>
      </c>
      <c r="D15" s="85" t="n">
        <v>1000</v>
      </c>
      <c r="E15" s="36" t="inlineStr">
        <is>
          <t>～</t>
        </is>
      </c>
      <c r="F15" s="85" t="n">
        <v>1600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46091</v>
      </c>
      <c r="B16" s="32">
        <f>IF(A16="","","日")</f>
        <v/>
      </c>
      <c r="C16" s="31" t="str">
        <f>IF(A16="","","("&amp;CHOOSE(WEEKDAY(A16,2),"月","火","水","木","金","土","日")&amp;"）")</f>
        <v>(火）</v>
      </c>
      <c r="D16" s="85" t="n">
        <v>1000</v>
      </c>
      <c r="E16" s="36" t="inlineStr">
        <is>
          <t>～</t>
        </is>
      </c>
      <c r="F16" s="85" t="n">
        <v>1600</v>
      </c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46092</v>
      </c>
      <c r="B17" s="32">
        <f>IF(A17="","","日")</f>
        <v/>
      </c>
      <c r="C17" s="31" t="str">
        <f>IF(A17="","","("&amp;CHOOSE(WEEKDAY(A17,2),"月","火","水","木","金","土","日")&amp;"）")</f>
        <v>(水）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46093</v>
      </c>
      <c r="B18" s="32">
        <f>IF(A18="","","日")</f>
        <v/>
      </c>
      <c r="C18" s="31" t="str">
        <f>IF(A18="","","("&amp;CHOOSE(WEEKDAY(A18,2),"月","火","水","木","金","土","日")&amp;"）")</f>
        <v>(木）</v>
      </c>
      <c r="D18" s="85" t="n">
        <v>1000</v>
      </c>
      <c r="E18" s="36" t="inlineStr">
        <is>
          <t>～</t>
        </is>
      </c>
      <c r="F18" s="85" t="n">
        <v>1600</v>
      </c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46094</v>
      </c>
      <c r="B19" s="32">
        <f>IF(A19="","","日")</f>
        <v/>
      </c>
      <c r="C19" s="31" t="str">
        <f>IF(A19="","","("&amp;CHOOSE(WEEKDAY(A19,2),"月","火","水","木","金","土","日")&amp;"）")</f>
        <v>(金）</v>
      </c>
      <c r="D19" s="85" t="n">
        <v>1000</v>
      </c>
      <c r="E19" s="36" t="inlineStr">
        <is>
          <t>～</t>
        </is>
      </c>
      <c r="F19" s="85" t="n">
        <v>1600</v>
      </c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46095</v>
      </c>
      <c r="B20" s="32">
        <f>IF(A20="","","日")</f>
        <v/>
      </c>
      <c r="C20" s="31" t="str">
        <f>IF(A20="","","("&amp;CHOOSE(WEEKDAY(A20,2),"月","火","水","木","金","土","日")&amp;"）")</f>
        <v>(土）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46096</v>
      </c>
      <c r="B21" s="32">
        <f>IF(A21="","","日")</f>
        <v/>
      </c>
      <c r="C21" s="31" t="str">
        <f>IF(A21="","","("&amp;CHOOSE(WEEKDAY(A21,2),"月","火","水","木","金","土","日")&amp;"）")</f>
        <v>(日）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46097</v>
      </c>
      <c r="B22" s="32">
        <f>IF(A22="","","日")</f>
        <v/>
      </c>
      <c r="C22" s="31" t="str">
        <f>IF(A22="","","("&amp;CHOOSE(WEEKDAY(A22,2),"月","火","水","木","金","土","日")&amp;"）")</f>
        <v>(月）</v>
      </c>
      <c r="D22" s="85" t="n">
        <v>1000</v>
      </c>
      <c r="E22" s="36" t="inlineStr">
        <is>
          <t>～</t>
        </is>
      </c>
      <c r="F22" s="85" t="n">
        <v>1600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46098</v>
      </c>
      <c r="B23" s="32">
        <f>IF(A23="","","日")</f>
        <v/>
      </c>
      <c r="C23" s="31" t="str">
        <f>IF(A23="","","("&amp;CHOOSE(WEEKDAY(A23,2),"月","火","水","木","金","土","日")&amp;"）")</f>
        <v>(火）</v>
      </c>
      <c r="D23" s="85" t="n">
        <v>1000</v>
      </c>
      <c r="E23" s="36" t="inlineStr">
        <is>
          <t>～</t>
        </is>
      </c>
      <c r="F23" s="85" t="n">
        <v>1600</v>
      </c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46099</v>
      </c>
      <c r="B24" s="32">
        <f>IF(A24="","","日")</f>
        <v/>
      </c>
      <c r="C24" s="31" t="str">
        <f>IF(A24="","","("&amp;CHOOSE(WEEKDAY(A24,2),"月","火","水","木","金","土","日")&amp;"）")</f>
        <v>(水）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46100</v>
      </c>
      <c r="B25" s="32">
        <f>IF(A25="","","日")</f>
        <v/>
      </c>
      <c r="C25" s="31" t="str">
        <f>IF(A25="","","("&amp;CHOOSE(WEEKDAY(A25,2),"月","火","水","木","金","土","日")&amp;"）")</f>
        <v>(木）</v>
      </c>
      <c r="D25" s="85" t="n">
        <v>1000</v>
      </c>
      <c r="E25" s="36" t="inlineStr">
        <is>
          <t>～</t>
        </is>
      </c>
      <c r="F25" s="85" t="n">
        <v>1600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46101</v>
      </c>
      <c r="B26" s="32">
        <f>IF(A26="","","日")</f>
        <v/>
      </c>
      <c r="C26" s="31" t="str">
        <f>IF(A26="","","("&amp;CHOOSE(WEEKDAY(A26,2),"月","火","水","木","金","土","日")&amp;"）")</f>
        <v>(金）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 t="str">
        <f>IF($A26="","",IFERROR(VLOOKUP($A26,祝日リスト!$A$2:$C$40,3,0),""))</f>
        <v>春分の日</v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46102</v>
      </c>
      <c r="B27" s="32">
        <f>IF(A27="","","日")</f>
        <v/>
      </c>
      <c r="C27" s="31" t="str">
        <f>IF(A27="","","("&amp;CHOOSE(WEEKDAY(A27,2),"月","火","水","木","金","土","日")&amp;"）")</f>
        <v>(土）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46103</v>
      </c>
      <c r="B28" s="32">
        <f>IF(A28="","","日")</f>
        <v/>
      </c>
      <c r="C28" s="31" t="str">
        <f>IF(A28="","","("&amp;CHOOSE(WEEKDAY(A28,2),"月","火","水","木","金","土","日")&amp;"）")</f>
        <v>(日）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46104</v>
      </c>
      <c r="B29" s="32">
        <f>IF(A29="","","日")</f>
        <v/>
      </c>
      <c r="C29" s="31" t="str">
        <f>IF(A29="","","("&amp;CHOOSE(WEEKDAY(A29,2),"月","火","水","木","金","土","日")&amp;"）")</f>
        <v>(月）</v>
      </c>
      <c r="D29" s="85" t="n">
        <v>1000</v>
      </c>
      <c r="E29" s="36" t="inlineStr">
        <is>
          <t>～</t>
        </is>
      </c>
      <c r="F29" s="85" t="n">
        <v>1600</v>
      </c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46105</v>
      </c>
      <c r="B30" s="32">
        <f>IF(A30="","","日")</f>
        <v/>
      </c>
      <c r="C30" s="31" t="str">
        <f>IF(A30="","","("&amp;CHOOSE(WEEKDAY(A30,2),"月","火","水","木","金","土","日")&amp;"）")</f>
        <v>(火）</v>
      </c>
      <c r="D30" s="85" t="n">
        <v>1000</v>
      </c>
      <c r="E30" s="36" t="inlineStr">
        <is>
          <t>～</t>
        </is>
      </c>
      <c r="F30" s="85" t="n">
        <v>1600</v>
      </c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46106</v>
      </c>
      <c r="B31" s="32">
        <f>IF(A31="","","日")</f>
        <v/>
      </c>
      <c r="C31" s="31" t="str">
        <f>IF(A31="","","("&amp;CHOOSE(WEEKDAY(A31,2),"月","火","水","木","金","土","日")&amp;"）")</f>
        <v>(水）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46107</v>
      </c>
      <c r="B32" s="32">
        <f>IF(A32="","","日")</f>
        <v/>
      </c>
      <c r="C32" s="31" t="str">
        <f>IF(A32="","","("&amp;CHOOSE(WEEKDAY(A32,2),"月","火","水","木","金","土","日")&amp;"）")</f>
        <v>(木）</v>
      </c>
      <c r="D32" s="85" t="n">
        <v>1000</v>
      </c>
      <c r="E32" s="36" t="inlineStr">
        <is>
          <t>～</t>
        </is>
      </c>
      <c r="F32" s="85" t="n">
        <v>1600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46108</v>
      </c>
      <c r="B33" s="32">
        <f>IF(A33="","","日")</f>
        <v/>
      </c>
      <c r="C33" s="31" t="str">
        <f>IF(A33="","","("&amp;CHOOSE(WEEKDAY(A33,2),"月","火","水","木","金","土","日")&amp;"）")</f>
        <v>(金）</v>
      </c>
      <c r="D33" s="85" t="n">
        <v>1000</v>
      </c>
      <c r="E33" s="36" t="inlineStr">
        <is>
          <t>～</t>
        </is>
      </c>
      <c r="F33" s="85" t="n">
        <v>1600</v>
      </c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46109</v>
      </c>
      <c r="B34" s="32">
        <f>IF(A34="","","日")</f>
        <v/>
      </c>
      <c r="C34" s="31" t="str">
        <f>IF(A34="","","("&amp;CHOOSE(WEEKDAY(A34,2),"月","火","水","木","金","土","日")&amp;"）")</f>
        <v>(土）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46110</v>
      </c>
      <c r="B35" s="32">
        <f>IF(A35="","","日")</f>
        <v/>
      </c>
      <c r="C35" s="31" t="str">
        <f>IF(A35="","","("&amp;CHOOSE(WEEKDAY(A35,2),"月","火","水","木","金","土","日")&amp;"）")</f>
        <v>(日）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46111</v>
      </c>
      <c r="B36" s="32">
        <f>IF(A36="","","日")</f>
        <v/>
      </c>
      <c r="C36" s="31" t="str">
        <f>IF(A36="","","("&amp;CHOOSE(WEEKDAY(A36,2),"月","火","水","木","金","土","日")&amp;"）")</f>
        <v>(月）</v>
      </c>
      <c r="D36" s="85" t="n">
        <v>1000</v>
      </c>
      <c r="E36" s="36" t="inlineStr">
        <is>
          <t>～</t>
        </is>
      </c>
      <c r="F36" s="85" t="n">
        <v>1600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>46112</v>
      </c>
      <c r="B37" s="33">
        <f>IF(A37="","","日")</f>
        <v/>
      </c>
      <c r="C37" s="34" t="str">
        <f>IF(A37="","","("&amp;CHOOSE(WEEKDAY(A37,2),"月","火","水","木","金","土","日")&amp;"）")</f>
        <v>(火）</v>
      </c>
      <c r="D37" s="88" t="n">
        <v>1000</v>
      </c>
      <c r="E37" s="37" t="inlineStr">
        <is>
          <t>～</t>
        </is>
      </c>
      <c r="F37" s="88" t="n">
        <v>1600</v>
      </c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16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4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4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4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46113</v>
      </c>
      <c r="B7" s="30">
        <f>IF(A7="","","日")</f>
        <v/>
      </c>
      <c r="C7" s="31" t="str">
        <f>IF(A7="","","("&amp;CHOOSE(WEEKDAY(A7,2),"月","火","水","木","金","土","日")&amp;"）")</f>
        <v>(水）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46114</v>
      </c>
      <c r="B8" s="32">
        <f>IF(A8="","","日")</f>
        <v/>
      </c>
      <c r="C8" s="31" t="str">
        <f>IF(A8="","","("&amp;CHOOSE(WEEKDAY(A8,2),"月","火","水","木","金","土","日")&amp;"）")</f>
        <v>(木）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46115</v>
      </c>
      <c r="B9" s="32">
        <f>IF(A9="","","日")</f>
        <v/>
      </c>
      <c r="C9" s="31" t="str">
        <f>IF(A9="","","("&amp;CHOOSE(WEEKDAY(A9,2),"月","火","水","木","金","土","日")&amp;"）")</f>
        <v>(金）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46116</v>
      </c>
      <c r="B10" s="32">
        <f>IF(A10="","","日")</f>
        <v/>
      </c>
      <c r="C10" s="31" t="str">
        <f>IF(A10="","","("&amp;CHOOSE(WEEKDAY(A10,2),"月","火","水","木","金","土","日")&amp;"）")</f>
        <v>(土）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46117</v>
      </c>
      <c r="B11" s="32">
        <f>IF(A11="","","日")</f>
        <v/>
      </c>
      <c r="C11" s="31" t="str">
        <f>IF(A11="","","("&amp;CHOOSE(WEEKDAY(A11,2),"月","火","水","木","金","土","日")&amp;"）")</f>
        <v>(日）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46118</v>
      </c>
      <c r="B12" s="32">
        <f>IF(A12="","","日")</f>
        <v/>
      </c>
      <c r="C12" s="31" t="str">
        <f>IF(A12="","","("&amp;CHOOSE(WEEKDAY(A12,2),"月","火","水","木","金","土","日")&amp;"）")</f>
        <v>(月）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46119</v>
      </c>
      <c r="B13" s="32">
        <f>IF(A13="","","日")</f>
        <v/>
      </c>
      <c r="C13" s="31" t="str">
        <f>IF(A13="","","("&amp;CHOOSE(WEEKDAY(A13,2),"月","火","水","木","金","土","日")&amp;"）")</f>
        <v>(火）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46120</v>
      </c>
      <c r="B14" s="32">
        <f>IF(A14="","","日")</f>
        <v/>
      </c>
      <c r="C14" s="31" t="str">
        <f>IF(A14="","","("&amp;CHOOSE(WEEKDAY(A14,2),"月","火","水","木","金","土","日")&amp;"）")</f>
        <v>(水）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46121</v>
      </c>
      <c r="B15" s="32">
        <f>IF(A15="","","日")</f>
        <v/>
      </c>
      <c r="C15" s="31" t="str">
        <f>IF(A15="","","("&amp;CHOOSE(WEEKDAY(A15,2),"月","火","水","木","金","土","日")&amp;"）")</f>
        <v>(木）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46122</v>
      </c>
      <c r="B16" s="32">
        <f>IF(A16="","","日")</f>
        <v/>
      </c>
      <c r="C16" s="31" t="str">
        <f>IF(A16="","","("&amp;CHOOSE(WEEKDAY(A16,2),"月","火","水","木","金","土","日")&amp;"）")</f>
        <v>(金）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46123</v>
      </c>
      <c r="B17" s="32">
        <f>IF(A17="","","日")</f>
        <v/>
      </c>
      <c r="C17" s="31" t="str">
        <f>IF(A17="","","("&amp;CHOOSE(WEEKDAY(A17,2),"月","火","水","木","金","土","日")&amp;"）")</f>
        <v>(土）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46124</v>
      </c>
      <c r="B18" s="32">
        <f>IF(A18="","","日")</f>
        <v/>
      </c>
      <c r="C18" s="31" t="str">
        <f>IF(A18="","","("&amp;CHOOSE(WEEKDAY(A18,2),"月","火","水","木","金","土","日")&amp;"）")</f>
        <v>(日）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46125</v>
      </c>
      <c r="B19" s="32">
        <f>IF(A19="","","日")</f>
        <v/>
      </c>
      <c r="C19" s="31" t="str">
        <f>IF(A19="","","("&amp;CHOOSE(WEEKDAY(A19,2),"月","火","水","木","金","土","日")&amp;"）")</f>
        <v>(月）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46126</v>
      </c>
      <c r="B20" s="32">
        <f>IF(A20="","","日")</f>
        <v/>
      </c>
      <c r="C20" s="31" t="str">
        <f>IF(A20="","","("&amp;CHOOSE(WEEKDAY(A20,2),"月","火","水","木","金","土","日")&amp;"）")</f>
        <v>(火）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46127</v>
      </c>
      <c r="B21" s="32">
        <f>IF(A21="","","日")</f>
        <v/>
      </c>
      <c r="C21" s="31" t="str">
        <f>IF(A21="","","("&amp;CHOOSE(WEEKDAY(A21,2),"月","火","水","木","金","土","日")&amp;"）")</f>
        <v>(水）</v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 t="inlineStr">
        <is>
          <t>入社日</t>
        </is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46128</v>
      </c>
      <c r="B22" s="32">
        <f>IF(A22="","","日")</f>
        <v/>
      </c>
      <c r="C22" s="31" t="str">
        <f>IF(A22="","","("&amp;CHOOSE(WEEKDAY(A22,2),"月","火","水","木","金","土","日")&amp;"）")</f>
        <v>(木）</v>
      </c>
      <c r="D22" s="85" t="n">
        <v>900</v>
      </c>
      <c r="E22" s="36" t="inlineStr">
        <is>
          <t>～</t>
        </is>
      </c>
      <c r="F22" s="85" t="n">
        <v>1500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46129</v>
      </c>
      <c r="B23" s="32">
        <f>IF(A23="","","日")</f>
        <v/>
      </c>
      <c r="C23" s="31" t="str">
        <f>IF(A23="","","("&amp;CHOOSE(WEEKDAY(A23,2),"月","火","水","木","金","土","日")&amp;"）")</f>
        <v>(金）</v>
      </c>
      <c r="D23" s="85" t="n">
        <v>900</v>
      </c>
      <c r="E23" s="36" t="inlineStr">
        <is>
          <t>～</t>
        </is>
      </c>
      <c r="F23" s="85" t="n">
        <v>1500</v>
      </c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46130</v>
      </c>
      <c r="B24" s="32">
        <f>IF(A24="","","日")</f>
        <v/>
      </c>
      <c r="C24" s="31" t="str">
        <f>IF(A24="","","("&amp;CHOOSE(WEEKDAY(A24,2),"月","火","水","木","金","土","日")&amp;"）")</f>
        <v>(土）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46131</v>
      </c>
      <c r="B25" s="32">
        <f>IF(A25="","","日")</f>
        <v/>
      </c>
      <c r="C25" s="31" t="str">
        <f>IF(A25="","","("&amp;CHOOSE(WEEKDAY(A25,2),"月","火","水","木","金","土","日")&amp;"）")</f>
        <v>(日）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46132</v>
      </c>
      <c r="B26" s="32">
        <f>IF(A26="","","日")</f>
        <v/>
      </c>
      <c r="C26" s="31" t="str">
        <f>IF(A26="","","("&amp;CHOOSE(WEEKDAY(A26,2),"月","火","水","木","金","土","日")&amp;"）")</f>
        <v>(月）</v>
      </c>
      <c r="D26" s="85" t="n">
        <v>900</v>
      </c>
      <c r="E26" s="36" t="inlineStr">
        <is>
          <t>～</t>
        </is>
      </c>
      <c r="F26" s="85" t="n">
        <v>1500</v>
      </c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46133</v>
      </c>
      <c r="B27" s="32">
        <f>IF(A27="","","日")</f>
        <v/>
      </c>
      <c r="C27" s="31" t="str">
        <f>IF(A27="","","("&amp;CHOOSE(WEEKDAY(A27,2),"月","火","水","木","金","土","日")&amp;"）")</f>
        <v>(火）</v>
      </c>
      <c r="D27" s="85" t="n">
        <v>900</v>
      </c>
      <c r="E27" s="36" t="inlineStr">
        <is>
          <t>～</t>
        </is>
      </c>
      <c r="F27" s="85" t="n">
        <v>1500</v>
      </c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46134</v>
      </c>
      <c r="B28" s="32">
        <f>IF(A28="","","日")</f>
        <v/>
      </c>
      <c r="C28" s="31" t="str">
        <f>IF(A28="","","("&amp;CHOOSE(WEEKDAY(A28,2),"月","火","水","木","金","土","日")&amp;"）")</f>
        <v>(水）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46135</v>
      </c>
      <c r="B29" s="32">
        <f>IF(A29="","","日")</f>
        <v/>
      </c>
      <c r="C29" s="31" t="str">
        <f>IF(A29="","","("&amp;CHOOSE(WEEKDAY(A29,2),"月","火","水","木","金","土","日")&amp;"）")</f>
        <v>(木）</v>
      </c>
      <c r="D29" s="85" t="n">
        <v>900</v>
      </c>
      <c r="E29" s="36" t="inlineStr">
        <is>
          <t>～</t>
        </is>
      </c>
      <c r="F29" s="85" t="n">
        <v>1500</v>
      </c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46136</v>
      </c>
      <c r="B30" s="32">
        <f>IF(A30="","","日")</f>
        <v/>
      </c>
      <c r="C30" s="31" t="str">
        <f>IF(A30="","","("&amp;CHOOSE(WEEKDAY(A30,2),"月","火","水","木","金","土","日")&amp;"）")</f>
        <v>(金）</v>
      </c>
      <c r="D30" s="85" t="n">
        <v>900</v>
      </c>
      <c r="E30" s="36" t="inlineStr">
        <is>
          <t>～</t>
        </is>
      </c>
      <c r="F30" s="85" t="n">
        <v>1500</v>
      </c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46137</v>
      </c>
      <c r="B31" s="32">
        <f>IF(A31="","","日")</f>
        <v/>
      </c>
      <c r="C31" s="31" t="str">
        <f>IF(A31="","","("&amp;CHOOSE(WEEKDAY(A31,2),"月","火","水","木","金","土","日")&amp;"）")</f>
        <v>(土）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46138</v>
      </c>
      <c r="B32" s="32">
        <f>IF(A32="","","日")</f>
        <v/>
      </c>
      <c r="C32" s="31" t="str">
        <f>IF(A32="","","("&amp;CHOOSE(WEEKDAY(A32,2),"月","火","水","木","金","土","日")&amp;"）")</f>
        <v>(日）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46139</v>
      </c>
      <c r="B33" s="32">
        <f>IF(A33="","","日")</f>
        <v/>
      </c>
      <c r="C33" s="31" t="str">
        <f>IF(A33="","","("&amp;CHOOSE(WEEKDAY(A33,2),"月","火","水","木","金","土","日")&amp;"）")</f>
        <v>(月）</v>
      </c>
      <c r="D33" s="85" t="n">
        <v>900</v>
      </c>
      <c r="E33" s="36" t="inlineStr">
        <is>
          <t>～</t>
        </is>
      </c>
      <c r="F33" s="85" t="n">
        <v>1500</v>
      </c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46140</v>
      </c>
      <c r="B34" s="32">
        <f>IF(A34="","","日")</f>
        <v/>
      </c>
      <c r="C34" s="31" t="str">
        <f>IF(A34="","","("&amp;CHOOSE(WEEKDAY(A34,2),"月","火","水","木","金","土","日")&amp;"）")</f>
        <v>(火）</v>
      </c>
      <c r="D34" s="85" t="n">
        <v>900</v>
      </c>
      <c r="E34" s="36" t="inlineStr">
        <is>
          <t>～</t>
        </is>
      </c>
      <c r="F34" s="85" t="n">
        <v>1500</v>
      </c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46141</v>
      </c>
      <c r="B35" s="32">
        <f>IF(A35="","","日")</f>
        <v/>
      </c>
      <c r="C35" s="31" t="str">
        <f>IF(A35="","","("&amp;CHOOSE(WEEKDAY(A35,2),"月","火","水","木","金","土","日")&amp;"）")</f>
        <v>(水）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 t="str">
        <f>IF($A35="","",IFERROR(VLOOKUP($A35,祝日リスト!$A$2:$C$40,3,0),""))</f>
        <v>昭和の日</v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46142</v>
      </c>
      <c r="B36" s="32">
        <f>IF(A36="","","日")</f>
        <v/>
      </c>
      <c r="C36" s="31" t="str">
        <f>IF(A36="","","("&amp;CHOOSE(WEEKDAY(A36,2),"月","火","水","木","金","土","日")&amp;"）")</f>
        <v>(木）</v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10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2.5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2.5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5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46143</v>
      </c>
      <c r="B7" s="30">
        <f>IF(A7="","","日")</f>
        <v/>
      </c>
      <c r="C7" s="31" t="str">
        <f>IF(A7="","","("&amp;CHOOSE(WEEKDAY(A7,2),"月","火","水","木","金","土","日")&amp;"）")</f>
        <v>(金）</v>
      </c>
      <c r="D7" s="82" t="n">
        <v>900</v>
      </c>
      <c r="E7" s="69" t="inlineStr">
        <is>
          <t>～</t>
        </is>
      </c>
      <c r="F7" s="82" t="n">
        <v>1500</v>
      </c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46144</v>
      </c>
      <c r="B8" s="32">
        <f>IF(A8="","","日")</f>
        <v/>
      </c>
      <c r="C8" s="31" t="str">
        <f>IF(A8="","","("&amp;CHOOSE(WEEKDAY(A8,2),"月","火","水","木","金","土","日")&amp;"）")</f>
        <v>(土）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46145</v>
      </c>
      <c r="B9" s="32">
        <f>IF(A9="","","日")</f>
        <v/>
      </c>
      <c r="C9" s="31" t="str">
        <f>IF(A9="","","("&amp;CHOOSE(WEEKDAY(A9,2),"月","火","水","木","金","土","日")&amp;"）")</f>
        <v>(日）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 t="str">
        <f>IF($A9="","",IFERROR(VLOOKUP($A9,祝日リスト!$A$2:$C$40,3,0),""))</f>
        <v>憲法記念日</v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46146</v>
      </c>
      <c r="B10" s="32">
        <f>IF(A10="","","日")</f>
        <v/>
      </c>
      <c r="C10" s="31" t="str">
        <f>IF(A10="","","("&amp;CHOOSE(WEEKDAY(A10,2),"月","火","水","木","金","土","日")&amp;"）")</f>
        <v>(月）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 t="str">
        <f>IF($A10="","",IFERROR(VLOOKUP($A10,祝日リスト!$A$2:$C$40,3,0),""))</f>
        <v>みどりの日</v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46147</v>
      </c>
      <c r="B11" s="32">
        <f>IF(A11="","","日")</f>
        <v/>
      </c>
      <c r="C11" s="31" t="str">
        <f>IF(A11="","","("&amp;CHOOSE(WEEKDAY(A11,2),"月","火","水","木","金","土","日")&amp;"）")</f>
        <v>(火）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 t="str">
        <f>IF($A11="","",IFERROR(VLOOKUP($A11,祝日リスト!$A$2:$C$40,3,0),""))</f>
        <v>こどもの日</v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46148</v>
      </c>
      <c r="B12" s="32">
        <f>IF(A12="","","日")</f>
        <v/>
      </c>
      <c r="C12" s="31" t="str">
        <f>IF(A12="","","("&amp;CHOOSE(WEEKDAY(A12,2),"月","火","水","木","金","土","日")&amp;"）")</f>
        <v>(水）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 t="str">
        <f>IF($A12="","",IFERROR(VLOOKUP($A12,祝日リスト!$A$2:$C$40,3,0),""))</f>
        <v>休日</v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46149</v>
      </c>
      <c r="B13" s="32">
        <f>IF(A13="","","日")</f>
        <v/>
      </c>
      <c r="C13" s="31" t="str">
        <f>IF(A13="","","("&amp;CHOOSE(WEEKDAY(A13,2),"月","火","水","木","金","土","日")&amp;"）")</f>
        <v>(木）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46150</v>
      </c>
      <c r="B14" s="32">
        <f>IF(A14="","","日")</f>
        <v/>
      </c>
      <c r="C14" s="31" t="str">
        <f>IF(A14="","","("&amp;CHOOSE(WEEKDAY(A14,2),"月","火","水","木","金","土","日")&amp;"）")</f>
        <v>(金）</v>
      </c>
      <c r="D14" s="85" t="n">
        <v>900</v>
      </c>
      <c r="E14" s="36" t="inlineStr">
        <is>
          <t>～</t>
        </is>
      </c>
      <c r="F14" s="85" t="n">
        <v>1500</v>
      </c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46151</v>
      </c>
      <c r="B15" s="32">
        <f>IF(A15="","","日")</f>
        <v/>
      </c>
      <c r="C15" s="31" t="str">
        <f>IF(A15="","","("&amp;CHOOSE(WEEKDAY(A15,2),"月","火","水","木","金","土","日")&amp;"）")</f>
        <v>(土）</v>
      </c>
      <c r="D15" s="85" t="n">
        <v>900</v>
      </c>
      <c r="E15" s="36" t="inlineStr">
        <is>
          <t>～</t>
        </is>
      </c>
      <c r="F15" s="85" t="n">
        <v>1500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46152</v>
      </c>
      <c r="B16" s="32">
        <f>IF(A16="","","日")</f>
        <v/>
      </c>
      <c r="C16" s="31" t="str">
        <f>IF(A16="","","("&amp;CHOOSE(WEEKDAY(A16,2),"月","火","水","木","金","土","日")&amp;"）")</f>
        <v>(日）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46153</v>
      </c>
      <c r="B17" s="32">
        <f>IF(A17="","","日")</f>
        <v/>
      </c>
      <c r="C17" s="31" t="str">
        <f>IF(A17="","","("&amp;CHOOSE(WEEKDAY(A17,2),"月","火","水","木","金","土","日")&amp;"）")</f>
        <v>(月）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46154</v>
      </c>
      <c r="B18" s="32">
        <f>IF(A18="","","日")</f>
        <v/>
      </c>
      <c r="C18" s="31" t="str">
        <f>IF(A18="","","("&amp;CHOOSE(WEEKDAY(A18,2),"月","火","水","木","金","土","日")&amp;"）")</f>
        <v>(火）</v>
      </c>
      <c r="D18" s="85" t="n">
        <v>900</v>
      </c>
      <c r="E18" s="36" t="inlineStr">
        <is>
          <t>～</t>
        </is>
      </c>
      <c r="F18" s="85" t="n">
        <v>1500</v>
      </c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46155</v>
      </c>
      <c r="B19" s="32">
        <f>IF(A19="","","日")</f>
        <v/>
      </c>
      <c r="C19" s="31" t="str">
        <f>IF(A19="","","("&amp;CHOOSE(WEEKDAY(A19,2),"月","火","水","木","金","土","日")&amp;"）")</f>
        <v>(水）</v>
      </c>
      <c r="D19" s="85" t="n">
        <v>900</v>
      </c>
      <c r="E19" s="36" t="inlineStr">
        <is>
          <t>～</t>
        </is>
      </c>
      <c r="F19" s="85" t="n">
        <v>1500</v>
      </c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46156</v>
      </c>
      <c r="B20" s="32">
        <f>IF(A20="","","日")</f>
        <v/>
      </c>
      <c r="C20" s="31" t="str">
        <f>IF(A20="","","("&amp;CHOOSE(WEEKDAY(A20,2),"月","火","水","木","金","土","日")&amp;"）")</f>
        <v>(木）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46157</v>
      </c>
      <c r="B21" s="32">
        <f>IF(A21="","","日")</f>
        <v/>
      </c>
      <c r="C21" s="31" t="str">
        <f>IF(A21="","","("&amp;CHOOSE(WEEKDAY(A21,2),"月","火","水","木","金","土","日")&amp;"）")</f>
        <v>(金）</v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46158</v>
      </c>
      <c r="B22" s="32">
        <f>IF(A22="","","日")</f>
        <v/>
      </c>
      <c r="C22" s="31" t="str">
        <f>IF(A22="","","("&amp;CHOOSE(WEEKDAY(A22,2),"月","火","水","木","金","土","日")&amp;"）")</f>
        <v>(土）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46159</v>
      </c>
      <c r="B23" s="32">
        <f>IF(A23="","","日")</f>
        <v/>
      </c>
      <c r="C23" s="31" t="str">
        <f>IF(A23="","","("&amp;CHOOSE(WEEKDAY(A23,2),"月","火","水","木","金","土","日")&amp;"）")</f>
        <v>(日）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46160</v>
      </c>
      <c r="B24" s="32">
        <f>IF(A24="","","日")</f>
        <v/>
      </c>
      <c r="C24" s="31" t="str">
        <f>IF(A24="","","("&amp;CHOOSE(WEEKDAY(A24,2),"月","火","水","木","金","土","日")&amp;"）")</f>
        <v>(月）</v>
      </c>
      <c r="D24" s="85" t="n">
        <v>900</v>
      </c>
      <c r="E24" s="36" t="inlineStr">
        <is>
          <t>～</t>
        </is>
      </c>
      <c r="F24" s="85" t="n">
        <v>1500</v>
      </c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46161</v>
      </c>
      <c r="B25" s="32">
        <f>IF(A25="","","日")</f>
        <v/>
      </c>
      <c r="C25" s="31" t="str">
        <f>IF(A25="","","("&amp;CHOOSE(WEEKDAY(A25,2),"月","火","水","木","金","土","日")&amp;"）")</f>
        <v>(火）</v>
      </c>
      <c r="D25" s="85" t="n">
        <v>900</v>
      </c>
      <c r="E25" s="36" t="inlineStr">
        <is>
          <t>～</t>
        </is>
      </c>
      <c r="F25" s="85" t="n">
        <v>1500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46162</v>
      </c>
      <c r="B26" s="32">
        <f>IF(A26="","","日")</f>
        <v/>
      </c>
      <c r="C26" s="31" t="str">
        <f>IF(A26="","","("&amp;CHOOSE(WEEKDAY(A26,2),"月","火","水","木","金","土","日")&amp;"）")</f>
        <v>(水）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46163</v>
      </c>
      <c r="B27" s="32">
        <f>IF(A27="","","日")</f>
        <v/>
      </c>
      <c r="C27" s="31" t="str">
        <f>IF(A27="","","("&amp;CHOOSE(WEEKDAY(A27,2),"月","火","水","木","金","土","日")&amp;"）")</f>
        <v>(木）</v>
      </c>
      <c r="D27" s="85" t="n">
        <v>900</v>
      </c>
      <c r="E27" s="36" t="inlineStr">
        <is>
          <t>～</t>
        </is>
      </c>
      <c r="F27" s="85" t="n">
        <v>1500</v>
      </c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46164</v>
      </c>
      <c r="B28" s="32">
        <f>IF(A28="","","日")</f>
        <v/>
      </c>
      <c r="C28" s="31" t="str">
        <f>IF(A28="","","("&amp;CHOOSE(WEEKDAY(A28,2),"月","火","水","木","金","土","日")&amp;"）")</f>
        <v>(金）</v>
      </c>
      <c r="D28" s="85" t="n">
        <v>900</v>
      </c>
      <c r="E28" s="36" t="inlineStr">
        <is>
          <t>～</t>
        </is>
      </c>
      <c r="F28" s="85" t="n">
        <v>1500</v>
      </c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46165</v>
      </c>
      <c r="B29" s="32">
        <f>IF(A29="","","日")</f>
        <v/>
      </c>
      <c r="C29" s="31" t="str">
        <f>IF(A29="","","("&amp;CHOOSE(WEEKDAY(A29,2),"月","火","水","木","金","土","日")&amp;"）")</f>
        <v>(土）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46166</v>
      </c>
      <c r="B30" s="32">
        <f>IF(A30="","","日")</f>
        <v/>
      </c>
      <c r="C30" s="31" t="str">
        <f>IF(A30="","","("&amp;CHOOSE(WEEKDAY(A30,2),"月","火","水","木","金","土","日")&amp;"）")</f>
        <v>(日）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46167</v>
      </c>
      <c r="B31" s="32">
        <f>IF(A31="","","日")</f>
        <v/>
      </c>
      <c r="C31" s="31" t="str">
        <f>IF(A31="","","("&amp;CHOOSE(WEEKDAY(A31,2),"月","火","水","木","金","土","日")&amp;"）")</f>
        <v>(月）</v>
      </c>
      <c r="D31" s="85" t="n">
        <v>900</v>
      </c>
      <c r="E31" s="36" t="inlineStr">
        <is>
          <t>～</t>
        </is>
      </c>
      <c r="F31" s="85" t="n">
        <v>1500</v>
      </c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46168</v>
      </c>
      <c r="B32" s="32">
        <f>IF(A32="","","日")</f>
        <v/>
      </c>
      <c r="C32" s="31" t="str">
        <f>IF(A32="","","("&amp;CHOOSE(WEEKDAY(A32,2),"月","火","水","木","金","土","日")&amp;"）")</f>
        <v>(火）</v>
      </c>
      <c r="D32" s="85" t="n">
        <v>900</v>
      </c>
      <c r="E32" s="36" t="inlineStr">
        <is>
          <t>～</t>
        </is>
      </c>
      <c r="F32" s="85" t="n">
        <v>1500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46169</v>
      </c>
      <c r="B33" s="32">
        <f>IF(A33="","","日")</f>
        <v/>
      </c>
      <c r="C33" s="31" t="str">
        <f>IF(A33="","","("&amp;CHOOSE(WEEKDAY(A33,2),"月","火","水","木","金","土","日")&amp;"）")</f>
        <v>(水）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46170</v>
      </c>
      <c r="B34" s="32">
        <f>IF(A34="","","日")</f>
        <v/>
      </c>
      <c r="C34" s="31" t="str">
        <f>IF(A34="","","("&amp;CHOOSE(WEEKDAY(A34,2),"月","火","水","木","金","土","日")&amp;"）")</f>
        <v>(木）</v>
      </c>
      <c r="D34" s="85" t="n">
        <v>900</v>
      </c>
      <c r="E34" s="36" t="inlineStr">
        <is>
          <t>～</t>
        </is>
      </c>
      <c r="F34" s="85" t="n">
        <v>1500</v>
      </c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46171</v>
      </c>
      <c r="B35" s="32">
        <f>IF(A35="","","日")</f>
        <v/>
      </c>
      <c r="C35" s="31" t="str">
        <f>IF(A35="","","("&amp;CHOOSE(WEEKDAY(A35,2),"月","火","水","木","金","土","日")&amp;"）")</f>
        <v>(金）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46172</v>
      </c>
      <c r="B36" s="32">
        <f>IF(A36="","","日")</f>
        <v/>
      </c>
      <c r="C36" s="31" t="str">
        <f>IF(A36="","","("&amp;CHOOSE(WEEKDAY(A36,2),"月","火","水","木","金","土","日")&amp;"）")</f>
        <v>(土）</v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>46173</v>
      </c>
      <c r="B37" s="33">
        <f>IF(A37="","","日")</f>
        <v/>
      </c>
      <c r="C37" s="34" t="str">
        <f>IF(A37="","","("&amp;CHOOSE(WEEKDAY(A37,2),"月","火","水","木","金","土","日")&amp;"）")</f>
        <v>(日）</v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14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3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0.5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3.5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6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46174</v>
      </c>
      <c r="B7" s="30">
        <f>IF(A7="","","日")</f>
        <v/>
      </c>
      <c r="C7" s="31" t="str">
        <f>IF(A7="","","("&amp;CHOOSE(WEEKDAY(A7,2),"月","火","水","木","金","土","日")&amp;"）")</f>
        <v>(月）</v>
      </c>
      <c r="D7" s="82" t="n">
        <v>900</v>
      </c>
      <c r="E7" s="69" t="inlineStr">
        <is>
          <t>～</t>
        </is>
      </c>
      <c r="F7" s="82" t="n">
        <v>1500</v>
      </c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46175</v>
      </c>
      <c r="B8" s="32">
        <f>IF(A8="","","日")</f>
        <v/>
      </c>
      <c r="C8" s="31" t="str">
        <f>IF(A8="","","("&amp;CHOOSE(WEEKDAY(A8,2),"月","火","水","木","金","土","日")&amp;"）")</f>
        <v>(火）</v>
      </c>
      <c r="D8" s="85" t="n">
        <v>900</v>
      </c>
      <c r="E8" s="36" t="inlineStr">
        <is>
          <t>～</t>
        </is>
      </c>
      <c r="F8" s="85" t="n">
        <v>1500</v>
      </c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46176</v>
      </c>
      <c r="B9" s="32">
        <f>IF(A9="","","日")</f>
        <v/>
      </c>
      <c r="C9" s="31" t="str">
        <f>IF(A9="","","("&amp;CHOOSE(WEEKDAY(A9,2),"月","火","水","木","金","土","日")&amp;"）")</f>
        <v>(水）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 t="inlineStr">
        <is>
          <t>休み</t>
        </is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46177</v>
      </c>
      <c r="B10" s="32">
        <f>IF(A10="","","日")</f>
        <v/>
      </c>
      <c r="C10" s="31" t="str">
        <f>IF(A10="","","("&amp;CHOOSE(WEEKDAY(A10,2),"月","火","水","木","金","土","日")&amp;"）")</f>
        <v>(木）</v>
      </c>
      <c r="D10" s="85" t="n">
        <v>900</v>
      </c>
      <c r="E10" s="36" t="inlineStr">
        <is>
          <t>～</t>
        </is>
      </c>
      <c r="F10" s="85" t="n">
        <v>1500</v>
      </c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46178</v>
      </c>
      <c r="B11" s="32">
        <f>IF(A11="","","日")</f>
        <v/>
      </c>
      <c r="C11" s="31" t="str">
        <f>IF(A11="","","("&amp;CHOOSE(WEEKDAY(A11,2),"月","火","水","木","金","土","日")&amp;"）")</f>
        <v>(金）</v>
      </c>
      <c r="D11" s="85" t="n">
        <v>900</v>
      </c>
      <c r="E11" s="36" t="inlineStr">
        <is>
          <t>～</t>
        </is>
      </c>
      <c r="F11" s="85" t="n">
        <v>1500</v>
      </c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46179</v>
      </c>
      <c r="B12" s="32">
        <f>IF(A12="","","日")</f>
        <v/>
      </c>
      <c r="C12" s="31" t="str">
        <f>IF(A12="","","("&amp;CHOOSE(WEEKDAY(A12,2),"月","火","水","木","金","土","日")&amp;"）")</f>
        <v>(土）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 t="inlineStr">
        <is>
          <t>休み</t>
        </is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46180</v>
      </c>
      <c r="B13" s="32">
        <f>IF(A13="","","日")</f>
        <v/>
      </c>
      <c r="C13" s="31" t="str">
        <f>IF(A13="","","("&amp;CHOOSE(WEEKDAY(A13,2),"月","火","水","木","金","土","日")&amp;"）")</f>
        <v>(日）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 t="inlineStr">
        <is>
          <t>休み</t>
        </is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46181</v>
      </c>
      <c r="B14" s="32">
        <f>IF(A14="","","日")</f>
        <v/>
      </c>
      <c r="C14" s="31" t="str">
        <f>IF(A14="","","("&amp;CHOOSE(WEEKDAY(A14,2),"月","火","水","木","金","土","日")&amp;"）")</f>
        <v>(月）</v>
      </c>
      <c r="D14" s="85" t="n">
        <v>900</v>
      </c>
      <c r="E14" s="36" t="inlineStr">
        <is>
          <t>～</t>
        </is>
      </c>
      <c r="F14" s="85" t="n">
        <v>1500</v>
      </c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46182</v>
      </c>
      <c r="B15" s="32">
        <f>IF(A15="","","日")</f>
        <v/>
      </c>
      <c r="C15" s="31" t="str">
        <f>IF(A15="","","("&amp;CHOOSE(WEEKDAY(A15,2),"月","火","水","木","金","土","日")&amp;"）")</f>
        <v>(火）</v>
      </c>
      <c r="D15" s="85" t="n">
        <v>900</v>
      </c>
      <c r="E15" s="36" t="inlineStr">
        <is>
          <t>～</t>
        </is>
      </c>
      <c r="F15" s="85" t="n">
        <v>1500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46183</v>
      </c>
      <c r="B16" s="32">
        <f>IF(A16="","","日")</f>
        <v/>
      </c>
      <c r="C16" s="31" t="str">
        <f>IF(A16="","","("&amp;CHOOSE(WEEKDAY(A16,2),"月","火","水","木","金","土","日")&amp;"）")</f>
        <v>(水）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 t="inlineStr">
        <is>
          <t>休み</t>
        </is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46184</v>
      </c>
      <c r="B17" s="32">
        <f>IF(A17="","","日")</f>
        <v/>
      </c>
      <c r="C17" s="31" t="str">
        <f>IF(A17="","","("&amp;CHOOSE(WEEKDAY(A17,2),"月","火","水","木","金","土","日")&amp;"）")</f>
        <v>(木）</v>
      </c>
      <c r="D17" s="85" t="n">
        <v>900</v>
      </c>
      <c r="E17" s="36" t="inlineStr">
        <is>
          <t>～</t>
        </is>
      </c>
      <c r="F17" s="85" t="n">
        <v>1500</v>
      </c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46185</v>
      </c>
      <c r="B18" s="32">
        <f>IF(A18="","","日")</f>
        <v/>
      </c>
      <c r="C18" s="31" t="str">
        <f>IF(A18="","","("&amp;CHOOSE(WEEKDAY(A18,2),"月","火","水","木","金","土","日")&amp;"）")</f>
        <v>(金）</v>
      </c>
      <c r="D18" s="85" t="n">
        <v>900</v>
      </c>
      <c r="E18" s="36" t="inlineStr">
        <is>
          <t>～</t>
        </is>
      </c>
      <c r="F18" s="85" t="n">
        <v>1500</v>
      </c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46186</v>
      </c>
      <c r="B19" s="32">
        <f>IF(A19="","","日")</f>
        <v/>
      </c>
      <c r="C19" s="31" t="str">
        <f>IF(A19="","","("&amp;CHOOSE(WEEKDAY(A19,2),"月","火","水","木","金","土","日")&amp;"）")</f>
        <v>(土）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 t="inlineStr">
        <is>
          <t>休み</t>
        </is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46187</v>
      </c>
      <c r="B20" s="32">
        <f>IF(A20="","","日")</f>
        <v/>
      </c>
      <c r="C20" s="31" t="str">
        <f>IF(A20="","","("&amp;CHOOSE(WEEKDAY(A20,2),"月","火","水","木","金","土","日")&amp;"）")</f>
        <v>(日）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 t="inlineStr">
        <is>
          <t>休み</t>
        </is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46188</v>
      </c>
      <c r="B21" s="32">
        <f>IF(A21="","","日")</f>
        <v/>
      </c>
      <c r="C21" s="31" t="str">
        <f>IF(A21="","","("&amp;CHOOSE(WEEKDAY(A21,2),"月","火","水","木","金","土","日")&amp;"）")</f>
        <v>(月）</v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46189</v>
      </c>
      <c r="B22" s="32">
        <f>IF(A22="","","日")</f>
        <v/>
      </c>
      <c r="C22" s="31" t="str">
        <f>IF(A22="","","("&amp;CHOOSE(WEEKDAY(A22,2),"月","火","水","木","金","土","日")&amp;"）")</f>
        <v>(火）</v>
      </c>
      <c r="D22" s="85" t="n">
        <v>900</v>
      </c>
      <c r="E22" s="36" t="inlineStr">
        <is>
          <t>～</t>
        </is>
      </c>
      <c r="F22" s="85" t="n">
        <v>1500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46190</v>
      </c>
      <c r="B23" s="32">
        <f>IF(A23="","","日")</f>
        <v/>
      </c>
      <c r="C23" s="31" t="str">
        <f>IF(A23="","","("&amp;CHOOSE(WEEKDAY(A23,2),"月","火","水","木","金","土","日")&amp;"）")</f>
        <v>(水）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 t="inlineStr">
        <is>
          <t>休み</t>
        </is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46191</v>
      </c>
      <c r="B24" s="32">
        <f>IF(A24="","","日")</f>
        <v/>
      </c>
      <c r="C24" s="31" t="str">
        <f>IF(A24="","","("&amp;CHOOSE(WEEKDAY(A24,2),"月","火","水","木","金","土","日")&amp;"）")</f>
        <v>(木）</v>
      </c>
      <c r="D24" s="85" t="n">
        <v>900</v>
      </c>
      <c r="E24" s="36" t="inlineStr">
        <is>
          <t>～</t>
        </is>
      </c>
      <c r="F24" s="85" t="n">
        <v>1500</v>
      </c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46192</v>
      </c>
      <c r="B25" s="32">
        <f>IF(A25="","","日")</f>
        <v/>
      </c>
      <c r="C25" s="31" t="str">
        <f>IF(A25="","","("&amp;CHOOSE(WEEKDAY(A25,2),"月","火","水","木","金","土","日")&amp;"）")</f>
        <v>(金）</v>
      </c>
      <c r="D25" s="85" t="n">
        <v>900</v>
      </c>
      <c r="E25" s="36" t="inlineStr">
        <is>
          <t>～</t>
        </is>
      </c>
      <c r="F25" s="85" t="n">
        <v>1500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46193</v>
      </c>
      <c r="B26" s="32">
        <f>IF(A26="","","日")</f>
        <v/>
      </c>
      <c r="C26" s="31" t="str">
        <f>IF(A26="","","("&amp;CHOOSE(WEEKDAY(A26,2),"月","火","水","木","金","土","日")&amp;"）")</f>
        <v>(土）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 t="inlineStr">
        <is>
          <t>休み</t>
        </is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46194</v>
      </c>
      <c r="B27" s="32">
        <f>IF(A27="","","日")</f>
        <v/>
      </c>
      <c r="C27" s="31" t="str">
        <f>IF(A27="","","("&amp;CHOOSE(WEEKDAY(A27,2),"月","火","水","木","金","土","日")&amp;"）")</f>
        <v>(日）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 t="inlineStr">
        <is>
          <t>休み</t>
        </is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46195</v>
      </c>
      <c r="B28" s="32">
        <f>IF(A28="","","日")</f>
        <v/>
      </c>
      <c r="C28" s="31" t="str">
        <f>IF(A28="","","("&amp;CHOOSE(WEEKDAY(A28,2),"月","火","水","木","金","土","日")&amp;"）")</f>
        <v>(月）</v>
      </c>
      <c r="D28" s="85" t="n">
        <v>900</v>
      </c>
      <c r="E28" s="36" t="inlineStr">
        <is>
          <t>～</t>
        </is>
      </c>
      <c r="F28" s="85" t="n">
        <v>1500</v>
      </c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46196</v>
      </c>
      <c r="B29" s="32">
        <f>IF(A29="","","日")</f>
        <v/>
      </c>
      <c r="C29" s="31" t="str">
        <f>IF(A29="","","("&amp;CHOOSE(WEEKDAY(A29,2),"月","火","水","木","金","土","日")&amp;"）")</f>
        <v>(火）</v>
      </c>
      <c r="D29" s="85" t="n">
        <v>900</v>
      </c>
      <c r="E29" s="36" t="inlineStr">
        <is>
          <t>～</t>
        </is>
      </c>
      <c r="F29" s="85" t="n">
        <v>1500</v>
      </c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46197</v>
      </c>
      <c r="B30" s="32">
        <f>IF(A30="","","日")</f>
        <v/>
      </c>
      <c r="C30" s="31" t="str">
        <f>IF(A30="","","("&amp;CHOOSE(WEEKDAY(A30,2),"月","火","水","木","金","土","日")&amp;"）")</f>
        <v>(水）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 t="inlineStr">
        <is>
          <t>休み</t>
        </is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46198</v>
      </c>
      <c r="B31" s="32">
        <f>IF(A31="","","日")</f>
        <v/>
      </c>
      <c r="C31" s="31" t="str">
        <f>IF(A31="","","("&amp;CHOOSE(WEEKDAY(A31,2),"月","火","水","木","金","土","日")&amp;"）")</f>
        <v>(木）</v>
      </c>
      <c r="D31" s="85" t="n">
        <v>900</v>
      </c>
      <c r="E31" s="36" t="inlineStr">
        <is>
          <t>～</t>
        </is>
      </c>
      <c r="F31" s="85" t="n">
        <v>1500</v>
      </c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46199</v>
      </c>
      <c r="B32" s="32">
        <f>IF(A32="","","日")</f>
        <v/>
      </c>
      <c r="C32" s="31" t="str">
        <f>IF(A32="","","("&amp;CHOOSE(WEEKDAY(A32,2),"月","火","水","木","金","土","日")&amp;"）")</f>
        <v>(金）</v>
      </c>
      <c r="D32" s="85" t="n">
        <v>900</v>
      </c>
      <c r="E32" s="36" t="inlineStr">
        <is>
          <t>～</t>
        </is>
      </c>
      <c r="F32" s="85" t="n">
        <v>1500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46200</v>
      </c>
      <c r="B33" s="32">
        <f>IF(A33="","","日")</f>
        <v/>
      </c>
      <c r="C33" s="31" t="str">
        <f>IF(A33="","","("&amp;CHOOSE(WEEKDAY(A33,2),"月","火","水","木","金","土","日")&amp;"）")</f>
        <v>(土）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 t="inlineStr">
        <is>
          <t>休み</t>
        </is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46201</v>
      </c>
      <c r="B34" s="32">
        <f>IF(A34="","","日")</f>
        <v/>
      </c>
      <c r="C34" s="31" t="str">
        <f>IF(A34="","","("&amp;CHOOSE(WEEKDAY(A34,2),"月","火","水","木","金","土","日")&amp;"）")</f>
        <v>(日）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 t="inlineStr">
        <is>
          <t>休み</t>
        </is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46202</v>
      </c>
      <c r="B35" s="32">
        <f>IF(A35="","","日")</f>
        <v/>
      </c>
      <c r="C35" s="31" t="str">
        <f>IF(A35="","","("&amp;CHOOSE(WEEKDAY(A35,2),"月","火","水","木","金","土","日")&amp;"）")</f>
        <v>(月）</v>
      </c>
      <c r="D35" s="85" t="n">
        <v>900</v>
      </c>
      <c r="E35" s="36" t="inlineStr">
        <is>
          <t>～</t>
        </is>
      </c>
      <c r="F35" s="85" t="n">
        <v>1500</v>
      </c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46203</v>
      </c>
      <c r="B36" s="32">
        <f>IF(A36="","","日")</f>
        <v/>
      </c>
      <c r="C36" s="31" t="str">
        <f>IF(A36="","","("&amp;CHOOSE(WEEKDAY(A36,2),"月","火","水","木","金","土","日")&amp;"）")</f>
        <v>(火）</v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18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4.5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4.5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7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46204</v>
      </c>
      <c r="B7" s="30">
        <f>IF(A7="","","日")</f>
        <v/>
      </c>
      <c r="C7" s="31" t="str">
        <f>IF(A7="","","("&amp;CHOOSE(WEEKDAY(A7,2),"月","火","水","木","金","土","日")&amp;"）")</f>
        <v>(水）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 t="inlineStr">
        <is>
          <t>休</t>
        </is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46205</v>
      </c>
      <c r="B8" s="32">
        <f>IF(A8="","","日")</f>
        <v/>
      </c>
      <c r="C8" s="31" t="str">
        <f>IF(A8="","","("&amp;CHOOSE(WEEKDAY(A8,2),"月","火","水","木","金","土","日")&amp;"）")</f>
        <v>(木）</v>
      </c>
      <c r="D8" s="85" t="n">
        <v>900</v>
      </c>
      <c r="E8" s="36" t="inlineStr">
        <is>
          <t>～</t>
        </is>
      </c>
      <c r="F8" s="85" t="n">
        <v>1500</v>
      </c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46206</v>
      </c>
      <c r="B9" s="32">
        <f>IF(A9="","","日")</f>
        <v/>
      </c>
      <c r="C9" s="31" t="str">
        <f>IF(A9="","","("&amp;CHOOSE(WEEKDAY(A9,2),"月","火","水","木","金","土","日")&amp;"）")</f>
        <v>(金）</v>
      </c>
      <c r="D9" s="85" t="n">
        <v>900</v>
      </c>
      <c r="E9" s="36" t="inlineStr">
        <is>
          <t>～</t>
        </is>
      </c>
      <c r="F9" s="85" t="n">
        <v>1500</v>
      </c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46207</v>
      </c>
      <c r="B10" s="32">
        <f>IF(A10="","","日")</f>
        <v/>
      </c>
      <c r="C10" s="31" t="str">
        <f>IF(A10="","","("&amp;CHOOSE(WEEKDAY(A10,2),"月","火","水","木","金","土","日")&amp;"）")</f>
        <v>(土）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 t="inlineStr">
        <is>
          <t>休</t>
        </is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46208</v>
      </c>
      <c r="B11" s="32">
        <f>IF(A11="","","日")</f>
        <v/>
      </c>
      <c r="C11" s="31" t="str">
        <f>IF(A11="","","("&amp;CHOOSE(WEEKDAY(A11,2),"月","火","水","木","金","土","日")&amp;"）")</f>
        <v>(日）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 t="inlineStr">
        <is>
          <t>休</t>
        </is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46209</v>
      </c>
      <c r="B12" s="32">
        <f>IF(A12="","","日")</f>
        <v/>
      </c>
      <c r="C12" s="31" t="str">
        <f>IF(A12="","","("&amp;CHOOSE(WEEKDAY(A12,2),"月","火","水","木","金","土","日")&amp;"）")</f>
        <v>(月）</v>
      </c>
      <c r="D12" s="85" t="n">
        <v>900</v>
      </c>
      <c r="E12" s="36" t="inlineStr">
        <is>
          <t>～</t>
        </is>
      </c>
      <c r="F12" s="85" t="n">
        <v>1500</v>
      </c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46210</v>
      </c>
      <c r="B13" s="32">
        <f>IF(A13="","","日")</f>
        <v/>
      </c>
      <c r="C13" s="31" t="str">
        <f>IF(A13="","","("&amp;CHOOSE(WEEKDAY(A13,2),"月","火","水","木","金","土","日")&amp;"）")</f>
        <v>(火）</v>
      </c>
      <c r="D13" s="85" t="n">
        <v>900</v>
      </c>
      <c r="E13" s="36" t="inlineStr">
        <is>
          <t>～</t>
        </is>
      </c>
      <c r="F13" s="85" t="n">
        <v>1500</v>
      </c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46211</v>
      </c>
      <c r="B14" s="32">
        <f>IF(A14="","","日")</f>
        <v/>
      </c>
      <c r="C14" s="31" t="str">
        <f>IF(A14="","","("&amp;CHOOSE(WEEKDAY(A14,2),"月","火","水","木","金","土","日")&amp;"）")</f>
        <v>(水）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 t="inlineStr">
        <is>
          <t>休</t>
        </is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46212</v>
      </c>
      <c r="B15" s="32">
        <f>IF(A15="","","日")</f>
        <v/>
      </c>
      <c r="C15" s="31" t="str">
        <f>IF(A15="","","("&amp;CHOOSE(WEEKDAY(A15,2),"月","火","水","木","金","土","日")&amp;"）")</f>
        <v>(木）</v>
      </c>
      <c r="D15" s="85" t="n">
        <v>900</v>
      </c>
      <c r="E15" s="36" t="inlineStr">
        <is>
          <t>～</t>
        </is>
      </c>
      <c r="F15" s="85" t="n">
        <v>1500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46213</v>
      </c>
      <c r="B16" s="32">
        <f>IF(A16="","","日")</f>
        <v/>
      </c>
      <c r="C16" s="31" t="str">
        <f>IF(A16="","","("&amp;CHOOSE(WEEKDAY(A16,2),"月","火","水","木","金","土","日")&amp;"）")</f>
        <v>(金）</v>
      </c>
      <c r="D16" s="85" t="n">
        <v>900</v>
      </c>
      <c r="E16" s="36" t="inlineStr">
        <is>
          <t>～</t>
        </is>
      </c>
      <c r="F16" s="85" t="n">
        <v>1500</v>
      </c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46214</v>
      </c>
      <c r="B17" s="32">
        <f>IF(A17="","","日")</f>
        <v/>
      </c>
      <c r="C17" s="31" t="str">
        <f>IF(A17="","","("&amp;CHOOSE(WEEKDAY(A17,2),"月","火","水","木","金","土","日")&amp;"）")</f>
        <v>(土）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 t="inlineStr">
        <is>
          <t>休</t>
        </is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46215</v>
      </c>
      <c r="B18" s="32">
        <f>IF(A18="","","日")</f>
        <v/>
      </c>
      <c r="C18" s="31" t="str">
        <f>IF(A18="","","("&amp;CHOOSE(WEEKDAY(A18,2),"月","火","水","木","金","土","日")&amp;"）")</f>
        <v>(日）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 t="inlineStr">
        <is>
          <t>休</t>
        </is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46216</v>
      </c>
      <c r="B19" s="32">
        <f>IF(A19="","","日")</f>
        <v/>
      </c>
      <c r="C19" s="31" t="str">
        <f>IF(A19="","","("&amp;CHOOSE(WEEKDAY(A19,2),"月","火","水","木","金","土","日")&amp;"）")</f>
        <v>(月）</v>
      </c>
      <c r="D19" s="85" t="n">
        <v>900</v>
      </c>
      <c r="E19" s="36" t="inlineStr">
        <is>
          <t>～</t>
        </is>
      </c>
      <c r="F19" s="85" t="n">
        <v>1500</v>
      </c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46217</v>
      </c>
      <c r="B20" s="32">
        <f>IF(A20="","","日")</f>
        <v/>
      </c>
      <c r="C20" s="31" t="str">
        <f>IF(A20="","","("&amp;CHOOSE(WEEKDAY(A20,2),"月","火","水","木","金","土","日")&amp;"）")</f>
        <v>(火）</v>
      </c>
      <c r="D20" s="85" t="n">
        <v>900</v>
      </c>
      <c r="E20" s="36" t="inlineStr">
        <is>
          <t>～</t>
        </is>
      </c>
      <c r="F20" s="85" t="n">
        <v>1500</v>
      </c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46218</v>
      </c>
      <c r="B21" s="32">
        <f>IF(A21="","","日")</f>
        <v/>
      </c>
      <c r="C21" s="31" t="str">
        <f>IF(A21="","","("&amp;CHOOSE(WEEKDAY(A21,2),"月","火","水","木","金","土","日")&amp;"）")</f>
        <v>(水）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 t="inlineStr">
        <is>
          <t>休</t>
        </is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46219</v>
      </c>
      <c r="B22" s="32">
        <f>IF(A22="","","日")</f>
        <v/>
      </c>
      <c r="C22" s="31" t="str">
        <f>IF(A22="","","("&amp;CHOOSE(WEEKDAY(A22,2),"月","火","水","木","金","土","日")&amp;"）")</f>
        <v>(木）</v>
      </c>
      <c r="D22" s="85" t="n">
        <v>900</v>
      </c>
      <c r="E22" s="36" t="inlineStr">
        <is>
          <t>～</t>
        </is>
      </c>
      <c r="F22" s="85" t="n">
        <v>1500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46220</v>
      </c>
      <c r="B23" s="32">
        <f>IF(A23="","","日")</f>
        <v/>
      </c>
      <c r="C23" s="31" t="str">
        <f>IF(A23="","","("&amp;CHOOSE(WEEKDAY(A23,2),"月","火","水","木","金","土","日")&amp;"）")</f>
        <v>(金）</v>
      </c>
      <c r="D23" s="85" t="n">
        <v>900</v>
      </c>
      <c r="E23" s="36" t="inlineStr">
        <is>
          <t>～</t>
        </is>
      </c>
      <c r="F23" s="85" t="n">
        <v>1500</v>
      </c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46221</v>
      </c>
      <c r="B24" s="32">
        <f>IF(A24="","","日")</f>
        <v/>
      </c>
      <c r="C24" s="31" t="str">
        <f>IF(A24="","","("&amp;CHOOSE(WEEKDAY(A24,2),"月","火","水","木","金","土","日")&amp;"）")</f>
        <v>(土）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 t="inlineStr">
        <is>
          <t>休</t>
        </is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46222</v>
      </c>
      <c r="B25" s="32">
        <f>IF(A25="","","日")</f>
        <v/>
      </c>
      <c r="C25" s="31" t="str">
        <f>IF(A25="","","("&amp;CHOOSE(WEEKDAY(A25,2),"月","火","水","木","金","土","日")&amp;"）")</f>
        <v>(日）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 t="inlineStr">
        <is>
          <t>休</t>
        </is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46223</v>
      </c>
      <c r="B26" s="32">
        <f>IF(A26="","","日")</f>
        <v/>
      </c>
      <c r="C26" s="31" t="str">
        <f>IF(A26="","","("&amp;CHOOSE(WEEKDAY(A26,2),"月","火","水","木","金","土","日")&amp;"）")</f>
        <v>(月）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 t="inlineStr">
        <is>
          <t>休</t>
        </is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46224</v>
      </c>
      <c r="B27" s="32">
        <f>IF(A27="","","日")</f>
        <v/>
      </c>
      <c r="C27" s="31" t="str">
        <f>IF(A27="","","("&amp;CHOOSE(WEEKDAY(A27,2),"月","火","水","木","金","土","日")&amp;"）")</f>
        <v>(火）</v>
      </c>
      <c r="D27" s="85" t="n">
        <v>900</v>
      </c>
      <c r="E27" s="36" t="inlineStr">
        <is>
          <t>～</t>
        </is>
      </c>
      <c r="F27" s="85" t="n">
        <v>1500</v>
      </c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46225</v>
      </c>
      <c r="B28" s="32">
        <f>IF(A28="","","日")</f>
        <v/>
      </c>
      <c r="C28" s="31" t="str">
        <f>IF(A28="","","("&amp;CHOOSE(WEEKDAY(A28,2),"月","火","水","木","金","土","日")&amp;"）")</f>
        <v>(水）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 t="inlineStr">
        <is>
          <t>休</t>
        </is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46226</v>
      </c>
      <c r="B29" s="32">
        <f>IF(A29="","","日")</f>
        <v/>
      </c>
      <c r="C29" s="31" t="str">
        <f>IF(A29="","","("&amp;CHOOSE(WEEKDAY(A29,2),"月","火","水","木","金","土","日")&amp;"）")</f>
        <v>(木）</v>
      </c>
      <c r="D29" s="85" t="n">
        <v>900</v>
      </c>
      <c r="E29" s="36" t="inlineStr">
        <is>
          <t>～</t>
        </is>
      </c>
      <c r="F29" s="85" t="n">
        <v>1500</v>
      </c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46227</v>
      </c>
      <c r="B30" s="32">
        <f>IF(A30="","","日")</f>
        <v/>
      </c>
      <c r="C30" s="31" t="str">
        <f>IF(A30="","","("&amp;CHOOSE(WEEKDAY(A30,2),"月","火","水","木","金","土","日")&amp;"）")</f>
        <v>(金）</v>
      </c>
      <c r="D30" s="85" t="n">
        <v>900</v>
      </c>
      <c r="E30" s="36" t="inlineStr">
        <is>
          <t>～</t>
        </is>
      </c>
      <c r="F30" s="85" t="n">
        <v>1500</v>
      </c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46228</v>
      </c>
      <c r="B31" s="32">
        <f>IF(A31="","","日")</f>
        <v/>
      </c>
      <c r="C31" s="31" t="str">
        <f>IF(A31="","","("&amp;CHOOSE(WEEKDAY(A31,2),"月","火","水","木","金","土","日")&amp;"）")</f>
        <v>(土）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 t="inlineStr">
        <is>
          <t>休</t>
        </is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46229</v>
      </c>
      <c r="B32" s="32">
        <f>IF(A32="","","日")</f>
        <v/>
      </c>
      <c r="C32" s="31" t="str">
        <f>IF(A32="","","("&amp;CHOOSE(WEEKDAY(A32,2),"月","火","水","木","金","土","日")&amp;"）")</f>
        <v>(日）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 t="inlineStr">
        <is>
          <t>休</t>
        </is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46230</v>
      </c>
      <c r="B33" s="32">
        <f>IF(A33="","","日")</f>
        <v/>
      </c>
      <c r="C33" s="31" t="str">
        <f>IF(A33="","","("&amp;CHOOSE(WEEKDAY(A33,2),"月","火","水","木","金","土","日")&amp;"）")</f>
        <v>(月）</v>
      </c>
      <c r="D33" s="85" t="n">
        <v>900</v>
      </c>
      <c r="E33" s="36" t="inlineStr">
        <is>
          <t>～</t>
        </is>
      </c>
      <c r="F33" s="85" t="n">
        <v>1500</v>
      </c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46231</v>
      </c>
      <c r="B34" s="32">
        <f>IF(A34="","","日")</f>
        <v/>
      </c>
      <c r="C34" s="31" t="str">
        <f>IF(A34="","","("&amp;CHOOSE(WEEKDAY(A34,2),"月","火","水","木","金","土","日")&amp;"）")</f>
        <v>(火）</v>
      </c>
      <c r="D34" s="85" t="n">
        <v>900</v>
      </c>
      <c r="E34" s="36" t="inlineStr">
        <is>
          <t>～</t>
        </is>
      </c>
      <c r="F34" s="85" t="n">
        <v>1500</v>
      </c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46232</v>
      </c>
      <c r="B35" s="32">
        <f>IF(A35="","","日")</f>
        <v/>
      </c>
      <c r="C35" s="31" t="str">
        <f>IF(A35="","","("&amp;CHOOSE(WEEKDAY(A35,2),"月","火","水","木","金","土","日")&amp;"）")</f>
        <v>(水）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 t="inlineStr">
        <is>
          <t>休</t>
        </is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46233</v>
      </c>
      <c r="B36" s="32">
        <f>IF(A36="","","日")</f>
        <v/>
      </c>
      <c r="C36" s="31" t="str">
        <f>IF(A36="","","("&amp;CHOOSE(WEEKDAY(A36,2),"月","火","水","木","金","土","日")&amp;"）")</f>
        <v>(木）</v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>46234</v>
      </c>
      <c r="B37" s="33">
        <f>IF(A37="","","日")</f>
        <v/>
      </c>
      <c r="C37" s="34" t="str">
        <f>IF(A37="","","("&amp;CHOOSE(WEEKDAY(A37,2),"月","火","水","木","金","土","日")&amp;"）")</f>
        <v>(金）</v>
      </c>
      <c r="D37" s="88" t="n">
        <v>900</v>
      </c>
      <c r="E37" s="37" t="inlineStr">
        <is>
          <t>～</t>
        </is>
      </c>
      <c r="F37" s="88" t="n">
        <v>1500</v>
      </c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17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4.25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4.25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8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46235</v>
      </c>
      <c r="B7" s="30">
        <f>IF(A7="","","日")</f>
        <v/>
      </c>
      <c r="C7" s="31" t="str">
        <f>IF(A7="","","("&amp;CHOOSE(WEEKDAY(A7,2),"月","火","水","木","金","土","日")&amp;"）")</f>
        <v>(土）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46236</v>
      </c>
      <c r="B8" s="32">
        <f>IF(A8="","","日")</f>
        <v/>
      </c>
      <c r="C8" s="31" t="str">
        <f>IF(A8="","","("&amp;CHOOSE(WEEKDAY(A8,2),"月","火","水","木","金","土","日")&amp;"）")</f>
        <v>(日）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46237</v>
      </c>
      <c r="B9" s="32">
        <f>IF(A9="","","日")</f>
        <v/>
      </c>
      <c r="C9" s="31" t="str">
        <f>IF(A9="","","("&amp;CHOOSE(WEEKDAY(A9,2),"月","火","水","木","金","土","日")&amp;"）")</f>
        <v>(月）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46238</v>
      </c>
      <c r="B10" s="32">
        <f>IF(A10="","","日")</f>
        <v/>
      </c>
      <c r="C10" s="31" t="str">
        <f>IF(A10="","","("&amp;CHOOSE(WEEKDAY(A10,2),"月","火","水","木","金","土","日")&amp;"）")</f>
        <v>(火）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46239</v>
      </c>
      <c r="B11" s="32">
        <f>IF(A11="","","日")</f>
        <v/>
      </c>
      <c r="C11" s="31" t="str">
        <f>IF(A11="","","("&amp;CHOOSE(WEEKDAY(A11,2),"月","火","水","木","金","土","日")&amp;"）")</f>
        <v>(水）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46240</v>
      </c>
      <c r="B12" s="32">
        <f>IF(A12="","","日")</f>
        <v/>
      </c>
      <c r="C12" s="31" t="str">
        <f>IF(A12="","","("&amp;CHOOSE(WEEKDAY(A12,2),"月","火","水","木","金","土","日")&amp;"）")</f>
        <v>(木）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46241</v>
      </c>
      <c r="B13" s="32">
        <f>IF(A13="","","日")</f>
        <v/>
      </c>
      <c r="C13" s="31" t="str">
        <f>IF(A13="","","("&amp;CHOOSE(WEEKDAY(A13,2),"月","火","水","木","金","土","日")&amp;"）")</f>
        <v>(金）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46242</v>
      </c>
      <c r="B14" s="32">
        <f>IF(A14="","","日")</f>
        <v/>
      </c>
      <c r="C14" s="31" t="str">
        <f>IF(A14="","","("&amp;CHOOSE(WEEKDAY(A14,2),"月","火","水","木","金","土","日")&amp;"）")</f>
        <v>(土）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46243</v>
      </c>
      <c r="B15" s="32">
        <f>IF(A15="","","日")</f>
        <v/>
      </c>
      <c r="C15" s="31" t="str">
        <f>IF(A15="","","("&amp;CHOOSE(WEEKDAY(A15,2),"月","火","水","木","金","土","日")&amp;"）")</f>
        <v>(日）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46244</v>
      </c>
      <c r="B16" s="32">
        <f>IF(A16="","","日")</f>
        <v/>
      </c>
      <c r="C16" s="31" t="str">
        <f>IF(A16="","","("&amp;CHOOSE(WEEKDAY(A16,2),"月","火","水","木","金","土","日")&amp;"）")</f>
        <v>(月）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46245</v>
      </c>
      <c r="B17" s="32">
        <f>IF(A17="","","日")</f>
        <v/>
      </c>
      <c r="C17" s="31" t="str">
        <f>IF(A17="","","("&amp;CHOOSE(WEEKDAY(A17,2),"月","火","水","木","金","土","日")&amp;"）")</f>
        <v>(火）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 t="str">
        <f>IF($A17="","",IFERROR(VLOOKUP($A17,祝日リスト!$A$2:$C$40,3,0),""))</f>
        <v>山の日</v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46246</v>
      </c>
      <c r="B18" s="32">
        <f>IF(A18="","","日")</f>
        <v/>
      </c>
      <c r="C18" s="31" t="str">
        <f>IF(A18="","","("&amp;CHOOSE(WEEKDAY(A18,2),"月","火","水","木","金","土","日")&amp;"）")</f>
        <v>(水）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46247</v>
      </c>
      <c r="B19" s="32">
        <f>IF(A19="","","日")</f>
        <v/>
      </c>
      <c r="C19" s="31" t="str">
        <f>IF(A19="","","("&amp;CHOOSE(WEEKDAY(A19,2),"月","火","水","木","金","土","日")&amp;"）")</f>
        <v>(木）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46248</v>
      </c>
      <c r="B20" s="32">
        <f>IF(A20="","","日")</f>
        <v/>
      </c>
      <c r="C20" s="31" t="str">
        <f>IF(A20="","","("&amp;CHOOSE(WEEKDAY(A20,2),"月","火","水","木","金","土","日")&amp;"）")</f>
        <v>(金）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46249</v>
      </c>
      <c r="B21" s="32">
        <f>IF(A21="","","日")</f>
        <v/>
      </c>
      <c r="C21" s="31" t="str">
        <f>IF(A21="","","("&amp;CHOOSE(WEEKDAY(A21,2),"月","火","水","木","金","土","日")&amp;"）")</f>
        <v>(土）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46250</v>
      </c>
      <c r="B22" s="32">
        <f>IF(A22="","","日")</f>
        <v/>
      </c>
      <c r="C22" s="31" t="str">
        <f>IF(A22="","","("&amp;CHOOSE(WEEKDAY(A22,2),"月","火","水","木","金","土","日")&amp;"）")</f>
        <v>(日）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46251</v>
      </c>
      <c r="B23" s="32">
        <f>IF(A23="","","日")</f>
        <v/>
      </c>
      <c r="C23" s="31" t="str">
        <f>IF(A23="","","("&amp;CHOOSE(WEEKDAY(A23,2),"月","火","水","木","金","土","日")&amp;"）")</f>
        <v>(月）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46252</v>
      </c>
      <c r="B24" s="32">
        <f>IF(A24="","","日")</f>
        <v/>
      </c>
      <c r="C24" s="31" t="str">
        <f>IF(A24="","","("&amp;CHOOSE(WEEKDAY(A24,2),"月","火","水","木","金","土","日")&amp;"）")</f>
        <v>(火）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46253</v>
      </c>
      <c r="B25" s="32">
        <f>IF(A25="","","日")</f>
        <v/>
      </c>
      <c r="C25" s="31" t="str">
        <f>IF(A25="","","("&amp;CHOOSE(WEEKDAY(A25,2),"月","火","水","木","金","土","日")&amp;"）")</f>
        <v>(水）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46254</v>
      </c>
      <c r="B26" s="32">
        <f>IF(A26="","","日")</f>
        <v/>
      </c>
      <c r="C26" s="31" t="str">
        <f>IF(A26="","","("&amp;CHOOSE(WEEKDAY(A26,2),"月","火","水","木","金","土","日")&amp;"）")</f>
        <v>(木）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46255</v>
      </c>
      <c r="B27" s="32">
        <f>IF(A27="","","日")</f>
        <v/>
      </c>
      <c r="C27" s="31" t="str">
        <f>IF(A27="","","("&amp;CHOOSE(WEEKDAY(A27,2),"月","火","水","木","金","土","日")&amp;"）")</f>
        <v>(金）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46256</v>
      </c>
      <c r="B28" s="32">
        <f>IF(A28="","","日")</f>
        <v/>
      </c>
      <c r="C28" s="31" t="str">
        <f>IF(A28="","","("&amp;CHOOSE(WEEKDAY(A28,2),"月","火","水","木","金","土","日")&amp;"）")</f>
        <v>(土）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46257</v>
      </c>
      <c r="B29" s="32">
        <f>IF(A29="","","日")</f>
        <v/>
      </c>
      <c r="C29" s="31" t="str">
        <f>IF(A29="","","("&amp;CHOOSE(WEEKDAY(A29,2),"月","火","水","木","金","土","日")&amp;"）")</f>
        <v>(日）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46258</v>
      </c>
      <c r="B30" s="32">
        <f>IF(A30="","","日")</f>
        <v/>
      </c>
      <c r="C30" s="31" t="str">
        <f>IF(A30="","","("&amp;CHOOSE(WEEKDAY(A30,2),"月","火","水","木","金","土","日")&amp;"）")</f>
        <v>(月）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46259</v>
      </c>
      <c r="B31" s="32">
        <f>IF(A31="","","日")</f>
        <v/>
      </c>
      <c r="C31" s="31" t="str">
        <f>IF(A31="","","("&amp;CHOOSE(WEEKDAY(A31,2),"月","火","水","木","金","土","日")&amp;"）")</f>
        <v>(火）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46260</v>
      </c>
      <c r="B32" s="32">
        <f>IF(A32="","","日")</f>
        <v/>
      </c>
      <c r="C32" s="31" t="str">
        <f>IF(A32="","","("&amp;CHOOSE(WEEKDAY(A32,2),"月","火","水","木","金","土","日")&amp;"）")</f>
        <v>(水）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46261</v>
      </c>
      <c r="B33" s="32">
        <f>IF(A33="","","日")</f>
        <v/>
      </c>
      <c r="C33" s="31" t="str">
        <f>IF(A33="","","("&amp;CHOOSE(WEEKDAY(A33,2),"月","火","水","木","金","土","日")&amp;"）")</f>
        <v>(木）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46262</v>
      </c>
      <c r="B34" s="32">
        <f>IF(A34="","","日")</f>
        <v/>
      </c>
      <c r="C34" s="31" t="str">
        <f>IF(A34="","","("&amp;CHOOSE(WEEKDAY(A34,2),"月","火","水","木","金","土","日")&amp;"）")</f>
        <v>(金）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46263</v>
      </c>
      <c r="B35" s="32">
        <f>IF(A35="","","日")</f>
        <v/>
      </c>
      <c r="C35" s="31" t="str">
        <f>IF(A35="","","("&amp;CHOOSE(WEEKDAY(A35,2),"月","火","水","木","金","土","日")&amp;"）")</f>
        <v>(土）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46264</v>
      </c>
      <c r="B36" s="32">
        <f>IF(A36="","","日")</f>
        <v/>
      </c>
      <c r="C36" s="31" t="str">
        <f>IF(A36="","","("&amp;CHOOSE(WEEKDAY(A36,2),"月","火","水","木","金","土","日")&amp;"）")</f>
        <v>(日）</v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>46265</v>
      </c>
      <c r="B37" s="33">
        <f>IF(A37="","","日")</f>
        <v/>
      </c>
      <c r="C37" s="34" t="str">
        <f>IF(A37="","","("&amp;CHOOSE(WEEKDAY(A37,2),"月","火","水","木","金","土","日")&amp;"）")</f>
        <v>(月）</v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9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46266</v>
      </c>
      <c r="B7" s="30">
        <f>IF(A7="","","日")</f>
        <v/>
      </c>
      <c r="C7" s="31" t="str">
        <f>IF(A7="","","("&amp;CHOOSE(WEEKDAY(A7,2),"月","火","水","木","金","土","日")&amp;"）")</f>
        <v>(火）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46267</v>
      </c>
      <c r="B8" s="32">
        <f>IF(A8="","","日")</f>
        <v/>
      </c>
      <c r="C8" s="31" t="str">
        <f>IF(A8="","","("&amp;CHOOSE(WEEKDAY(A8,2),"月","火","水","木","金","土","日")&amp;"）")</f>
        <v>(水）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46268</v>
      </c>
      <c r="B9" s="32">
        <f>IF(A9="","","日")</f>
        <v/>
      </c>
      <c r="C9" s="31" t="str">
        <f>IF(A9="","","("&amp;CHOOSE(WEEKDAY(A9,2),"月","火","水","木","金","土","日")&amp;"）")</f>
        <v>(木）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46269</v>
      </c>
      <c r="B10" s="32">
        <f>IF(A10="","","日")</f>
        <v/>
      </c>
      <c r="C10" s="31" t="str">
        <f>IF(A10="","","("&amp;CHOOSE(WEEKDAY(A10,2),"月","火","水","木","金","土","日")&amp;"）")</f>
        <v>(金）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46270</v>
      </c>
      <c r="B11" s="32">
        <f>IF(A11="","","日")</f>
        <v/>
      </c>
      <c r="C11" s="31" t="str">
        <f>IF(A11="","","("&amp;CHOOSE(WEEKDAY(A11,2),"月","火","水","木","金","土","日")&amp;"）")</f>
        <v>(土）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46271</v>
      </c>
      <c r="B12" s="32">
        <f>IF(A12="","","日")</f>
        <v/>
      </c>
      <c r="C12" s="31" t="str">
        <f>IF(A12="","","("&amp;CHOOSE(WEEKDAY(A12,2),"月","火","水","木","金","土","日")&amp;"）")</f>
        <v>(日）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46272</v>
      </c>
      <c r="B13" s="32">
        <f>IF(A13="","","日")</f>
        <v/>
      </c>
      <c r="C13" s="31" t="str">
        <f>IF(A13="","","("&amp;CHOOSE(WEEKDAY(A13,2),"月","火","水","木","金","土","日")&amp;"）")</f>
        <v>(月）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46273</v>
      </c>
      <c r="B14" s="32">
        <f>IF(A14="","","日")</f>
        <v/>
      </c>
      <c r="C14" s="31" t="str">
        <f>IF(A14="","","("&amp;CHOOSE(WEEKDAY(A14,2),"月","火","水","木","金","土","日")&amp;"）")</f>
        <v>(火）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46274</v>
      </c>
      <c r="B15" s="32">
        <f>IF(A15="","","日")</f>
        <v/>
      </c>
      <c r="C15" s="31" t="str">
        <f>IF(A15="","","("&amp;CHOOSE(WEEKDAY(A15,2),"月","火","水","木","金","土","日")&amp;"）")</f>
        <v>(水）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46275</v>
      </c>
      <c r="B16" s="32">
        <f>IF(A16="","","日")</f>
        <v/>
      </c>
      <c r="C16" s="31" t="str">
        <f>IF(A16="","","("&amp;CHOOSE(WEEKDAY(A16,2),"月","火","水","木","金","土","日")&amp;"）")</f>
        <v>(木）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46276</v>
      </c>
      <c r="B17" s="32">
        <f>IF(A17="","","日")</f>
        <v/>
      </c>
      <c r="C17" s="31" t="str">
        <f>IF(A17="","","("&amp;CHOOSE(WEEKDAY(A17,2),"月","火","水","木","金","土","日")&amp;"）")</f>
        <v>(金）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46277</v>
      </c>
      <c r="B18" s="32">
        <f>IF(A18="","","日")</f>
        <v/>
      </c>
      <c r="C18" s="31" t="str">
        <f>IF(A18="","","("&amp;CHOOSE(WEEKDAY(A18,2),"月","火","水","木","金","土","日")&amp;"）")</f>
        <v>(土）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46278</v>
      </c>
      <c r="B19" s="32">
        <f>IF(A19="","","日")</f>
        <v/>
      </c>
      <c r="C19" s="31" t="str">
        <f>IF(A19="","","("&amp;CHOOSE(WEEKDAY(A19,2),"月","火","水","木","金","土","日")&amp;"）")</f>
        <v>(日）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46279</v>
      </c>
      <c r="B20" s="32">
        <f>IF(A20="","","日")</f>
        <v/>
      </c>
      <c r="C20" s="31" t="str">
        <f>IF(A20="","","("&amp;CHOOSE(WEEKDAY(A20,2),"月","火","水","木","金","土","日")&amp;"）")</f>
        <v>(月）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46280</v>
      </c>
      <c r="B21" s="32">
        <f>IF(A21="","","日")</f>
        <v/>
      </c>
      <c r="C21" s="31" t="str">
        <f>IF(A21="","","("&amp;CHOOSE(WEEKDAY(A21,2),"月","火","水","木","金","土","日")&amp;"）")</f>
        <v>(火）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46281</v>
      </c>
      <c r="B22" s="32">
        <f>IF(A22="","","日")</f>
        <v/>
      </c>
      <c r="C22" s="31" t="str">
        <f>IF(A22="","","("&amp;CHOOSE(WEEKDAY(A22,2),"月","火","水","木","金","土","日")&amp;"）")</f>
        <v>(水）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46282</v>
      </c>
      <c r="B23" s="32">
        <f>IF(A23="","","日")</f>
        <v/>
      </c>
      <c r="C23" s="31" t="str">
        <f>IF(A23="","","("&amp;CHOOSE(WEEKDAY(A23,2),"月","火","水","木","金","土","日")&amp;"）")</f>
        <v>(木）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46283</v>
      </c>
      <c r="B24" s="32">
        <f>IF(A24="","","日")</f>
        <v/>
      </c>
      <c r="C24" s="31" t="str">
        <f>IF(A24="","","("&amp;CHOOSE(WEEKDAY(A24,2),"月","火","水","木","金","土","日")&amp;"）")</f>
        <v>(金）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46284</v>
      </c>
      <c r="B25" s="32">
        <f>IF(A25="","","日")</f>
        <v/>
      </c>
      <c r="C25" s="31" t="str">
        <f>IF(A25="","","("&amp;CHOOSE(WEEKDAY(A25,2),"月","火","水","木","金","土","日")&amp;"）")</f>
        <v>(土）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46285</v>
      </c>
      <c r="B26" s="32">
        <f>IF(A26="","","日")</f>
        <v/>
      </c>
      <c r="C26" s="31" t="str">
        <f>IF(A26="","","("&amp;CHOOSE(WEEKDAY(A26,2),"月","火","水","木","金","土","日")&amp;"）")</f>
        <v>(日）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46286</v>
      </c>
      <c r="B27" s="32">
        <f>IF(A27="","","日")</f>
        <v/>
      </c>
      <c r="C27" s="31" t="str">
        <f>IF(A27="","","("&amp;CHOOSE(WEEKDAY(A27,2),"月","火","水","木","金","土","日")&amp;"）")</f>
        <v>(月）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 t="str">
        <f>IF($A27="","",IFERROR(VLOOKUP($A27,祝日リスト!$A$2:$C$40,3,0),""))</f>
        <v>敬老の日</v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46287</v>
      </c>
      <c r="B28" s="32">
        <f>IF(A28="","","日")</f>
        <v/>
      </c>
      <c r="C28" s="31" t="str">
        <f>IF(A28="","","("&amp;CHOOSE(WEEKDAY(A28,2),"月","火","水","木","金","土","日")&amp;"）")</f>
        <v>(火）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 t="str">
        <f>IF($A28="","",IFERROR(VLOOKUP($A28,祝日リスト!$A$2:$C$40,3,0),""))</f>
        <v>国民の休日</v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46288</v>
      </c>
      <c r="B29" s="32">
        <f>IF(A29="","","日")</f>
        <v/>
      </c>
      <c r="C29" s="31" t="str">
        <f>IF(A29="","","("&amp;CHOOSE(WEEKDAY(A29,2),"月","火","水","木","金","土","日")&amp;"）")</f>
        <v>(水）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 t="str">
        <f>IF($A29="","",IFERROR(VLOOKUP($A29,祝日リスト!$A$2:$C$40,3,0),""))</f>
        <v>秋分の日</v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46289</v>
      </c>
      <c r="B30" s="32">
        <f>IF(A30="","","日")</f>
        <v/>
      </c>
      <c r="C30" s="31" t="str">
        <f>IF(A30="","","("&amp;CHOOSE(WEEKDAY(A30,2),"月","火","水","木","金","土","日")&amp;"）")</f>
        <v>(木）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46290</v>
      </c>
      <c r="B31" s="32">
        <f>IF(A31="","","日")</f>
        <v/>
      </c>
      <c r="C31" s="31" t="str">
        <f>IF(A31="","","("&amp;CHOOSE(WEEKDAY(A31,2),"月","火","水","木","金","土","日")&amp;"）")</f>
        <v>(金）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46291</v>
      </c>
      <c r="B32" s="32">
        <f>IF(A32="","","日")</f>
        <v/>
      </c>
      <c r="C32" s="31" t="str">
        <f>IF(A32="","","("&amp;CHOOSE(WEEKDAY(A32,2),"月","火","水","木","金","土","日")&amp;"）")</f>
        <v>(土）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46292</v>
      </c>
      <c r="B33" s="32">
        <f>IF(A33="","","日")</f>
        <v/>
      </c>
      <c r="C33" s="31" t="str">
        <f>IF(A33="","","("&amp;CHOOSE(WEEKDAY(A33,2),"月","火","水","木","金","土","日")&amp;"）")</f>
        <v>(日）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46293</v>
      </c>
      <c r="B34" s="32">
        <f>IF(A34="","","日")</f>
        <v/>
      </c>
      <c r="C34" s="31" t="str">
        <f>IF(A34="","","("&amp;CHOOSE(WEEKDAY(A34,2),"月","火","水","木","金","土","日")&amp;"）")</f>
        <v>(月）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46294</v>
      </c>
      <c r="B35" s="32">
        <f>IF(A35="","","日")</f>
        <v/>
      </c>
      <c r="C35" s="31" t="str">
        <f>IF(A35="","","("&amp;CHOOSE(WEEKDAY(A35,2),"月","火","水","木","金","土","日")&amp;"）")</f>
        <v>(火）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46295</v>
      </c>
      <c r="B36" s="32">
        <f>IF(A36="","","日")</f>
        <v/>
      </c>
      <c r="C36" s="31" t="str">
        <f>IF(A36="","","("&amp;CHOOSE(WEEKDAY(A36,2),"月","火","水","木","金","土","日")&amp;"）")</f>
        <v>(水）</v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10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46296</v>
      </c>
      <c r="B7" s="30">
        <f>IF(A7="","","日")</f>
        <v/>
      </c>
      <c r="C7" s="31" t="str">
        <f>IF(A7="","","("&amp;CHOOSE(WEEKDAY(A7,2),"月","火","水","木","金","土","日")&amp;"）")</f>
        <v>(木）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46297</v>
      </c>
      <c r="B8" s="32">
        <f>IF(A8="","","日")</f>
        <v/>
      </c>
      <c r="C8" s="31" t="str">
        <f>IF(A8="","","("&amp;CHOOSE(WEEKDAY(A8,2),"月","火","水","木","金","土","日")&amp;"）")</f>
        <v>(金）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46298</v>
      </c>
      <c r="B9" s="32">
        <f>IF(A9="","","日")</f>
        <v/>
      </c>
      <c r="C9" s="31" t="str">
        <f>IF(A9="","","("&amp;CHOOSE(WEEKDAY(A9,2),"月","火","水","木","金","土","日")&amp;"）")</f>
        <v>(土）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46299</v>
      </c>
      <c r="B10" s="32">
        <f>IF(A10="","","日")</f>
        <v/>
      </c>
      <c r="C10" s="31" t="str">
        <f>IF(A10="","","("&amp;CHOOSE(WEEKDAY(A10,2),"月","火","水","木","金","土","日")&amp;"）")</f>
        <v>(日）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46300</v>
      </c>
      <c r="B11" s="32">
        <f>IF(A11="","","日")</f>
        <v/>
      </c>
      <c r="C11" s="31" t="str">
        <f>IF(A11="","","("&amp;CHOOSE(WEEKDAY(A11,2),"月","火","水","木","金","土","日")&amp;"）")</f>
        <v>(月）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46301</v>
      </c>
      <c r="B12" s="32">
        <f>IF(A12="","","日")</f>
        <v/>
      </c>
      <c r="C12" s="31" t="str">
        <f>IF(A12="","","("&amp;CHOOSE(WEEKDAY(A12,2),"月","火","水","木","金","土","日")&amp;"）")</f>
        <v>(火）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46302</v>
      </c>
      <c r="B13" s="32">
        <f>IF(A13="","","日")</f>
        <v/>
      </c>
      <c r="C13" s="31" t="str">
        <f>IF(A13="","","("&amp;CHOOSE(WEEKDAY(A13,2),"月","火","水","木","金","土","日")&amp;"）")</f>
        <v>(水）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46303</v>
      </c>
      <c r="B14" s="32">
        <f>IF(A14="","","日")</f>
        <v/>
      </c>
      <c r="C14" s="31" t="str">
        <f>IF(A14="","","("&amp;CHOOSE(WEEKDAY(A14,2),"月","火","水","木","金","土","日")&amp;"）")</f>
        <v>(木）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46304</v>
      </c>
      <c r="B15" s="32">
        <f>IF(A15="","","日")</f>
        <v/>
      </c>
      <c r="C15" s="31" t="str">
        <f>IF(A15="","","("&amp;CHOOSE(WEEKDAY(A15,2),"月","火","水","木","金","土","日")&amp;"）")</f>
        <v>(金）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46305</v>
      </c>
      <c r="B16" s="32">
        <f>IF(A16="","","日")</f>
        <v/>
      </c>
      <c r="C16" s="31" t="str">
        <f>IF(A16="","","("&amp;CHOOSE(WEEKDAY(A16,2),"月","火","水","木","金","土","日")&amp;"）")</f>
        <v>(土）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46306</v>
      </c>
      <c r="B17" s="32">
        <f>IF(A17="","","日")</f>
        <v/>
      </c>
      <c r="C17" s="31" t="str">
        <f>IF(A17="","","("&amp;CHOOSE(WEEKDAY(A17,2),"月","火","水","木","金","土","日")&amp;"）")</f>
        <v>(日）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46307</v>
      </c>
      <c r="B18" s="32">
        <f>IF(A18="","","日")</f>
        <v/>
      </c>
      <c r="C18" s="31" t="str">
        <f>IF(A18="","","("&amp;CHOOSE(WEEKDAY(A18,2),"月","火","水","木","金","土","日")&amp;"）")</f>
        <v>(月）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 t="str">
        <f>IF($A18="","",IFERROR(VLOOKUP($A18,祝日リスト!$A$2:$C$40,3,0),""))</f>
        <v>スポーツの日</v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46308</v>
      </c>
      <c r="B19" s="32">
        <f>IF(A19="","","日")</f>
        <v/>
      </c>
      <c r="C19" s="31" t="str">
        <f>IF(A19="","","("&amp;CHOOSE(WEEKDAY(A19,2),"月","火","水","木","金","土","日")&amp;"）")</f>
        <v>(火）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46309</v>
      </c>
      <c r="B20" s="32">
        <f>IF(A20="","","日")</f>
        <v/>
      </c>
      <c r="C20" s="31" t="str">
        <f>IF(A20="","","("&amp;CHOOSE(WEEKDAY(A20,2),"月","火","水","木","金","土","日")&amp;"）")</f>
        <v>(水）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46310</v>
      </c>
      <c r="B21" s="32">
        <f>IF(A21="","","日")</f>
        <v/>
      </c>
      <c r="C21" s="31" t="str">
        <f>IF(A21="","","("&amp;CHOOSE(WEEKDAY(A21,2),"月","火","水","木","金","土","日")&amp;"）")</f>
        <v>(木）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46311</v>
      </c>
      <c r="B22" s="32">
        <f>IF(A22="","","日")</f>
        <v/>
      </c>
      <c r="C22" s="31" t="str">
        <f>IF(A22="","","("&amp;CHOOSE(WEEKDAY(A22,2),"月","火","水","木","金","土","日")&amp;"）")</f>
        <v>(金）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46312</v>
      </c>
      <c r="B23" s="32">
        <f>IF(A23="","","日")</f>
        <v/>
      </c>
      <c r="C23" s="31" t="str">
        <f>IF(A23="","","("&amp;CHOOSE(WEEKDAY(A23,2),"月","火","水","木","金","土","日")&amp;"）")</f>
        <v>(土）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46313</v>
      </c>
      <c r="B24" s="32">
        <f>IF(A24="","","日")</f>
        <v/>
      </c>
      <c r="C24" s="31" t="str">
        <f>IF(A24="","","("&amp;CHOOSE(WEEKDAY(A24,2),"月","火","水","木","金","土","日")&amp;"）")</f>
        <v>(日）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46314</v>
      </c>
      <c r="B25" s="32">
        <f>IF(A25="","","日")</f>
        <v/>
      </c>
      <c r="C25" s="31" t="str">
        <f>IF(A25="","","("&amp;CHOOSE(WEEKDAY(A25,2),"月","火","水","木","金","土","日")&amp;"）")</f>
        <v>(月）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46315</v>
      </c>
      <c r="B26" s="32">
        <f>IF(A26="","","日")</f>
        <v/>
      </c>
      <c r="C26" s="31" t="str">
        <f>IF(A26="","","("&amp;CHOOSE(WEEKDAY(A26,2),"月","火","水","木","金","土","日")&amp;"）")</f>
        <v>(火）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46316</v>
      </c>
      <c r="B27" s="32">
        <f>IF(A27="","","日")</f>
        <v/>
      </c>
      <c r="C27" s="31" t="str">
        <f>IF(A27="","","("&amp;CHOOSE(WEEKDAY(A27,2),"月","火","水","木","金","土","日")&amp;"）")</f>
        <v>(水）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46317</v>
      </c>
      <c r="B28" s="32">
        <f>IF(A28="","","日")</f>
        <v/>
      </c>
      <c r="C28" s="31" t="str">
        <f>IF(A28="","","("&amp;CHOOSE(WEEKDAY(A28,2),"月","火","水","木","金","土","日")&amp;"）")</f>
        <v>(木）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46318</v>
      </c>
      <c r="B29" s="32">
        <f>IF(A29="","","日")</f>
        <v/>
      </c>
      <c r="C29" s="31" t="str">
        <f>IF(A29="","","("&amp;CHOOSE(WEEKDAY(A29,2),"月","火","水","木","金","土","日")&amp;"）")</f>
        <v>(金）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46319</v>
      </c>
      <c r="B30" s="32">
        <f>IF(A30="","","日")</f>
        <v/>
      </c>
      <c r="C30" s="31" t="str">
        <f>IF(A30="","","("&amp;CHOOSE(WEEKDAY(A30,2),"月","火","水","木","金","土","日")&amp;"）")</f>
        <v>(土）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46320</v>
      </c>
      <c r="B31" s="32">
        <f>IF(A31="","","日")</f>
        <v/>
      </c>
      <c r="C31" s="31" t="str">
        <f>IF(A31="","","("&amp;CHOOSE(WEEKDAY(A31,2),"月","火","水","木","金","土","日")&amp;"）")</f>
        <v>(日）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46321</v>
      </c>
      <c r="B32" s="32">
        <f>IF(A32="","","日")</f>
        <v/>
      </c>
      <c r="C32" s="31" t="str">
        <f>IF(A32="","","("&amp;CHOOSE(WEEKDAY(A32,2),"月","火","水","木","金","土","日")&amp;"）")</f>
        <v>(月）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46322</v>
      </c>
      <c r="B33" s="32">
        <f>IF(A33="","","日")</f>
        <v/>
      </c>
      <c r="C33" s="31" t="str">
        <f>IF(A33="","","("&amp;CHOOSE(WEEKDAY(A33,2),"月","火","水","木","金","土","日")&amp;"）")</f>
        <v>(火）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46323</v>
      </c>
      <c r="B34" s="32">
        <f>IF(A34="","","日")</f>
        <v/>
      </c>
      <c r="C34" s="31" t="str">
        <f>IF(A34="","","("&amp;CHOOSE(WEEKDAY(A34,2),"月","火","水","木","金","土","日")&amp;"）")</f>
        <v>(水）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46324</v>
      </c>
      <c r="B35" s="32">
        <f>IF(A35="","","日")</f>
        <v/>
      </c>
      <c r="C35" s="31" t="str">
        <f>IF(A35="","","("&amp;CHOOSE(WEEKDAY(A35,2),"月","火","水","木","金","土","日")&amp;"）")</f>
        <v>(木）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46325</v>
      </c>
      <c r="B36" s="32">
        <f>IF(A36="","","日")</f>
        <v/>
      </c>
      <c r="C36" s="31" t="str">
        <f>IF(A36="","","("&amp;CHOOSE(WEEKDAY(A36,2),"月","火","水","木","金","土","日")&amp;"）")</f>
        <v>(金）</v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>46326</v>
      </c>
      <c r="B37" s="33">
        <f>IF(A37="","","日")</f>
        <v/>
      </c>
      <c r="C37" s="34" t="str">
        <f>IF(A37="","","("&amp;CHOOSE(WEEKDAY(A37,2),"月","火","水","木","金","土","日")&amp;"）")</f>
        <v>(土）</v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11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46327</v>
      </c>
      <c r="B7" s="30">
        <f>IF(A7="","","日")</f>
        <v/>
      </c>
      <c r="C7" s="31" t="str">
        <f>IF(A7="","","("&amp;CHOOSE(WEEKDAY(A7,2),"月","火","水","木","金","土","日")&amp;"）")</f>
        <v>(日）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46328</v>
      </c>
      <c r="B8" s="32">
        <f>IF(A8="","","日")</f>
        <v/>
      </c>
      <c r="C8" s="31" t="str">
        <f>IF(A8="","","("&amp;CHOOSE(WEEKDAY(A8,2),"月","火","水","木","金","土","日")&amp;"）")</f>
        <v>(月）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46329</v>
      </c>
      <c r="B9" s="32">
        <f>IF(A9="","","日")</f>
        <v/>
      </c>
      <c r="C9" s="31" t="str">
        <f>IF(A9="","","("&amp;CHOOSE(WEEKDAY(A9,2),"月","火","水","木","金","土","日")&amp;"）")</f>
        <v>(火）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 t="str">
        <f>IF($A9="","",IFERROR(VLOOKUP($A9,祝日リスト!$A$2:$C$40,3,0),""))</f>
        <v>文化の日</v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46330</v>
      </c>
      <c r="B10" s="32">
        <f>IF(A10="","","日")</f>
        <v/>
      </c>
      <c r="C10" s="31" t="str">
        <f>IF(A10="","","("&amp;CHOOSE(WEEKDAY(A10,2),"月","火","水","木","金","土","日")&amp;"）")</f>
        <v>(水）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46331</v>
      </c>
      <c r="B11" s="32">
        <f>IF(A11="","","日")</f>
        <v/>
      </c>
      <c r="C11" s="31" t="str">
        <f>IF(A11="","","("&amp;CHOOSE(WEEKDAY(A11,2),"月","火","水","木","金","土","日")&amp;"）")</f>
        <v>(木）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46332</v>
      </c>
      <c r="B12" s="32">
        <f>IF(A12="","","日")</f>
        <v/>
      </c>
      <c r="C12" s="31" t="str">
        <f>IF(A12="","","("&amp;CHOOSE(WEEKDAY(A12,2),"月","火","水","木","金","土","日")&amp;"）")</f>
        <v>(金）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46333</v>
      </c>
      <c r="B13" s="32">
        <f>IF(A13="","","日")</f>
        <v/>
      </c>
      <c r="C13" s="31" t="str">
        <f>IF(A13="","","("&amp;CHOOSE(WEEKDAY(A13,2),"月","火","水","木","金","土","日")&amp;"）")</f>
        <v>(土）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46334</v>
      </c>
      <c r="B14" s="32">
        <f>IF(A14="","","日")</f>
        <v/>
      </c>
      <c r="C14" s="31" t="str">
        <f>IF(A14="","","("&amp;CHOOSE(WEEKDAY(A14,2),"月","火","水","木","金","土","日")&amp;"）")</f>
        <v>(日）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46335</v>
      </c>
      <c r="B15" s="32">
        <f>IF(A15="","","日")</f>
        <v/>
      </c>
      <c r="C15" s="31" t="str">
        <f>IF(A15="","","("&amp;CHOOSE(WEEKDAY(A15,2),"月","火","水","木","金","土","日")&amp;"）")</f>
        <v>(月）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46336</v>
      </c>
      <c r="B16" s="32">
        <f>IF(A16="","","日")</f>
        <v/>
      </c>
      <c r="C16" s="31" t="str">
        <f>IF(A16="","","("&amp;CHOOSE(WEEKDAY(A16,2),"月","火","水","木","金","土","日")&amp;"）")</f>
        <v>(火）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46337</v>
      </c>
      <c r="B17" s="32">
        <f>IF(A17="","","日")</f>
        <v/>
      </c>
      <c r="C17" s="31" t="str">
        <f>IF(A17="","","("&amp;CHOOSE(WEEKDAY(A17,2),"月","火","水","木","金","土","日")&amp;"）")</f>
        <v>(水）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46338</v>
      </c>
      <c r="B18" s="32">
        <f>IF(A18="","","日")</f>
        <v/>
      </c>
      <c r="C18" s="31" t="str">
        <f>IF(A18="","","("&amp;CHOOSE(WEEKDAY(A18,2),"月","火","水","木","金","土","日")&amp;"）")</f>
        <v>(木）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46339</v>
      </c>
      <c r="B19" s="32">
        <f>IF(A19="","","日")</f>
        <v/>
      </c>
      <c r="C19" s="31" t="str">
        <f>IF(A19="","","("&amp;CHOOSE(WEEKDAY(A19,2),"月","火","水","木","金","土","日")&amp;"）")</f>
        <v>(金）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46340</v>
      </c>
      <c r="B20" s="32">
        <f>IF(A20="","","日")</f>
        <v/>
      </c>
      <c r="C20" s="31" t="str">
        <f>IF(A20="","","("&amp;CHOOSE(WEEKDAY(A20,2),"月","火","水","木","金","土","日")&amp;"）")</f>
        <v>(土）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46341</v>
      </c>
      <c r="B21" s="32">
        <f>IF(A21="","","日")</f>
        <v/>
      </c>
      <c r="C21" s="31" t="str">
        <f>IF(A21="","","("&amp;CHOOSE(WEEKDAY(A21,2),"月","火","水","木","金","土","日")&amp;"）")</f>
        <v>(日）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46342</v>
      </c>
      <c r="B22" s="32">
        <f>IF(A22="","","日")</f>
        <v/>
      </c>
      <c r="C22" s="31" t="str">
        <f>IF(A22="","","("&amp;CHOOSE(WEEKDAY(A22,2),"月","火","水","木","金","土","日")&amp;"）")</f>
        <v>(月）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46343</v>
      </c>
      <c r="B23" s="32">
        <f>IF(A23="","","日")</f>
        <v/>
      </c>
      <c r="C23" s="31" t="str">
        <f>IF(A23="","","("&amp;CHOOSE(WEEKDAY(A23,2),"月","火","水","木","金","土","日")&amp;"）")</f>
        <v>(火）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46344</v>
      </c>
      <c r="B24" s="32">
        <f>IF(A24="","","日")</f>
        <v/>
      </c>
      <c r="C24" s="31" t="str">
        <f>IF(A24="","","("&amp;CHOOSE(WEEKDAY(A24,2),"月","火","水","木","金","土","日")&amp;"）")</f>
        <v>(水）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46345</v>
      </c>
      <c r="B25" s="32">
        <f>IF(A25="","","日")</f>
        <v/>
      </c>
      <c r="C25" s="31" t="str">
        <f>IF(A25="","","("&amp;CHOOSE(WEEKDAY(A25,2),"月","火","水","木","金","土","日")&amp;"）")</f>
        <v>(木）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46346</v>
      </c>
      <c r="B26" s="32">
        <f>IF(A26="","","日")</f>
        <v/>
      </c>
      <c r="C26" s="31" t="str">
        <f>IF(A26="","","("&amp;CHOOSE(WEEKDAY(A26,2),"月","火","水","木","金","土","日")&amp;"）")</f>
        <v>(金）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46347</v>
      </c>
      <c r="B27" s="32">
        <f>IF(A27="","","日")</f>
        <v/>
      </c>
      <c r="C27" s="31" t="str">
        <f>IF(A27="","","("&amp;CHOOSE(WEEKDAY(A27,2),"月","火","水","木","金","土","日")&amp;"）")</f>
        <v>(土）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46348</v>
      </c>
      <c r="B28" s="32">
        <f>IF(A28="","","日")</f>
        <v/>
      </c>
      <c r="C28" s="31" t="str">
        <f>IF(A28="","","("&amp;CHOOSE(WEEKDAY(A28,2),"月","火","水","木","金","土","日")&amp;"）")</f>
        <v>(日）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46349</v>
      </c>
      <c r="B29" s="32">
        <f>IF(A29="","","日")</f>
        <v/>
      </c>
      <c r="C29" s="31" t="str">
        <f>IF(A29="","","("&amp;CHOOSE(WEEKDAY(A29,2),"月","火","水","木","金","土","日")&amp;"）")</f>
        <v>(月）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 t="str">
        <f>IF($A29="","",IFERROR(VLOOKUP($A29,祝日リスト!$A$2:$C$40,3,0),""))</f>
        <v>勤労感謝の日</v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46350</v>
      </c>
      <c r="B30" s="32">
        <f>IF(A30="","","日")</f>
        <v/>
      </c>
      <c r="C30" s="31" t="str">
        <f>IF(A30="","","("&amp;CHOOSE(WEEKDAY(A30,2),"月","火","水","木","金","土","日")&amp;"）")</f>
        <v>(火）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46351</v>
      </c>
      <c r="B31" s="32">
        <f>IF(A31="","","日")</f>
        <v/>
      </c>
      <c r="C31" s="31" t="str">
        <f>IF(A31="","","("&amp;CHOOSE(WEEKDAY(A31,2),"月","火","水","木","金","土","日")&amp;"）")</f>
        <v>(水）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46352</v>
      </c>
      <c r="B32" s="32">
        <f>IF(A32="","","日")</f>
        <v/>
      </c>
      <c r="C32" s="31" t="str">
        <f>IF(A32="","","("&amp;CHOOSE(WEEKDAY(A32,2),"月","火","水","木","金","土","日")&amp;"）")</f>
        <v>(木）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46353</v>
      </c>
      <c r="B33" s="32">
        <f>IF(A33="","","日")</f>
        <v/>
      </c>
      <c r="C33" s="31" t="str">
        <f>IF(A33="","","("&amp;CHOOSE(WEEKDAY(A33,2),"月","火","水","木","金","土","日")&amp;"）")</f>
        <v>(金）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46354</v>
      </c>
      <c r="B34" s="32">
        <f>IF(A34="","","日")</f>
        <v/>
      </c>
      <c r="C34" s="31" t="str">
        <f>IF(A34="","","("&amp;CHOOSE(WEEKDAY(A34,2),"月","火","水","木","金","土","日")&amp;"）")</f>
        <v>(土）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46355</v>
      </c>
      <c r="B35" s="32">
        <f>IF(A35="","","日")</f>
        <v/>
      </c>
      <c r="C35" s="31" t="str">
        <f>IF(A35="","","("&amp;CHOOSE(WEEKDAY(A35,2),"月","火","水","木","金","土","日")&amp;"）")</f>
        <v>(日）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46356</v>
      </c>
      <c r="B36" s="32">
        <f>IF(A36="","","日")</f>
        <v/>
      </c>
      <c r="C36" s="31" t="str">
        <f>IF(A36="","","("&amp;CHOOSE(WEEKDAY(A36,2),"月","火","水","木","金","土","日")&amp;"）")</f>
        <v>(月）</v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12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46357</v>
      </c>
      <c r="B7" s="30">
        <f>IF(A7="","","日")</f>
        <v/>
      </c>
      <c r="C7" s="31" t="str">
        <f>IF(A7="","","("&amp;CHOOSE(WEEKDAY(A7,2),"月","火","水","木","金","土","日")&amp;"）")</f>
        <v>(火）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46358</v>
      </c>
      <c r="B8" s="32">
        <f>IF(A8="","","日")</f>
        <v/>
      </c>
      <c r="C8" s="31" t="str">
        <f>IF(A8="","","("&amp;CHOOSE(WEEKDAY(A8,2),"月","火","水","木","金","土","日")&amp;"）")</f>
        <v>(水）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46359</v>
      </c>
      <c r="B9" s="32">
        <f>IF(A9="","","日")</f>
        <v/>
      </c>
      <c r="C9" s="31" t="str">
        <f>IF(A9="","","("&amp;CHOOSE(WEEKDAY(A9,2),"月","火","水","木","金","土","日")&amp;"）")</f>
        <v>(木）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46360</v>
      </c>
      <c r="B10" s="32">
        <f>IF(A10="","","日")</f>
        <v/>
      </c>
      <c r="C10" s="31" t="str">
        <f>IF(A10="","","("&amp;CHOOSE(WEEKDAY(A10,2),"月","火","水","木","金","土","日")&amp;"）")</f>
        <v>(金）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46361</v>
      </c>
      <c r="B11" s="32">
        <f>IF(A11="","","日")</f>
        <v/>
      </c>
      <c r="C11" s="31" t="str">
        <f>IF(A11="","","("&amp;CHOOSE(WEEKDAY(A11,2),"月","火","水","木","金","土","日")&amp;"）")</f>
        <v>(土）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46362</v>
      </c>
      <c r="B12" s="32">
        <f>IF(A12="","","日")</f>
        <v/>
      </c>
      <c r="C12" s="31" t="str">
        <f>IF(A12="","","("&amp;CHOOSE(WEEKDAY(A12,2),"月","火","水","木","金","土","日")&amp;"）")</f>
        <v>(日）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46363</v>
      </c>
      <c r="B13" s="32">
        <f>IF(A13="","","日")</f>
        <v/>
      </c>
      <c r="C13" s="31" t="str">
        <f>IF(A13="","","("&amp;CHOOSE(WEEKDAY(A13,2),"月","火","水","木","金","土","日")&amp;"）")</f>
        <v>(月）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46364</v>
      </c>
      <c r="B14" s="32">
        <f>IF(A14="","","日")</f>
        <v/>
      </c>
      <c r="C14" s="31" t="str">
        <f>IF(A14="","","("&amp;CHOOSE(WEEKDAY(A14,2),"月","火","水","木","金","土","日")&amp;"）")</f>
        <v>(火）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46365</v>
      </c>
      <c r="B15" s="32">
        <f>IF(A15="","","日")</f>
        <v/>
      </c>
      <c r="C15" s="31" t="str">
        <f>IF(A15="","","("&amp;CHOOSE(WEEKDAY(A15,2),"月","火","水","木","金","土","日")&amp;"）")</f>
        <v>(水）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46366</v>
      </c>
      <c r="B16" s="32">
        <f>IF(A16="","","日")</f>
        <v/>
      </c>
      <c r="C16" s="31" t="str">
        <f>IF(A16="","","("&amp;CHOOSE(WEEKDAY(A16,2),"月","火","水","木","金","土","日")&amp;"）")</f>
        <v>(木）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46367</v>
      </c>
      <c r="B17" s="32">
        <f>IF(A17="","","日")</f>
        <v/>
      </c>
      <c r="C17" s="31" t="str">
        <f>IF(A17="","","("&amp;CHOOSE(WEEKDAY(A17,2),"月","火","水","木","金","土","日")&amp;"）")</f>
        <v>(金）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46368</v>
      </c>
      <c r="B18" s="32">
        <f>IF(A18="","","日")</f>
        <v/>
      </c>
      <c r="C18" s="31" t="str">
        <f>IF(A18="","","("&amp;CHOOSE(WEEKDAY(A18,2),"月","火","水","木","金","土","日")&amp;"）")</f>
        <v>(土）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46369</v>
      </c>
      <c r="B19" s="32">
        <f>IF(A19="","","日")</f>
        <v/>
      </c>
      <c r="C19" s="31" t="str">
        <f>IF(A19="","","("&amp;CHOOSE(WEEKDAY(A19,2),"月","火","水","木","金","土","日")&amp;"）")</f>
        <v>(日）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46370</v>
      </c>
      <c r="B20" s="32">
        <f>IF(A20="","","日")</f>
        <v/>
      </c>
      <c r="C20" s="31" t="str">
        <f>IF(A20="","","("&amp;CHOOSE(WEEKDAY(A20,2),"月","火","水","木","金","土","日")&amp;"）")</f>
        <v>(月）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46371</v>
      </c>
      <c r="B21" s="32">
        <f>IF(A21="","","日")</f>
        <v/>
      </c>
      <c r="C21" s="31" t="str">
        <f>IF(A21="","","("&amp;CHOOSE(WEEKDAY(A21,2),"月","火","水","木","金","土","日")&amp;"）")</f>
        <v>(火）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46372</v>
      </c>
      <c r="B22" s="32">
        <f>IF(A22="","","日")</f>
        <v/>
      </c>
      <c r="C22" s="31" t="str">
        <f>IF(A22="","","("&amp;CHOOSE(WEEKDAY(A22,2),"月","火","水","木","金","土","日")&amp;"）")</f>
        <v>(水）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46373</v>
      </c>
      <c r="B23" s="32">
        <f>IF(A23="","","日")</f>
        <v/>
      </c>
      <c r="C23" s="31" t="str">
        <f>IF(A23="","","("&amp;CHOOSE(WEEKDAY(A23,2),"月","火","水","木","金","土","日")&amp;"）")</f>
        <v>(木）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46374</v>
      </c>
      <c r="B24" s="32">
        <f>IF(A24="","","日")</f>
        <v/>
      </c>
      <c r="C24" s="31" t="str">
        <f>IF(A24="","","("&amp;CHOOSE(WEEKDAY(A24,2),"月","火","水","木","金","土","日")&amp;"）")</f>
        <v>(金）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46375</v>
      </c>
      <c r="B25" s="32">
        <f>IF(A25="","","日")</f>
        <v/>
      </c>
      <c r="C25" s="31" t="str">
        <f>IF(A25="","","("&amp;CHOOSE(WEEKDAY(A25,2),"月","火","水","木","金","土","日")&amp;"）")</f>
        <v>(土）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46376</v>
      </c>
      <c r="B26" s="32">
        <f>IF(A26="","","日")</f>
        <v/>
      </c>
      <c r="C26" s="31" t="str">
        <f>IF(A26="","","("&amp;CHOOSE(WEEKDAY(A26,2),"月","火","水","木","金","土","日")&amp;"）")</f>
        <v>(日）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46377</v>
      </c>
      <c r="B27" s="32">
        <f>IF(A27="","","日")</f>
        <v/>
      </c>
      <c r="C27" s="31" t="str">
        <f>IF(A27="","","("&amp;CHOOSE(WEEKDAY(A27,2),"月","火","水","木","金","土","日")&amp;"）")</f>
        <v>(月）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46378</v>
      </c>
      <c r="B28" s="32">
        <f>IF(A28="","","日")</f>
        <v/>
      </c>
      <c r="C28" s="31" t="str">
        <f>IF(A28="","","("&amp;CHOOSE(WEEKDAY(A28,2),"月","火","水","木","金","土","日")&amp;"）")</f>
        <v>(火）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46379</v>
      </c>
      <c r="B29" s="32">
        <f>IF(A29="","","日")</f>
        <v/>
      </c>
      <c r="C29" s="31" t="str">
        <f>IF(A29="","","("&amp;CHOOSE(WEEKDAY(A29,2),"月","火","水","木","金","土","日")&amp;"）")</f>
        <v>(水）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46380</v>
      </c>
      <c r="B30" s="32">
        <f>IF(A30="","","日")</f>
        <v/>
      </c>
      <c r="C30" s="31" t="str">
        <f>IF(A30="","","("&amp;CHOOSE(WEEKDAY(A30,2),"月","火","水","木","金","土","日")&amp;"）")</f>
        <v>(木）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46381</v>
      </c>
      <c r="B31" s="32">
        <f>IF(A31="","","日")</f>
        <v/>
      </c>
      <c r="C31" s="31" t="str">
        <f>IF(A31="","","("&amp;CHOOSE(WEEKDAY(A31,2),"月","火","水","木","金","土","日")&amp;"）")</f>
        <v>(金）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46382</v>
      </c>
      <c r="B32" s="32">
        <f>IF(A32="","","日")</f>
        <v/>
      </c>
      <c r="C32" s="31" t="str">
        <f>IF(A32="","","("&amp;CHOOSE(WEEKDAY(A32,2),"月","火","水","木","金","土","日")&amp;"）")</f>
        <v>(土）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46383</v>
      </c>
      <c r="B33" s="32">
        <f>IF(A33="","","日")</f>
        <v/>
      </c>
      <c r="C33" s="31" t="str">
        <f>IF(A33="","","("&amp;CHOOSE(WEEKDAY(A33,2),"月","火","水","木","金","土","日")&amp;"）")</f>
        <v>(日）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46384</v>
      </c>
      <c r="B34" s="32">
        <f>IF(A34="","","日")</f>
        <v/>
      </c>
      <c r="C34" s="31" t="str">
        <f>IF(A34="","","("&amp;CHOOSE(WEEKDAY(A34,2),"月","火","水","木","金","土","日")&amp;"）")</f>
        <v>(月）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46385</v>
      </c>
      <c r="B35" s="32">
        <f>IF(A35="","","日")</f>
        <v/>
      </c>
      <c r="C35" s="31" t="str">
        <f>IF(A35="","","("&amp;CHOOSE(WEEKDAY(A35,2),"月","火","水","木","金","土","日")&amp;"）")</f>
        <v>(火）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46386</v>
      </c>
      <c r="B36" s="32">
        <f>IF(A36="","","日")</f>
        <v/>
      </c>
      <c r="C36" s="31" t="str">
        <f>IF(A36="","","("&amp;CHOOSE(WEEKDAY(A36,2),"月","火","水","木","金","土","日")&amp;"）")</f>
        <v>(水）</v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>46387</v>
      </c>
      <c r="B37" s="33">
        <f>IF(A37="","","日")</f>
        <v/>
      </c>
      <c r="C37" s="34" t="str">
        <f>IF(A37="","","("&amp;CHOOSE(WEEKDAY(A37,2),"月","火","水","木","金","土","日")&amp;"）")</f>
        <v>(木）</v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C20" sqref="C20"/>
    </sheetView>
  </sheetViews>
  <sheetFormatPr baseColWidth="8" defaultRowHeight="12.95"/>
  <cols>
    <col width="16" customWidth="1" style="52" min="1" max="1"/>
    <col width="6" customWidth="1" style="51" min="2" max="2"/>
    <col width="15.85546875" customWidth="1" min="3" max="3"/>
    <col width="27.7109375" customWidth="1" min="4" max="4"/>
  </cols>
  <sheetData>
    <row r="1">
      <c r="A1" s="96" t="inlineStr">
        <is>
          <t>日付</t>
        </is>
      </c>
      <c r="B1" s="50" t="inlineStr">
        <is>
          <t>曜日</t>
        </is>
      </c>
      <c r="C1" s="53" t="inlineStr">
        <is>
          <t>名称</t>
        </is>
      </c>
      <c r="D1" s="53" t="inlineStr">
        <is>
          <t>備考</t>
        </is>
      </c>
    </row>
    <row r="2">
      <c r="A2" s="97" t="n">
        <v>46023</v>
      </c>
      <c r="B2" s="51" t="str">
        <f>IF(A2="","","（"&amp;CHOOSE(WEEKDAY(A2,2),"月","火","水","木","金","土","日")&amp;"）")</f>
        <v>（木）</v>
      </c>
      <c r="C2" t="inlineStr">
        <is>
          <t>元日</t>
        </is>
      </c>
    </row>
    <row r="3">
      <c r="A3" s="97" t="n">
        <v>46034</v>
      </c>
      <c r="B3" s="51" t="str">
        <f>IF(A3="","","（"&amp;CHOOSE(WEEKDAY(A3,2),"月","火","水","木","金","土","日")&amp;"）")</f>
        <v>（月）</v>
      </c>
      <c r="C3" t="inlineStr">
        <is>
          <t>成人の日</t>
        </is>
      </c>
    </row>
    <row r="4">
      <c r="A4" s="97" t="n">
        <v>46064</v>
      </c>
      <c r="B4" s="51" t="str">
        <f>IF(A4="","","（"&amp;CHOOSE(WEEKDAY(A4,2),"月","火","水","木","金","土","日")&amp;"）")</f>
        <v>（水）</v>
      </c>
      <c r="C4" t="inlineStr">
        <is>
          <t>建国記念の日</t>
        </is>
      </c>
    </row>
    <row r="5">
      <c r="A5" s="97" t="n">
        <v>46076</v>
      </c>
      <c r="B5" s="51" t="str">
        <f>IF(A5="","","（"&amp;CHOOSE(WEEKDAY(A5,2),"月","火","水","木","金","土","日")&amp;"）")</f>
        <v>（月）</v>
      </c>
      <c r="C5" t="inlineStr">
        <is>
          <t>天皇誕生日</t>
        </is>
      </c>
    </row>
    <row r="6">
      <c r="A6" s="97" t="n">
        <v>46101</v>
      </c>
      <c r="B6" s="51" t="str">
        <f>IF(A6="","","（"&amp;CHOOSE(WEEKDAY(A6,2),"月","火","水","木","金","土","日")&amp;"）")</f>
        <v>（金）</v>
      </c>
      <c r="C6" t="inlineStr">
        <is>
          <t>春分の日</t>
        </is>
      </c>
    </row>
    <row r="7">
      <c r="A7" s="97" t="n">
        <v>46141</v>
      </c>
      <c r="B7" s="51" t="str">
        <f>IF(A7="","","（"&amp;CHOOSE(WEEKDAY(A7,2),"月","火","水","木","金","土","日")&amp;"）")</f>
        <v>（水）</v>
      </c>
      <c r="C7" t="inlineStr">
        <is>
          <t>昭和の日</t>
        </is>
      </c>
    </row>
    <row r="8">
      <c r="A8" s="97" t="n">
        <v>46145</v>
      </c>
      <c r="B8" s="51" t="str">
        <f>IF(A8="","","（"&amp;CHOOSE(WEEKDAY(A8,2),"月","火","水","木","金","土","日")&amp;"）")</f>
        <v>（日）</v>
      </c>
      <c r="C8" t="inlineStr">
        <is>
          <t>憲法記念日</t>
        </is>
      </c>
    </row>
    <row r="9">
      <c r="A9" s="97" t="n">
        <v>46146</v>
      </c>
      <c r="B9" s="51" t="str">
        <f>IF(A9="","","（"&amp;CHOOSE(WEEKDAY(A9,2),"月","火","水","木","金","土","日")&amp;"）")</f>
        <v>（月）</v>
      </c>
      <c r="C9" t="inlineStr">
        <is>
          <t>みどりの日</t>
        </is>
      </c>
    </row>
    <row r="10">
      <c r="A10" s="97" t="n">
        <v>46147</v>
      </c>
      <c r="B10" s="51" t="str">
        <f>IF(A10="","","（"&amp;CHOOSE(WEEKDAY(A10,2),"月","火","水","木","金","土","日")&amp;"）")</f>
        <v>（火）</v>
      </c>
      <c r="C10" t="inlineStr">
        <is>
          <t>こどもの日</t>
        </is>
      </c>
    </row>
    <row r="11">
      <c r="A11" s="97" t="n">
        <v>46148</v>
      </c>
      <c r="B11" s="51" t="str">
        <f>IF(A11="","","（"&amp;CHOOSE(WEEKDAY(A11,2),"月","火","水","木","金","土","日")&amp;"）")</f>
        <v>（水）</v>
      </c>
      <c r="C11" t="inlineStr">
        <is>
          <t>休日</t>
        </is>
      </c>
      <c r="D11" t="inlineStr">
        <is>
          <t>祝日法第3条第2項による休日</t>
        </is>
      </c>
    </row>
    <row r="12">
      <c r="A12" s="97" t="n">
        <v>46223</v>
      </c>
      <c r="B12" s="51" t="str">
        <f>IF(A12="","","（"&amp;CHOOSE(WEEKDAY(A12,2),"月","火","水","木","金","土","日")&amp;"）")</f>
        <v>（月）</v>
      </c>
      <c r="C12" t="inlineStr">
        <is>
          <t>海の日</t>
        </is>
      </c>
    </row>
    <row r="13">
      <c r="A13" s="97" t="n">
        <v>46245</v>
      </c>
      <c r="B13" s="51" t="str">
        <f>IF(A13="","","（"&amp;CHOOSE(WEEKDAY(A13,2),"月","火","水","木","金","土","日")&amp;"）")</f>
        <v>（火）</v>
      </c>
      <c r="C13" t="inlineStr">
        <is>
          <t>山の日</t>
        </is>
      </c>
    </row>
    <row r="14">
      <c r="A14" s="97" t="n">
        <v>46286</v>
      </c>
      <c r="B14" s="51" t="str">
        <f>IF(A14="","","（"&amp;CHOOSE(WEEKDAY(A14,2),"月","火","水","木","金","土","日")&amp;"）")</f>
        <v>（月）</v>
      </c>
      <c r="C14" t="inlineStr">
        <is>
          <t>敬老の日</t>
        </is>
      </c>
    </row>
    <row r="15">
      <c r="A15" s="97" t="n">
        <v>46287</v>
      </c>
      <c r="B15" s="51" t="str">
        <f>IF(A15="","","（"&amp;CHOOSE(WEEKDAY(A15,2),"月","火","水","木","金","土","日")&amp;"）")</f>
        <v>（火）</v>
      </c>
      <c r="C15" t="inlineStr">
        <is>
          <t>国民の休日</t>
        </is>
      </c>
      <c r="D15" t="inlineStr">
        <is>
          <t>祝日法第3条第3項による休日</t>
        </is>
      </c>
    </row>
    <row r="16">
      <c r="A16" s="97" t="n">
        <v>46288</v>
      </c>
      <c r="B16" s="51" t="str">
        <f>IF(A16="","","（"&amp;CHOOSE(WEEKDAY(A16,2),"月","火","水","木","金","土","日")&amp;"）")</f>
        <v>（水）</v>
      </c>
      <c r="C16" t="inlineStr">
        <is>
          <t>秋分の日</t>
        </is>
      </c>
    </row>
    <row r="17">
      <c r="A17" s="97" t="n">
        <v>46307</v>
      </c>
      <c r="B17" s="51" t="str">
        <f>IF(A17="","","（"&amp;CHOOSE(WEEKDAY(A17,2),"月","火","水","木","金","土","日")&amp;"）")</f>
        <v>（月）</v>
      </c>
      <c r="C17" t="inlineStr">
        <is>
          <t>スポーツの日</t>
        </is>
      </c>
    </row>
    <row r="18">
      <c r="A18" s="97" t="n">
        <v>46329</v>
      </c>
      <c r="B18" s="51" t="str">
        <f>IF(A18="","","（"&amp;CHOOSE(WEEKDAY(A18,2),"月","火","水","木","金","土","日")&amp;"）")</f>
        <v>（火）</v>
      </c>
      <c r="C18" t="inlineStr">
        <is>
          <t>文化の日</t>
        </is>
      </c>
    </row>
    <row r="19">
      <c r="A19" s="97" t="n">
        <v>46349</v>
      </c>
      <c r="B19" s="51" t="str">
        <f>IF(A19="","","（"&amp;CHOOSE(WEEKDAY(A19,2),"月","火","水","木","金","土","日")&amp;"）")</f>
        <v>（月）</v>
      </c>
      <c r="C19" t="inlineStr">
        <is>
          <t>勤労感謝の日</t>
        </is>
      </c>
    </row>
    <row r="20">
      <c r="A20" s="97" t="n"/>
      <c r="B20" s="51" t="n"/>
    </row>
    <row r="21">
      <c r="A21" s="98" t="n"/>
      <c r="C21" s="41" t="n"/>
    </row>
    <row r="22">
      <c r="A22" s="98" t="n"/>
    </row>
    <row r="23"/>
    <row r="24">
      <c r="A24" s="99" t="n"/>
    </row>
    <row r="25">
      <c r="A25" s="55" t="n"/>
    </row>
  </sheetData>
  <pageMargins left="0.7" right="0.7" top="0.75" bottom="0.75" header="0.3" footer="0.3"/>
  <pageSetup orientation="portrait" paperSize="9" horizontalDpi="4294967293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YUYA</dc:creator>
  <dcterms:created xsi:type="dcterms:W3CDTF">2021-04-12T05:19:14Z</dcterms:created>
  <dcterms:modified xsi:type="dcterms:W3CDTF">2026-08-04T03:34:35Z</dcterms:modified>
  <cp:lastModifiedBy>盛田 裕一</cp:lastModifiedBy>
</cp:coreProperties>
</file>