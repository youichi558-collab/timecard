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設定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年間集計" sheetId="14" state="visible" r:id="rId14"/>
    <sheet name="祝日リスト" sheetId="15" state="visible" r:id="rId15"/>
  </sheets>
  <definedNames>
    <definedName name="_xlnm.Print_Titles" localSheetId="1">'1月'!$1:$7</definedName>
    <definedName name="_xlnm.Print_Area" localSheetId="1">'1月'!$A$1:$L$50</definedName>
    <definedName name="_xlnm.Print_Titles" localSheetId="2">'2月'!$1:$7</definedName>
    <definedName name="_xlnm.Print_Area" localSheetId="2">'2月'!$A$1:$L$50</definedName>
    <definedName name="_xlnm.Print_Titles" localSheetId="3">'3月'!$1:$7</definedName>
    <definedName name="_xlnm.Print_Area" localSheetId="3">'3月'!$A$1:$L$50</definedName>
    <definedName name="_xlnm.Print_Titles" localSheetId="4">'4月'!$1:$7</definedName>
    <definedName name="_xlnm.Print_Area" localSheetId="4">'4月'!$A$1:$L$50</definedName>
    <definedName name="_xlnm.Print_Titles" localSheetId="5">'5月'!$1:$7</definedName>
    <definedName name="_xlnm.Print_Area" localSheetId="5">'5月'!$A$1:$L$50</definedName>
    <definedName name="_xlnm.Print_Titles" localSheetId="6">'6月'!$1:$7</definedName>
    <definedName name="_xlnm.Print_Area" localSheetId="6">'6月'!$A$1:$L$50</definedName>
    <definedName name="_xlnm.Print_Titles" localSheetId="7">'7月'!$1:$7</definedName>
    <definedName name="_xlnm.Print_Area" localSheetId="7">'7月'!$A$1:$L$50</definedName>
    <definedName name="_xlnm.Print_Titles" localSheetId="8">'8月'!$1:$7</definedName>
    <definedName name="_xlnm.Print_Area" localSheetId="8">'8月'!$A$1:$L$50</definedName>
    <definedName name="_xlnm.Print_Titles" localSheetId="9">'9月'!$1:$7</definedName>
    <definedName name="_xlnm.Print_Area" localSheetId="9">'9月'!$A$1:$L$50</definedName>
    <definedName name="_xlnm.Print_Titles" localSheetId="10">'10月'!$1:$7</definedName>
    <definedName name="_xlnm.Print_Area" localSheetId="10">'10月'!$A$1:$L$50</definedName>
    <definedName name="_xlnm.Print_Titles" localSheetId="11">'11月'!$1:$7</definedName>
    <definedName name="_xlnm.Print_Area" localSheetId="11">'11月'!$A$1:$L$50</definedName>
    <definedName name="_xlnm.Print_Titles" localSheetId="12">'12月'!$1:$7</definedName>
    <definedName name="_xlnm.Print_Area" localSheetId="12">'12月'!$A$1:$L$50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"/>
    <numFmt numFmtId="165" formatCode="[h]:mm"/>
    <numFmt numFmtId="166" formatCode="yyyy-mm-dd"/>
    <numFmt numFmtId="167" formatCode="yyyy/m/d"/>
  </numFmts>
  <fonts count="16">
    <font>
      <name val="Calibri"/>
      <family val="2"/>
      <color theme="1"/>
      <sz val="11"/>
      <scheme val="minor"/>
    </font>
    <font>
      <name val="Meiryo UI"/>
      <b val="1"/>
      <color rgb="FF1F3864"/>
      <sz val="14"/>
    </font>
    <font>
      <name val="Meiryo UI"/>
      <b val="1"/>
      <sz val="11"/>
    </font>
    <font>
      <name val="Meiryo UI"/>
      <sz val="11"/>
    </font>
    <font>
      <name val="Meiryo UI"/>
      <color rgb="FF666666"/>
      <sz val="9"/>
    </font>
    <font>
      <name val="Meiryo UI"/>
      <b val="1"/>
      <color rgb="FF1F3864"/>
      <sz val="12"/>
    </font>
    <font>
      <name val="Meiryo UI"/>
      <sz val="10"/>
    </font>
    <font>
      <name val="Meiryo UI"/>
      <b val="1"/>
      <color rgb="FF1F3864"/>
      <sz val="16"/>
    </font>
    <font>
      <name val="Meiryo UI"/>
      <color rgb="FF666666"/>
      <sz val="10"/>
    </font>
    <font>
      <name val="Meiryo UI"/>
      <b val="1"/>
      <sz val="12"/>
    </font>
    <font>
      <name val="Meiryo UI"/>
      <color rgb="FF888888"/>
      <sz val="9"/>
    </font>
    <font>
      <name val="Meiryo UI"/>
      <b val="1"/>
      <color rgb="FFFFFFFF"/>
      <sz val="10"/>
    </font>
    <font>
      <name val="Meiryo UI"/>
      <color rgb="FFC00000"/>
      <sz val="9"/>
    </font>
    <font>
      <name val="Meiryo UI"/>
      <b val="1"/>
      <sz val="10"/>
    </font>
    <font>
      <name val="Meiryo UI"/>
      <color rgb="FF888888"/>
      <sz val="8"/>
    </font>
    <font>
      <name val="Meiryo UI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DCE6F1"/>
      </patternFill>
    </fill>
    <fill>
      <patternFill patternType="solid">
        <fgColor rgb="FFFFFBE6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7F9FC"/>
      </patternFill>
    </fill>
  </fills>
  <borders count="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bottom style="thin"/>
    </border>
    <border>
      <left style="thin">
        <color rgb="FFB0B0B0"/>
      </left>
      <right style="thin">
        <color rgb="FFB0B0B0"/>
      </right>
      <top style="medium">
        <color rgb="FF1F3864"/>
      </top>
      <bottom style="medium">
        <color rgb="FF1F3864"/>
      </bottom>
    </border>
    <border>
      <left style="medium">
        <color rgb="FF1F3864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right style="medium">
        <color rgb="FF1F3864"/>
      </right>
      <top style="thin">
        <color rgb="FFB0B0B0"/>
      </top>
      <bottom style="thin">
        <color rgb="FFB0B0B0"/>
      </bottom>
    </border>
    <border>
      <left style="medium">
        <color rgb="FF1F3864"/>
      </left>
      <right style="thin">
        <color rgb="FFB0B0B0"/>
      </right>
      <top style="thin">
        <color rgb="FFB0B0B0"/>
      </top>
      <bottom style="medium">
        <color rgb="FF1F3864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medium">
        <color rgb="FF1F3864"/>
      </bottom>
    </border>
    <border>
      <left style="thin">
        <color rgb="FFB0B0B0"/>
      </left>
      <right style="medium">
        <color rgb="FF1F3864"/>
      </right>
      <top style="thin">
        <color rgb="FFB0B0B0"/>
      </top>
      <bottom style="medium">
        <color rgb="FF1F3864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center"/>
    </xf>
    <xf numFmtId="0" fontId="4" fillId="0" borderId="0" pivotButton="0" quotePrefix="0" xfId="0"/>
    <xf numFmtId="20" fontId="3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/>
    </xf>
    <xf numFmtId="0" fontId="9" fillId="0" borderId="2" applyAlignment="1" pivotButton="0" quotePrefix="0" xfId="0">
      <alignment horizontal="center"/>
    </xf>
    <xf numFmtId="0" fontId="10" fillId="0" borderId="0" pivotButton="0" quotePrefix="0" xfId="0"/>
    <xf numFmtId="0" fontId="11" fillId="4" borderId="3" applyAlignment="1" pivotButton="0" quotePrefix="0" xfId="0">
      <alignment horizontal="center" vertical="center" wrapText="1"/>
    </xf>
    <xf numFmtId="164" fontId="3" fillId="5" borderId="4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20" fontId="3" fillId="3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5" borderId="6" applyAlignment="1" pivotButton="0" quotePrefix="0" xfId="0">
      <alignment horizontal="center" vertical="center"/>
    </xf>
    <xf numFmtId="0" fontId="3" fillId="5" borderId="7" applyAlignment="1" pivotButton="0" quotePrefix="0" xfId="0">
      <alignment horizontal="center" vertical="center"/>
    </xf>
    <xf numFmtId="20" fontId="3" fillId="3" borderId="7" applyAlignment="1" pivotButton="0" quotePrefix="0" xfId="0">
      <alignment horizontal="center" vertical="center"/>
    </xf>
    <xf numFmtId="165" fontId="3" fillId="5" borderId="7" applyAlignment="1" pivotButton="0" quotePrefix="0" xfId="0">
      <alignment horizontal="center" vertical="center"/>
    </xf>
    <xf numFmtId="0" fontId="12" fillId="5" borderId="7" applyAlignment="1" pivotButton="0" quotePrefix="0" xfId="0">
      <alignment horizontal="left" vertical="center"/>
    </xf>
    <xf numFmtId="0" fontId="3" fillId="3" borderId="8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" fontId="2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7" fillId="0" borderId="0" pivotButton="0" quotePrefix="0" xfId="0"/>
    <xf numFmtId="0" fontId="11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" fontId="2" fillId="2" borderId="3" applyAlignment="1" pivotButton="0" quotePrefix="0" xfId="0">
      <alignment horizontal="center" vertical="center"/>
    </xf>
    <xf numFmtId="165" fontId="2" fillId="2" borderId="3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</cellXfs>
  <cellStyles count="1">
    <cellStyle name="Normal" xfId="0" builtinId="0" hidden="0"/>
  </cellStyles>
  <dxfs count="4">
    <dxf>
      <fill>
        <patternFill patternType="solid">
          <fgColor rgb="FFEDEDED"/>
          <bgColor rgb="FFEDEDED"/>
        </patternFill>
      </fill>
    </dxf>
    <dxf>
      <fill>
        <patternFill patternType="solid">
          <fgColor rgb="FFFDE6E6"/>
          <bgColor rgb="FFFDE6E6"/>
        </patternFill>
      </fill>
    </dxf>
    <dxf>
      <fill>
        <patternFill patternType="solid">
          <fgColor rgb="FFE3EFFB"/>
          <bgColor rgb="FFE3EFFB"/>
        </patternFill>
      </fill>
    </dxf>
    <dxf>
      <font>
        <name val="Meiryo UI"/>
        <color rgb="FF9C0006"/>
        <sz val="11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52" customWidth="1" min="3" max="3"/>
  </cols>
  <sheetData>
    <row r="1">
      <c r="A1" s="1" t="inlineStr">
        <is>
          <t>出勤簿 共通設定</t>
        </is>
      </c>
    </row>
    <row r="3">
      <c r="A3" s="2" t="inlineStr">
        <is>
          <t>年</t>
        </is>
      </c>
      <c r="B3" s="3" t="n">
        <v>2026</v>
      </c>
      <c r="C3" s="4" t="inlineStr">
        <is>
          <t>この年を全シートの日付・祝日判定に使います</t>
        </is>
      </c>
    </row>
    <row r="4">
      <c r="A4" s="2" t="inlineStr">
        <is>
          <t>氏名</t>
        </is>
      </c>
      <c r="B4" s="3" t="inlineStr">
        <is>
          <t>盛田　裕一</t>
        </is>
      </c>
      <c r="C4" s="4" t="inlineStr">
        <is>
          <t>各月シートの氏名欄に自動反映されます</t>
        </is>
      </c>
    </row>
    <row r="5">
      <c r="A5" s="2" t="inlineStr">
        <is>
          <t>所属</t>
        </is>
      </c>
      <c r="B5" s="3" t="inlineStr"/>
      <c r="C5" s="4" t="inlineStr">
        <is>
          <t>各月シートの所属欄に自動反映されます</t>
        </is>
      </c>
    </row>
    <row r="6">
      <c r="A6" s="2" t="inlineStr">
        <is>
          <t>所定労働時間/日</t>
        </is>
      </c>
      <c r="B6" s="5" t="n">
        <v>0.3333333333333333</v>
      </c>
      <c r="C6" s="4" t="inlineStr">
        <is>
          <t>1日の所定時間。超過分が「所定超過」に出ます</t>
        </is>
      </c>
    </row>
    <row r="7">
      <c r="A7" s="2" t="inlineStr">
        <is>
          <t>休憩時間(既定)</t>
        </is>
      </c>
      <c r="B7" s="5" t="n">
        <v>0.04166666666666666</v>
      </c>
      <c r="C7" s="4" t="inlineStr">
        <is>
          <t>休憩欄が空のとき、この時間を自動で差し引きます</t>
        </is>
      </c>
    </row>
    <row r="8">
      <c r="A8" s="2" t="inlineStr">
        <is>
          <t>休憩を差し引く最低勤務時間</t>
        </is>
      </c>
      <c r="B8" s="5" t="n">
        <v>0.25</v>
      </c>
      <c r="C8" s="4" t="inlineStr">
        <is>
          <t>この時間を超えたときだけ既定休憩を引きます</t>
        </is>
      </c>
    </row>
    <row r="11">
      <c r="A11" s="6" t="inlineStr">
        <is>
          <t>使い方</t>
        </is>
      </c>
    </row>
    <row r="12">
      <c r="A12" s="7" t="inlineStr">
        <is>
          <t>1. まずこの設定シートで「氏名」「所属」「所定労働時間」を入力してください。</t>
        </is>
      </c>
    </row>
    <row r="13">
      <c r="A13" s="7" t="inlineStr">
        <is>
          <t>2. 各月シートは、黄色いセル（出勤・退勤・休憩・残業・備考）だけ入力します。</t>
        </is>
      </c>
    </row>
    <row r="14">
      <c r="A14" s="7" t="inlineStr">
        <is>
          <t>3. 出勤と退勤を入れると「実働」が自動計算されます。日をまたぐ勤務にも対応しています。</t>
        </is>
      </c>
    </row>
    <row r="15">
      <c r="A15" s="7" t="inlineStr">
        <is>
          <t>4. 休憩を空欄にすると、設定シートの既定休憩が自動で差し引かれます。個別に変えたい日は直接入力してください。</t>
        </is>
      </c>
    </row>
    <row r="16">
      <c r="A16" s="7" t="inlineStr">
        <is>
          <t>5. 土曜は青、日曜・祝日はピンクで色分けされます。祝日名はK列に自動表示されます。</t>
        </is>
      </c>
    </row>
    <row r="17">
      <c r="A17" s="7" t="inlineStr">
        <is>
          <t>6. 月次の集計はシート下部、年間の集計は「年間集計」シートに自動で出ます。</t>
        </is>
      </c>
    </row>
    <row r="18">
      <c r="A18" s="7" t="inlineStr">
        <is>
          <t>7. 年が変わったら、この設定の「年」と「祝日リスト」シートを更新してください。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"&amp;設定!$B$3&amp;"年"&amp;1&amp;"月度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1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inlineStr">
        <is>
          <t>入社日</t>
        </is>
      </c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0.4166666666666667</v>
      </c>
      <c r="D20" s="15" t="n">
        <v>0.6666666666666666</v>
      </c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>
        <v>0.4166666666666667</v>
      </c>
      <c r="D22" s="15" t="n">
        <v>0.6666666666666666</v>
      </c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0.4166666666666667</v>
      </c>
      <c r="D23" s="15" t="n">
        <v>0.6666666666666666</v>
      </c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0.4166666666666667</v>
      </c>
      <c r="D26" s="15" t="n">
        <v>0.6666666666666666</v>
      </c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>
        <v>0.4166666666666667</v>
      </c>
      <c r="D27" s="15" t="n">
        <v>0.6666666666666666</v>
      </c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>
        <v>0.4166666666666667</v>
      </c>
      <c r="D29" s="15" t="n">
        <v>0.6666666666666666</v>
      </c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0.4166666666666667</v>
      </c>
      <c r="D30" s="15" t="n">
        <v>0.6666666666666666</v>
      </c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0.4166666666666667</v>
      </c>
      <c r="D33" s="15" t="n">
        <v>0.6666666666666666</v>
      </c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0.4166666666666667</v>
      </c>
      <c r="D34" s="15" t="n">
        <v>0.6666666666666666</v>
      </c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>
        <v>0.4166666666666667</v>
      </c>
      <c r="D36" s="15" t="n">
        <v>0.6666666666666666</v>
      </c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0.4166666666666667</v>
      </c>
      <c r="D37" s="15" t="n">
        <v>0.6666666666666666</v>
      </c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"&amp;設定!$B$3&amp;"年"&amp;2&amp;"月度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2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>
        <v>0.4166666666666667</v>
      </c>
      <c r="D9" s="15" t="n">
        <v>0.6666666666666666</v>
      </c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>
        <v>0.4166666666666667</v>
      </c>
      <c r="D10" s="15" t="n">
        <v>0.6666666666666666</v>
      </c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>
        <v>0.4166666666666667</v>
      </c>
      <c r="D12" s="15" t="n">
        <v>0.6666666666666666</v>
      </c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>
        <v>0.4166666666666667</v>
      </c>
      <c r="D13" s="15" t="n">
        <v>0.6666666666666666</v>
      </c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0.4166666666666667</v>
      </c>
      <c r="D16" s="15" t="n">
        <v>0.6666666666666666</v>
      </c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>
        <v>0.4166666666666667</v>
      </c>
      <c r="D17" s="15" t="n">
        <v>0.6666666666666666</v>
      </c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>
        <v>0.4166666666666667</v>
      </c>
      <c r="D19" s="15" t="n">
        <v>0.6666666666666666</v>
      </c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0.4166666666666667</v>
      </c>
      <c r="D20" s="15" t="n">
        <v>0.6666666666666666</v>
      </c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0.4166666666666667</v>
      </c>
      <c r="D23" s="15" t="n">
        <v>0.6666666666666666</v>
      </c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>
        <v>0.4166666666666667</v>
      </c>
      <c r="D24" s="15" t="n">
        <v>0.6666666666666666</v>
      </c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0.4166666666666667</v>
      </c>
      <c r="D26" s="15" t="n">
        <v>0.6666666666666666</v>
      </c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>
        <v>0.4166666666666667</v>
      </c>
      <c r="D27" s="15" t="n">
        <v>0.6666666666666666</v>
      </c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0.4166666666666667</v>
      </c>
      <c r="D30" s="15" t="n">
        <v>0.6666666666666666</v>
      </c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>
        <v>0.4166666666666667</v>
      </c>
      <c r="D31" s="15" t="n">
        <v>0.6666666666666666</v>
      </c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0.4166666666666667</v>
      </c>
      <c r="D33" s="15" t="n">
        <v>0.6666666666666666</v>
      </c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0.4166666666666667</v>
      </c>
      <c r="D34" s="15" t="n">
        <v>0.6666666666666666</v>
      </c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"&amp;設定!$B$3&amp;"年"&amp;3&amp;"月度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3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>
        <v>0.6666666666666666</v>
      </c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inlineStr">
        <is>
          <t>要確認: 出勤「10::00」</t>
        </is>
      </c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>
        <v>0.4166666666666667</v>
      </c>
      <c r="D10" s="15" t="n">
        <v>0.6666666666666666</v>
      </c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>
        <v>0.4166666666666667</v>
      </c>
      <c r="D12" s="15" t="n">
        <v>0.6666666666666666</v>
      </c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>
        <v>0.4166666666666667</v>
      </c>
      <c r="D13" s="15" t="n">
        <v>0.6666666666666666</v>
      </c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0.4166666666666667</v>
      </c>
      <c r="D16" s="15" t="n">
        <v>0.6666666666666666</v>
      </c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>
        <v>0.4166666666666667</v>
      </c>
      <c r="D17" s="15" t="n">
        <v>0.6666666666666666</v>
      </c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>
        <v>0.4166666666666667</v>
      </c>
      <c r="D19" s="15" t="n">
        <v>0.6666666666666666</v>
      </c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0.4166666666666667</v>
      </c>
      <c r="D20" s="15" t="n">
        <v>0.6666666666666666</v>
      </c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0.4166666666666667</v>
      </c>
      <c r="D23" s="15" t="n">
        <v>0.6666666666666666</v>
      </c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>
        <v>0.4166666666666667</v>
      </c>
      <c r="D24" s="15" t="n">
        <v>0.6666666666666666</v>
      </c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0.4166666666666667</v>
      </c>
      <c r="D26" s="15" t="n">
        <v>0.6666666666666666</v>
      </c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0.4166666666666667</v>
      </c>
      <c r="D30" s="15" t="n">
        <v>0.6666666666666666</v>
      </c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>
        <v>0.4166666666666667</v>
      </c>
      <c r="D31" s="15" t="n">
        <v>0.6666666666666666</v>
      </c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0.4166666666666667</v>
      </c>
      <c r="D33" s="15" t="n">
        <v>0.6666666666666666</v>
      </c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0.4166666666666667</v>
      </c>
      <c r="D34" s="15" t="n">
        <v>0.6666666666666666</v>
      </c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0.4166666666666667</v>
      </c>
      <c r="D37" s="15" t="n">
        <v>0.6666666666666666</v>
      </c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>
        <v>0.4166666666666667</v>
      </c>
      <c r="D38" s="22" t="n">
        <v>0.6666666666666666</v>
      </c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"&amp;設定!$B$3&amp;"年"&amp;4&amp;"月度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4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>
        <v>0.375</v>
      </c>
      <c r="D22" s="15" t="n">
        <v>0.625</v>
      </c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inlineStr">
        <is>
          <t>入社日</t>
        </is>
      </c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0.375</v>
      </c>
      <c r="D23" s="15" t="n">
        <v>0.625</v>
      </c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>
        <v>0.375</v>
      </c>
      <c r="D24" s="15" t="n">
        <v>0.625</v>
      </c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>
        <v>0.375</v>
      </c>
      <c r="D27" s="15" t="n">
        <v>0.625</v>
      </c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>
        <v>0.375</v>
      </c>
      <c r="D28" s="15" t="n">
        <v>0.625</v>
      </c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0.375</v>
      </c>
      <c r="D30" s="15" t="n">
        <v>0.625</v>
      </c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>
        <v>0.375</v>
      </c>
      <c r="D31" s="15" t="n">
        <v>0.625</v>
      </c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0.375</v>
      </c>
      <c r="D34" s="15" t="n">
        <v>0.625</v>
      </c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>
        <v>0.375</v>
      </c>
      <c r="D35" s="15" t="n">
        <v>0.625</v>
      </c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0.375</v>
      </c>
      <c r="D37" s="15" t="n">
        <v>0.625</v>
      </c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"&amp;設定!$B$3&amp;"年"&amp;5&amp;"月度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5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>
        <v>0.375</v>
      </c>
      <c r="D8" s="15" t="n">
        <v>0.625</v>
      </c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>
        <v>0.375</v>
      </c>
      <c r="D15" s="15" t="n">
        <v>0.625</v>
      </c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0.375</v>
      </c>
      <c r="D16" s="15" t="n">
        <v>0.625</v>
      </c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>
        <v>0.375</v>
      </c>
      <c r="D19" s="15" t="n">
        <v>0.625</v>
      </c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0.375</v>
      </c>
      <c r="D20" s="15" t="n">
        <v>0.625</v>
      </c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>
        <v>0.375</v>
      </c>
      <c r="D22" s="15" t="n">
        <v>0.625</v>
      </c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>
        <v>0.375</v>
      </c>
      <c r="D25" s="15" t="n">
        <v>0.625</v>
      </c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0.375</v>
      </c>
      <c r="D26" s="15" t="n">
        <v>0.625</v>
      </c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>
        <v>0.375</v>
      </c>
      <c r="D28" s="15" t="n">
        <v>0.625</v>
      </c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>
        <v>0.375</v>
      </c>
      <c r="D29" s="15" t="n">
        <v>0.625</v>
      </c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>
        <v>0.375</v>
      </c>
      <c r="D32" s="15" t="n">
        <v>0.625</v>
      </c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0.375</v>
      </c>
      <c r="D33" s="15" t="n">
        <v>0.625</v>
      </c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>
        <v>0.375</v>
      </c>
      <c r="D35" s="15" t="n">
        <v>0.625</v>
      </c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0.375</v>
      </c>
      <c r="D37" s="15" t="n">
        <v>0.625</v>
      </c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"&amp;設定!$B$3&amp;"年"&amp;6&amp;"月度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6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>
        <v>0.375</v>
      </c>
      <c r="D8" s="15" t="n">
        <v>0.625</v>
      </c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>
        <v>0.375</v>
      </c>
      <c r="D9" s="15" t="n">
        <v>0.625</v>
      </c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inlineStr">
        <is>
          <t>休み</t>
        </is>
      </c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>
        <v>0.375</v>
      </c>
      <c r="D11" s="15" t="n">
        <v>0.625</v>
      </c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>
        <v>0.375</v>
      </c>
      <c r="D12" s="15" t="n">
        <v>0.625</v>
      </c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inlineStr">
        <is>
          <t>休み</t>
        </is>
      </c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inlineStr">
        <is>
          <t>休み</t>
        </is>
      </c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>
        <v>0.375</v>
      </c>
      <c r="D15" s="15" t="n">
        <v>0.625</v>
      </c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0.375</v>
      </c>
      <c r="D16" s="15" t="n">
        <v>0.625</v>
      </c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inlineStr">
        <is>
          <t>休み</t>
        </is>
      </c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>
        <v>0.375</v>
      </c>
      <c r="D18" s="15" t="n">
        <v>0.625</v>
      </c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>
        <v>0.375</v>
      </c>
      <c r="D19" s="15" t="n">
        <v>0.625</v>
      </c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inlineStr">
        <is>
          <t>休み</t>
        </is>
      </c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inlineStr">
        <is>
          <t>休み</t>
        </is>
      </c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>
        <v>0.375</v>
      </c>
      <c r="D22" s="15" t="n">
        <v>0.625</v>
      </c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0.375</v>
      </c>
      <c r="D23" s="15" t="n">
        <v>0.625</v>
      </c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inlineStr">
        <is>
          <t>休み</t>
        </is>
      </c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>
        <v>0.375</v>
      </c>
      <c r="D25" s="15" t="n">
        <v>0.625</v>
      </c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>
        <v>0.375</v>
      </c>
      <c r="D26" s="15" t="n">
        <v>0.625</v>
      </c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inlineStr">
        <is>
          <t>休み</t>
        </is>
      </c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inlineStr">
        <is>
          <t>休み</t>
        </is>
      </c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>
        <v>0.375</v>
      </c>
      <c r="D29" s="15" t="n">
        <v>0.625</v>
      </c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0.375</v>
      </c>
      <c r="D30" s="15" t="n">
        <v>0.625</v>
      </c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inlineStr">
        <is>
          <t>休み</t>
        </is>
      </c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>
        <v>0.375</v>
      </c>
      <c r="D32" s="15" t="n">
        <v>0.625</v>
      </c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>
        <v>0.375</v>
      </c>
      <c r="D33" s="15" t="n">
        <v>0.625</v>
      </c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inlineStr">
        <is>
          <t>休み</t>
        </is>
      </c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inlineStr">
        <is>
          <t>休み</t>
        </is>
      </c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>
        <v>0.375</v>
      </c>
      <c r="D36" s="15" t="n">
        <v>0.625</v>
      </c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0.375</v>
      </c>
      <c r="D37" s="15" t="n">
        <v>0.625</v>
      </c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"&amp;設定!$B$3&amp;"年"&amp;7&amp;"月度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7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inlineStr">
        <is>
          <t>休</t>
        </is>
      </c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>
        <v>0.375</v>
      </c>
      <c r="D9" s="15" t="n">
        <v>0.625</v>
      </c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>
        <v>0.375</v>
      </c>
      <c r="D10" s="15" t="n">
        <v>0.625</v>
      </c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inlineStr">
        <is>
          <t>休</t>
        </is>
      </c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inlineStr">
        <is>
          <t>休</t>
        </is>
      </c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>
        <v>0.375</v>
      </c>
      <c r="D13" s="15" t="n">
        <v>0.625</v>
      </c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>
        <v>0.375</v>
      </c>
      <c r="D14" s="15" t="n">
        <v>0.625</v>
      </c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inlineStr">
        <is>
          <t>休</t>
        </is>
      </c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>
        <v>0.375</v>
      </c>
      <c r="D16" s="15" t="n">
        <v>0.625</v>
      </c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>
        <v>0.375</v>
      </c>
      <c r="D17" s="15" t="n">
        <v>0.625</v>
      </c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inlineStr">
        <is>
          <t>休</t>
        </is>
      </c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inlineStr">
        <is>
          <t>休</t>
        </is>
      </c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>
        <v>0.375</v>
      </c>
      <c r="D20" s="15" t="n">
        <v>0.625</v>
      </c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>
        <v>0.375</v>
      </c>
      <c r="D21" s="15" t="n">
        <v>0.625</v>
      </c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inlineStr">
        <is>
          <t>休</t>
        </is>
      </c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>
        <v>0.375</v>
      </c>
      <c r="D23" s="15" t="n">
        <v>0.625</v>
      </c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>
        <v>0.375</v>
      </c>
      <c r="D24" s="15" t="n">
        <v>0.625</v>
      </c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inlineStr">
        <is>
          <t>休</t>
        </is>
      </c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inlineStr">
        <is>
          <t>休</t>
        </is>
      </c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inlineStr">
        <is>
          <t>休</t>
        </is>
      </c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>
        <v>0.375</v>
      </c>
      <c r="D28" s="15" t="n">
        <v>0.625</v>
      </c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inlineStr">
        <is>
          <t>休</t>
        </is>
      </c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>
        <v>0.375</v>
      </c>
      <c r="D30" s="15" t="n">
        <v>0.625</v>
      </c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>
        <v>0.375</v>
      </c>
      <c r="D31" s="15" t="n">
        <v>0.625</v>
      </c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inlineStr">
        <is>
          <t>休</t>
        </is>
      </c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inlineStr">
        <is>
          <t>休</t>
        </is>
      </c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>
        <v>0.375</v>
      </c>
      <c r="D34" s="15" t="n">
        <v>0.625</v>
      </c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>
        <v>0.375</v>
      </c>
      <c r="D35" s="15" t="n">
        <v>0.625</v>
      </c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inlineStr">
        <is>
          <t>休</t>
        </is>
      </c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>
        <v>0.375</v>
      </c>
      <c r="D37" s="15" t="n">
        <v>0.625</v>
      </c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>
        <v>0.375</v>
      </c>
      <c r="D38" s="22" t="n">
        <v>0.625</v>
      </c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"&amp;設定!$B$3&amp;"年"&amp;8&amp;"月度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8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"&amp;設定!$B$3&amp;"年"&amp;9&amp;"月度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9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"&amp;設定!$B$3&amp;"年"&amp;10&amp;"月度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10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"&amp;設定!$B$3&amp;"年"&amp;11&amp;"月度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11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FF8FAADC"/>
    <outlinePr summaryBelow="1" summaryRight="1"/>
    <pageSetUpPr fitToPage="1"/>
  </sheetPr>
  <dimension ref="A2:M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.5" customWidth="1" min="1" max="1"/>
    <col width="4.5" customWidth="1" min="2" max="2"/>
    <col width="8.5" customWidth="1" min="3" max="3"/>
    <col width="8.5" customWidth="1" min="4" max="4"/>
    <col width="8" customWidth="1" min="5" max="5"/>
    <col width="8.5" customWidth="1" min="6" max="6"/>
    <col width="9" customWidth="1" min="7" max="7"/>
    <col width="9" customWidth="1" min="8" max="8"/>
    <col width="9" customWidth="1" min="9" max="9"/>
    <col width="10" customWidth="1" min="10" max="10"/>
    <col width="14" customWidth="1" min="11" max="11"/>
    <col width="26" customWidth="1" min="12" max="12"/>
    <col hidden="1" width="13" customWidth="1" min="13" max="13"/>
  </cols>
  <sheetData>
    <row r="2" ht="24" customHeight="1">
      <c r="A2" s="8">
        <f>設定!$B$4&amp;"　"&amp;設定!$B$3&amp;"年"&amp;12&amp;"月度 出勤簿"</f>
        <v/>
      </c>
    </row>
    <row r="4">
      <c r="A4" s="9" t="inlineStr">
        <is>
          <t>年</t>
        </is>
      </c>
      <c r="B4" s="10">
        <f>設定!$B$3</f>
        <v/>
      </c>
      <c r="C4" s="9" t="inlineStr">
        <is>
          <t>月</t>
        </is>
      </c>
      <c r="D4" s="10" t="n">
        <v>12</v>
      </c>
      <c r="G4" s="9" t="inlineStr">
        <is>
          <t>所属</t>
        </is>
      </c>
      <c r="H4" s="10">
        <f>設定!$B$5</f>
        <v/>
      </c>
      <c r="I4" s="9" t="inlineStr">
        <is>
          <t>氏名</t>
        </is>
      </c>
      <c r="J4" s="10">
        <f>設定!$B$4</f>
        <v/>
      </c>
    </row>
    <row r="5">
      <c r="A5" s="11" t="inlineStr">
        <is>
          <t>黄色のセルに入力してください（灰色は自動計算）</t>
        </is>
      </c>
    </row>
    <row r="7" ht="26" customHeight="1">
      <c r="A7" s="12" t="inlineStr">
        <is>
          <t>日</t>
        </is>
      </c>
      <c r="B7" s="12" t="inlineStr">
        <is>
          <t>曜</t>
        </is>
      </c>
      <c r="C7" s="12" t="inlineStr">
        <is>
          <t>出勤</t>
        </is>
      </c>
      <c r="D7" s="12" t="inlineStr">
        <is>
          <t>退勤</t>
        </is>
      </c>
      <c r="E7" s="12" t="inlineStr">
        <is>
          <t>休憩</t>
        </is>
      </c>
      <c r="F7" s="12" t="inlineStr">
        <is>
          <t>実働</t>
        </is>
      </c>
      <c r="G7" s="12" t="inlineStr">
        <is>
          <t>通常残業</t>
        </is>
      </c>
      <c r="H7" s="12" t="inlineStr">
        <is>
          <t>深夜残業</t>
        </is>
      </c>
      <c r="I7" s="12" t="inlineStr">
        <is>
          <t>早朝残業</t>
        </is>
      </c>
      <c r="J7" s="12" t="inlineStr">
        <is>
          <t>遅刻・早退</t>
        </is>
      </c>
      <c r="K7" s="12" t="inlineStr">
        <is>
          <t>祝日</t>
        </is>
      </c>
      <c r="L7" s="12" t="inlineStr">
        <is>
          <t>備考・理由</t>
        </is>
      </c>
    </row>
    <row r="8" ht="19" customHeight="1">
      <c r="A8" s="13">
        <f>DATE($B$4,$D$4,1)</f>
        <v/>
      </c>
      <c r="B8" s="14">
        <f>IF($A8="","",CHOOSE(WEEKDAY($A8,2),"月","火","水","木","金","土","日"))</f>
        <v/>
      </c>
      <c r="C8" s="15" t="n"/>
      <c r="D8" s="15" t="n"/>
      <c r="E8" s="15" t="n"/>
      <c r="F8" s="16">
        <f>IF(NOT(AND(ISNUMBER($C8),ISNUMBER($D8))),"",MAX(0,MOD($D8-$C8,1)-IF(ISNUMBER($E8),$E8,IF(MOD($D8-$C8,1)&gt;設定!$B$8,設定!$B$7,0))))</f>
        <v/>
      </c>
      <c r="G8" s="15" t="n"/>
      <c r="H8" s="15" t="n"/>
      <c r="I8" s="15" t="n"/>
      <c r="J8" s="15" t="n"/>
      <c r="K8" s="17">
        <f>IF($A8="","",IFERROR(VLOOKUP($A8,祝日リスト!$A$2:$C$40,3,0),""))</f>
        <v/>
      </c>
      <c r="L8" s="18" t="n"/>
      <c r="M8" s="19">
        <f>IF($A8="","",IF($K8&lt;&gt;"","祝",IF(WEEKDAY($A8,2)=6,"土",IF(WEEKDAY($A8,2)=7,"日","平"))))</f>
        <v/>
      </c>
    </row>
    <row r="9" ht="19" customHeight="1">
      <c r="A9" s="13">
        <f>IF(A8="","",IF(MONTH(A8+1)=$D$4,A8+1,""))</f>
        <v/>
      </c>
      <c r="B9" s="14">
        <f>IF($A9="","",CHOOSE(WEEKDAY($A9,2),"月","火","水","木","金","土","日"))</f>
        <v/>
      </c>
      <c r="C9" s="15" t="n"/>
      <c r="D9" s="15" t="n"/>
      <c r="E9" s="15" t="n"/>
      <c r="F9" s="16">
        <f>IF(NOT(AND(ISNUMBER($C9),ISNUMBER($D9))),"",MAX(0,MOD($D9-$C9,1)-IF(ISNUMBER($E9),$E9,IF(MOD($D9-$C9,1)&gt;設定!$B$8,設定!$B$7,0))))</f>
        <v/>
      </c>
      <c r="G9" s="15" t="n"/>
      <c r="H9" s="15" t="n"/>
      <c r="I9" s="15" t="n"/>
      <c r="J9" s="15" t="n"/>
      <c r="K9" s="17">
        <f>IF($A9="","",IFERROR(VLOOKUP($A9,祝日リスト!$A$2:$C$40,3,0),""))</f>
        <v/>
      </c>
      <c r="L9" s="18" t="n"/>
      <c r="M9" s="19">
        <f>IF($A9="","",IF($K9&lt;&gt;"","祝",IF(WEEKDAY($A9,2)=6,"土",IF(WEEKDAY($A9,2)=7,"日","平"))))</f>
        <v/>
      </c>
    </row>
    <row r="10" ht="19" customHeight="1">
      <c r="A10" s="13">
        <f>IF(A9="","",IF(MONTH(A9+1)=$D$4,A9+1,""))</f>
        <v/>
      </c>
      <c r="B10" s="14">
        <f>IF($A10="","",CHOOSE(WEEKDAY($A10,2),"月","火","水","木","金","土","日"))</f>
        <v/>
      </c>
      <c r="C10" s="15" t="n"/>
      <c r="D10" s="15" t="n"/>
      <c r="E10" s="15" t="n"/>
      <c r="F10" s="16">
        <f>IF(NOT(AND(ISNUMBER($C10),ISNUMBER($D10))),"",MAX(0,MOD($D10-$C10,1)-IF(ISNUMBER($E10),$E10,IF(MOD($D10-$C10,1)&gt;設定!$B$8,設定!$B$7,0))))</f>
        <v/>
      </c>
      <c r="G10" s="15" t="n"/>
      <c r="H10" s="15" t="n"/>
      <c r="I10" s="15" t="n"/>
      <c r="J10" s="15" t="n"/>
      <c r="K10" s="17">
        <f>IF($A10="","",IFERROR(VLOOKUP($A10,祝日リスト!$A$2:$C$40,3,0),""))</f>
        <v/>
      </c>
      <c r="L10" s="18" t="n"/>
      <c r="M10" s="19">
        <f>IF($A10="","",IF($K10&lt;&gt;"","祝",IF(WEEKDAY($A10,2)=6,"土",IF(WEEKDAY($A10,2)=7,"日","平"))))</f>
        <v/>
      </c>
    </row>
    <row r="11" ht="19" customHeight="1">
      <c r="A11" s="13">
        <f>IF(A10="","",IF(MONTH(A10+1)=$D$4,A10+1,""))</f>
        <v/>
      </c>
      <c r="B11" s="14">
        <f>IF($A11="","",CHOOSE(WEEKDAY($A11,2),"月","火","水","木","金","土","日"))</f>
        <v/>
      </c>
      <c r="C11" s="15" t="n"/>
      <c r="D11" s="15" t="n"/>
      <c r="E11" s="15" t="n"/>
      <c r="F11" s="16">
        <f>IF(NOT(AND(ISNUMBER($C11),ISNUMBER($D11))),"",MAX(0,MOD($D11-$C11,1)-IF(ISNUMBER($E11),$E11,IF(MOD($D11-$C11,1)&gt;設定!$B$8,設定!$B$7,0))))</f>
        <v/>
      </c>
      <c r="G11" s="15" t="n"/>
      <c r="H11" s="15" t="n"/>
      <c r="I11" s="15" t="n"/>
      <c r="J11" s="15" t="n"/>
      <c r="K11" s="17">
        <f>IF($A11="","",IFERROR(VLOOKUP($A11,祝日リスト!$A$2:$C$40,3,0),""))</f>
        <v/>
      </c>
      <c r="L11" s="18" t="n"/>
      <c r="M11" s="19">
        <f>IF($A11="","",IF($K11&lt;&gt;"","祝",IF(WEEKDAY($A11,2)=6,"土",IF(WEEKDAY($A11,2)=7,"日","平"))))</f>
        <v/>
      </c>
    </row>
    <row r="12" ht="19" customHeight="1">
      <c r="A12" s="13">
        <f>IF(A11="","",IF(MONTH(A11+1)=$D$4,A11+1,""))</f>
        <v/>
      </c>
      <c r="B12" s="14">
        <f>IF($A12="","",CHOOSE(WEEKDAY($A12,2),"月","火","水","木","金","土","日"))</f>
        <v/>
      </c>
      <c r="C12" s="15" t="n"/>
      <c r="D12" s="15" t="n"/>
      <c r="E12" s="15" t="n"/>
      <c r="F12" s="16">
        <f>IF(NOT(AND(ISNUMBER($C12),ISNUMBER($D12))),"",MAX(0,MOD($D12-$C12,1)-IF(ISNUMBER($E12),$E12,IF(MOD($D12-$C12,1)&gt;設定!$B$8,設定!$B$7,0))))</f>
        <v/>
      </c>
      <c r="G12" s="15" t="n"/>
      <c r="H12" s="15" t="n"/>
      <c r="I12" s="15" t="n"/>
      <c r="J12" s="15" t="n"/>
      <c r="K12" s="17">
        <f>IF($A12="","",IFERROR(VLOOKUP($A12,祝日リスト!$A$2:$C$40,3,0),""))</f>
        <v/>
      </c>
      <c r="L12" s="18" t="n"/>
      <c r="M12" s="19">
        <f>IF($A12="","",IF($K12&lt;&gt;"","祝",IF(WEEKDAY($A12,2)=6,"土",IF(WEEKDAY($A12,2)=7,"日","平"))))</f>
        <v/>
      </c>
    </row>
    <row r="13" ht="19" customHeight="1">
      <c r="A13" s="13">
        <f>IF(A12="","",IF(MONTH(A12+1)=$D$4,A12+1,""))</f>
        <v/>
      </c>
      <c r="B13" s="14">
        <f>IF($A13="","",CHOOSE(WEEKDAY($A13,2),"月","火","水","木","金","土","日"))</f>
        <v/>
      </c>
      <c r="C13" s="15" t="n"/>
      <c r="D13" s="15" t="n"/>
      <c r="E13" s="15" t="n"/>
      <c r="F13" s="16">
        <f>IF(NOT(AND(ISNUMBER($C13),ISNUMBER($D13))),"",MAX(0,MOD($D13-$C13,1)-IF(ISNUMBER($E13),$E13,IF(MOD($D13-$C13,1)&gt;設定!$B$8,設定!$B$7,0))))</f>
        <v/>
      </c>
      <c r="G13" s="15" t="n"/>
      <c r="H13" s="15" t="n"/>
      <c r="I13" s="15" t="n"/>
      <c r="J13" s="15" t="n"/>
      <c r="K13" s="17">
        <f>IF($A13="","",IFERROR(VLOOKUP($A13,祝日リスト!$A$2:$C$40,3,0),""))</f>
        <v/>
      </c>
      <c r="L13" s="18" t="n"/>
      <c r="M13" s="19">
        <f>IF($A13="","",IF($K13&lt;&gt;"","祝",IF(WEEKDAY($A13,2)=6,"土",IF(WEEKDAY($A13,2)=7,"日","平"))))</f>
        <v/>
      </c>
    </row>
    <row r="14" ht="19" customHeight="1">
      <c r="A14" s="13">
        <f>IF(A13="","",IF(MONTH(A13+1)=$D$4,A13+1,""))</f>
        <v/>
      </c>
      <c r="B14" s="14">
        <f>IF($A14="","",CHOOSE(WEEKDAY($A14,2),"月","火","水","木","金","土","日"))</f>
        <v/>
      </c>
      <c r="C14" s="15" t="n"/>
      <c r="D14" s="15" t="n"/>
      <c r="E14" s="15" t="n"/>
      <c r="F14" s="16">
        <f>IF(NOT(AND(ISNUMBER($C14),ISNUMBER($D14))),"",MAX(0,MOD($D14-$C14,1)-IF(ISNUMBER($E14),$E14,IF(MOD($D14-$C14,1)&gt;設定!$B$8,設定!$B$7,0))))</f>
        <v/>
      </c>
      <c r="G14" s="15" t="n"/>
      <c r="H14" s="15" t="n"/>
      <c r="I14" s="15" t="n"/>
      <c r="J14" s="15" t="n"/>
      <c r="K14" s="17">
        <f>IF($A14="","",IFERROR(VLOOKUP($A14,祝日リスト!$A$2:$C$40,3,0),""))</f>
        <v/>
      </c>
      <c r="L14" s="18" t="n"/>
      <c r="M14" s="19">
        <f>IF($A14="","",IF($K14&lt;&gt;"","祝",IF(WEEKDAY($A14,2)=6,"土",IF(WEEKDAY($A14,2)=7,"日","平"))))</f>
        <v/>
      </c>
    </row>
    <row r="15" ht="19" customHeight="1">
      <c r="A15" s="13">
        <f>IF(A14="","",IF(MONTH(A14+1)=$D$4,A14+1,""))</f>
        <v/>
      </c>
      <c r="B15" s="14">
        <f>IF($A15="","",CHOOSE(WEEKDAY($A15,2),"月","火","水","木","金","土","日"))</f>
        <v/>
      </c>
      <c r="C15" s="15" t="n"/>
      <c r="D15" s="15" t="n"/>
      <c r="E15" s="15" t="n"/>
      <c r="F15" s="16">
        <f>IF(NOT(AND(ISNUMBER($C15),ISNUMBER($D15))),"",MAX(0,MOD($D15-$C15,1)-IF(ISNUMBER($E15),$E15,IF(MOD($D15-$C15,1)&gt;設定!$B$8,設定!$B$7,0))))</f>
        <v/>
      </c>
      <c r="G15" s="15" t="n"/>
      <c r="H15" s="15" t="n"/>
      <c r="I15" s="15" t="n"/>
      <c r="J15" s="15" t="n"/>
      <c r="K15" s="17">
        <f>IF($A15="","",IFERROR(VLOOKUP($A15,祝日リスト!$A$2:$C$40,3,0),""))</f>
        <v/>
      </c>
      <c r="L15" s="18" t="n"/>
      <c r="M15" s="19">
        <f>IF($A15="","",IF($K15&lt;&gt;"","祝",IF(WEEKDAY($A15,2)=6,"土",IF(WEEKDAY($A15,2)=7,"日","平"))))</f>
        <v/>
      </c>
    </row>
    <row r="16" ht="19" customHeight="1">
      <c r="A16" s="13">
        <f>IF(A15="","",IF(MONTH(A15+1)=$D$4,A15+1,""))</f>
        <v/>
      </c>
      <c r="B16" s="14">
        <f>IF($A16="","",CHOOSE(WEEKDAY($A16,2),"月","火","水","木","金","土","日"))</f>
        <v/>
      </c>
      <c r="C16" s="15" t="n"/>
      <c r="D16" s="15" t="n"/>
      <c r="E16" s="15" t="n"/>
      <c r="F16" s="16">
        <f>IF(NOT(AND(ISNUMBER($C16),ISNUMBER($D16))),"",MAX(0,MOD($D16-$C16,1)-IF(ISNUMBER($E16),$E16,IF(MOD($D16-$C16,1)&gt;設定!$B$8,設定!$B$7,0))))</f>
        <v/>
      </c>
      <c r="G16" s="15" t="n"/>
      <c r="H16" s="15" t="n"/>
      <c r="I16" s="15" t="n"/>
      <c r="J16" s="15" t="n"/>
      <c r="K16" s="17">
        <f>IF($A16="","",IFERROR(VLOOKUP($A16,祝日リスト!$A$2:$C$40,3,0),""))</f>
        <v/>
      </c>
      <c r="L16" s="18" t="n"/>
      <c r="M16" s="19">
        <f>IF($A16="","",IF($K16&lt;&gt;"","祝",IF(WEEKDAY($A16,2)=6,"土",IF(WEEKDAY($A16,2)=7,"日","平"))))</f>
        <v/>
      </c>
    </row>
    <row r="17" ht="19" customHeight="1">
      <c r="A17" s="13">
        <f>IF(A16="","",IF(MONTH(A16+1)=$D$4,A16+1,""))</f>
        <v/>
      </c>
      <c r="B17" s="14">
        <f>IF($A17="","",CHOOSE(WEEKDAY($A17,2),"月","火","水","木","金","土","日"))</f>
        <v/>
      </c>
      <c r="C17" s="15" t="n"/>
      <c r="D17" s="15" t="n"/>
      <c r="E17" s="15" t="n"/>
      <c r="F17" s="16">
        <f>IF(NOT(AND(ISNUMBER($C17),ISNUMBER($D17))),"",MAX(0,MOD($D17-$C17,1)-IF(ISNUMBER($E17),$E17,IF(MOD($D17-$C17,1)&gt;設定!$B$8,設定!$B$7,0))))</f>
        <v/>
      </c>
      <c r="G17" s="15" t="n"/>
      <c r="H17" s="15" t="n"/>
      <c r="I17" s="15" t="n"/>
      <c r="J17" s="15" t="n"/>
      <c r="K17" s="17">
        <f>IF($A17="","",IFERROR(VLOOKUP($A17,祝日リスト!$A$2:$C$40,3,0),""))</f>
        <v/>
      </c>
      <c r="L17" s="18" t="n"/>
      <c r="M17" s="19">
        <f>IF($A17="","",IF($K17&lt;&gt;"","祝",IF(WEEKDAY($A17,2)=6,"土",IF(WEEKDAY($A17,2)=7,"日","平"))))</f>
        <v/>
      </c>
    </row>
    <row r="18" ht="19" customHeight="1">
      <c r="A18" s="13">
        <f>IF(A17="","",IF(MONTH(A17+1)=$D$4,A17+1,""))</f>
        <v/>
      </c>
      <c r="B18" s="14">
        <f>IF($A18="","",CHOOSE(WEEKDAY($A18,2),"月","火","水","木","金","土","日"))</f>
        <v/>
      </c>
      <c r="C18" s="15" t="n"/>
      <c r="D18" s="15" t="n"/>
      <c r="E18" s="15" t="n"/>
      <c r="F18" s="16">
        <f>IF(NOT(AND(ISNUMBER($C18),ISNUMBER($D18))),"",MAX(0,MOD($D18-$C18,1)-IF(ISNUMBER($E18),$E18,IF(MOD($D18-$C18,1)&gt;設定!$B$8,設定!$B$7,0))))</f>
        <v/>
      </c>
      <c r="G18" s="15" t="n"/>
      <c r="H18" s="15" t="n"/>
      <c r="I18" s="15" t="n"/>
      <c r="J18" s="15" t="n"/>
      <c r="K18" s="17">
        <f>IF($A18="","",IFERROR(VLOOKUP($A18,祝日リスト!$A$2:$C$40,3,0),""))</f>
        <v/>
      </c>
      <c r="L18" s="18" t="n"/>
      <c r="M18" s="19">
        <f>IF($A18="","",IF($K18&lt;&gt;"","祝",IF(WEEKDAY($A18,2)=6,"土",IF(WEEKDAY($A18,2)=7,"日","平"))))</f>
        <v/>
      </c>
    </row>
    <row r="19" ht="19" customHeight="1">
      <c r="A19" s="13">
        <f>IF(A18="","",IF(MONTH(A18+1)=$D$4,A18+1,""))</f>
        <v/>
      </c>
      <c r="B19" s="14">
        <f>IF($A19="","",CHOOSE(WEEKDAY($A19,2),"月","火","水","木","金","土","日"))</f>
        <v/>
      </c>
      <c r="C19" s="15" t="n"/>
      <c r="D19" s="15" t="n"/>
      <c r="E19" s="15" t="n"/>
      <c r="F19" s="16">
        <f>IF(NOT(AND(ISNUMBER($C19),ISNUMBER($D19))),"",MAX(0,MOD($D19-$C19,1)-IF(ISNUMBER($E19),$E19,IF(MOD($D19-$C19,1)&gt;設定!$B$8,設定!$B$7,0))))</f>
        <v/>
      </c>
      <c r="G19" s="15" t="n"/>
      <c r="H19" s="15" t="n"/>
      <c r="I19" s="15" t="n"/>
      <c r="J19" s="15" t="n"/>
      <c r="K19" s="17">
        <f>IF($A19="","",IFERROR(VLOOKUP($A19,祝日リスト!$A$2:$C$40,3,0),""))</f>
        <v/>
      </c>
      <c r="L19" s="18" t="n"/>
      <c r="M19" s="19">
        <f>IF($A19="","",IF($K19&lt;&gt;"","祝",IF(WEEKDAY($A19,2)=6,"土",IF(WEEKDAY($A19,2)=7,"日","平"))))</f>
        <v/>
      </c>
    </row>
    <row r="20" ht="19" customHeight="1">
      <c r="A20" s="13">
        <f>IF(A19="","",IF(MONTH(A19+1)=$D$4,A19+1,""))</f>
        <v/>
      </c>
      <c r="B20" s="14">
        <f>IF($A20="","",CHOOSE(WEEKDAY($A20,2),"月","火","水","木","金","土","日"))</f>
        <v/>
      </c>
      <c r="C20" s="15" t="n"/>
      <c r="D20" s="15" t="n"/>
      <c r="E20" s="15" t="n"/>
      <c r="F20" s="16">
        <f>IF(NOT(AND(ISNUMBER($C20),ISNUMBER($D20))),"",MAX(0,MOD($D20-$C20,1)-IF(ISNUMBER($E20),$E20,IF(MOD($D20-$C20,1)&gt;設定!$B$8,設定!$B$7,0))))</f>
        <v/>
      </c>
      <c r="G20" s="15" t="n"/>
      <c r="H20" s="15" t="n"/>
      <c r="I20" s="15" t="n"/>
      <c r="J20" s="15" t="n"/>
      <c r="K20" s="17">
        <f>IF($A20="","",IFERROR(VLOOKUP($A20,祝日リスト!$A$2:$C$40,3,0),""))</f>
        <v/>
      </c>
      <c r="L20" s="18" t="n"/>
      <c r="M20" s="19">
        <f>IF($A20="","",IF($K20&lt;&gt;"","祝",IF(WEEKDAY($A20,2)=6,"土",IF(WEEKDAY($A20,2)=7,"日","平"))))</f>
        <v/>
      </c>
    </row>
    <row r="21" ht="19" customHeight="1">
      <c r="A21" s="13">
        <f>IF(A20="","",IF(MONTH(A20+1)=$D$4,A20+1,""))</f>
        <v/>
      </c>
      <c r="B21" s="14">
        <f>IF($A21="","",CHOOSE(WEEKDAY($A21,2),"月","火","水","木","金","土","日"))</f>
        <v/>
      </c>
      <c r="C21" s="15" t="n"/>
      <c r="D21" s="15" t="n"/>
      <c r="E21" s="15" t="n"/>
      <c r="F21" s="16">
        <f>IF(NOT(AND(ISNUMBER($C21),ISNUMBER($D21))),"",MAX(0,MOD($D21-$C21,1)-IF(ISNUMBER($E21),$E21,IF(MOD($D21-$C21,1)&gt;設定!$B$8,設定!$B$7,0))))</f>
        <v/>
      </c>
      <c r="G21" s="15" t="n"/>
      <c r="H21" s="15" t="n"/>
      <c r="I21" s="15" t="n"/>
      <c r="J21" s="15" t="n"/>
      <c r="K21" s="17">
        <f>IF($A21="","",IFERROR(VLOOKUP($A21,祝日リスト!$A$2:$C$40,3,0),""))</f>
        <v/>
      </c>
      <c r="L21" s="18" t="n"/>
      <c r="M21" s="19">
        <f>IF($A21="","",IF($K21&lt;&gt;"","祝",IF(WEEKDAY($A21,2)=6,"土",IF(WEEKDAY($A21,2)=7,"日","平"))))</f>
        <v/>
      </c>
    </row>
    <row r="22" ht="19" customHeight="1">
      <c r="A22" s="13">
        <f>IF(A21="","",IF(MONTH(A21+1)=$D$4,A21+1,""))</f>
        <v/>
      </c>
      <c r="B22" s="14">
        <f>IF($A22="","",CHOOSE(WEEKDAY($A22,2),"月","火","水","木","金","土","日"))</f>
        <v/>
      </c>
      <c r="C22" s="15" t="n"/>
      <c r="D22" s="15" t="n"/>
      <c r="E22" s="15" t="n"/>
      <c r="F22" s="16">
        <f>IF(NOT(AND(ISNUMBER($C22),ISNUMBER($D22))),"",MAX(0,MOD($D22-$C22,1)-IF(ISNUMBER($E22),$E22,IF(MOD($D22-$C22,1)&gt;設定!$B$8,設定!$B$7,0))))</f>
        <v/>
      </c>
      <c r="G22" s="15" t="n"/>
      <c r="H22" s="15" t="n"/>
      <c r="I22" s="15" t="n"/>
      <c r="J22" s="15" t="n"/>
      <c r="K22" s="17">
        <f>IF($A22="","",IFERROR(VLOOKUP($A22,祝日リスト!$A$2:$C$40,3,0),""))</f>
        <v/>
      </c>
      <c r="L22" s="18" t="n"/>
      <c r="M22" s="19">
        <f>IF($A22="","",IF($K22&lt;&gt;"","祝",IF(WEEKDAY($A22,2)=6,"土",IF(WEEKDAY($A22,2)=7,"日","平"))))</f>
        <v/>
      </c>
    </row>
    <row r="23" ht="19" customHeight="1">
      <c r="A23" s="13">
        <f>IF(A22="","",IF(MONTH(A22+1)=$D$4,A22+1,""))</f>
        <v/>
      </c>
      <c r="B23" s="14">
        <f>IF($A23="","",CHOOSE(WEEKDAY($A23,2),"月","火","水","木","金","土","日"))</f>
        <v/>
      </c>
      <c r="C23" s="15" t="n"/>
      <c r="D23" s="15" t="n"/>
      <c r="E23" s="15" t="n"/>
      <c r="F23" s="16">
        <f>IF(NOT(AND(ISNUMBER($C23),ISNUMBER($D23))),"",MAX(0,MOD($D23-$C23,1)-IF(ISNUMBER($E23),$E23,IF(MOD($D23-$C23,1)&gt;設定!$B$8,設定!$B$7,0))))</f>
        <v/>
      </c>
      <c r="G23" s="15" t="n"/>
      <c r="H23" s="15" t="n"/>
      <c r="I23" s="15" t="n"/>
      <c r="J23" s="15" t="n"/>
      <c r="K23" s="17">
        <f>IF($A23="","",IFERROR(VLOOKUP($A23,祝日リスト!$A$2:$C$40,3,0),""))</f>
        <v/>
      </c>
      <c r="L23" s="18" t="n"/>
      <c r="M23" s="19">
        <f>IF($A23="","",IF($K23&lt;&gt;"","祝",IF(WEEKDAY($A23,2)=6,"土",IF(WEEKDAY($A23,2)=7,"日","平"))))</f>
        <v/>
      </c>
    </row>
    <row r="24" ht="19" customHeight="1">
      <c r="A24" s="13">
        <f>IF(A23="","",IF(MONTH(A23+1)=$D$4,A23+1,""))</f>
        <v/>
      </c>
      <c r="B24" s="14">
        <f>IF($A24="","",CHOOSE(WEEKDAY($A24,2),"月","火","水","木","金","土","日"))</f>
        <v/>
      </c>
      <c r="C24" s="15" t="n"/>
      <c r="D24" s="15" t="n"/>
      <c r="E24" s="15" t="n"/>
      <c r="F24" s="16">
        <f>IF(NOT(AND(ISNUMBER($C24),ISNUMBER($D24))),"",MAX(0,MOD($D24-$C24,1)-IF(ISNUMBER($E24),$E24,IF(MOD($D24-$C24,1)&gt;設定!$B$8,設定!$B$7,0))))</f>
        <v/>
      </c>
      <c r="G24" s="15" t="n"/>
      <c r="H24" s="15" t="n"/>
      <c r="I24" s="15" t="n"/>
      <c r="J24" s="15" t="n"/>
      <c r="K24" s="17">
        <f>IF($A24="","",IFERROR(VLOOKUP($A24,祝日リスト!$A$2:$C$40,3,0),""))</f>
        <v/>
      </c>
      <c r="L24" s="18" t="n"/>
      <c r="M24" s="19">
        <f>IF($A24="","",IF($K24&lt;&gt;"","祝",IF(WEEKDAY($A24,2)=6,"土",IF(WEEKDAY($A24,2)=7,"日","平"))))</f>
        <v/>
      </c>
    </row>
    <row r="25" ht="19" customHeight="1">
      <c r="A25" s="13">
        <f>IF(A24="","",IF(MONTH(A24+1)=$D$4,A24+1,""))</f>
        <v/>
      </c>
      <c r="B25" s="14">
        <f>IF($A25="","",CHOOSE(WEEKDAY($A25,2),"月","火","水","木","金","土","日"))</f>
        <v/>
      </c>
      <c r="C25" s="15" t="n"/>
      <c r="D25" s="15" t="n"/>
      <c r="E25" s="15" t="n"/>
      <c r="F25" s="16">
        <f>IF(NOT(AND(ISNUMBER($C25),ISNUMBER($D25))),"",MAX(0,MOD($D25-$C25,1)-IF(ISNUMBER($E25),$E25,IF(MOD($D25-$C25,1)&gt;設定!$B$8,設定!$B$7,0))))</f>
        <v/>
      </c>
      <c r="G25" s="15" t="n"/>
      <c r="H25" s="15" t="n"/>
      <c r="I25" s="15" t="n"/>
      <c r="J25" s="15" t="n"/>
      <c r="K25" s="17">
        <f>IF($A25="","",IFERROR(VLOOKUP($A25,祝日リスト!$A$2:$C$40,3,0),""))</f>
        <v/>
      </c>
      <c r="L25" s="18" t="n"/>
      <c r="M25" s="19">
        <f>IF($A25="","",IF($K25&lt;&gt;"","祝",IF(WEEKDAY($A25,2)=6,"土",IF(WEEKDAY($A25,2)=7,"日","平"))))</f>
        <v/>
      </c>
    </row>
    <row r="26" ht="19" customHeight="1">
      <c r="A26" s="13">
        <f>IF(A25="","",IF(MONTH(A25+1)=$D$4,A25+1,""))</f>
        <v/>
      </c>
      <c r="B26" s="14">
        <f>IF($A26="","",CHOOSE(WEEKDAY($A26,2),"月","火","水","木","金","土","日"))</f>
        <v/>
      </c>
      <c r="C26" s="15" t="n"/>
      <c r="D26" s="15" t="n"/>
      <c r="E26" s="15" t="n"/>
      <c r="F26" s="16">
        <f>IF(NOT(AND(ISNUMBER($C26),ISNUMBER($D26))),"",MAX(0,MOD($D26-$C26,1)-IF(ISNUMBER($E26),$E26,IF(MOD($D26-$C26,1)&gt;設定!$B$8,設定!$B$7,0))))</f>
        <v/>
      </c>
      <c r="G26" s="15" t="n"/>
      <c r="H26" s="15" t="n"/>
      <c r="I26" s="15" t="n"/>
      <c r="J26" s="15" t="n"/>
      <c r="K26" s="17">
        <f>IF($A26="","",IFERROR(VLOOKUP($A26,祝日リスト!$A$2:$C$40,3,0),""))</f>
        <v/>
      </c>
      <c r="L26" s="18" t="n"/>
      <c r="M26" s="19">
        <f>IF($A26="","",IF($K26&lt;&gt;"","祝",IF(WEEKDAY($A26,2)=6,"土",IF(WEEKDAY($A26,2)=7,"日","平"))))</f>
        <v/>
      </c>
    </row>
    <row r="27" ht="19" customHeight="1">
      <c r="A27" s="13">
        <f>IF(A26="","",IF(MONTH(A26+1)=$D$4,A26+1,""))</f>
        <v/>
      </c>
      <c r="B27" s="14">
        <f>IF($A27="","",CHOOSE(WEEKDAY($A27,2),"月","火","水","木","金","土","日"))</f>
        <v/>
      </c>
      <c r="C27" s="15" t="n"/>
      <c r="D27" s="15" t="n"/>
      <c r="E27" s="15" t="n"/>
      <c r="F27" s="16">
        <f>IF(NOT(AND(ISNUMBER($C27),ISNUMBER($D27))),"",MAX(0,MOD($D27-$C27,1)-IF(ISNUMBER($E27),$E27,IF(MOD($D27-$C27,1)&gt;設定!$B$8,設定!$B$7,0))))</f>
        <v/>
      </c>
      <c r="G27" s="15" t="n"/>
      <c r="H27" s="15" t="n"/>
      <c r="I27" s="15" t="n"/>
      <c r="J27" s="15" t="n"/>
      <c r="K27" s="17">
        <f>IF($A27="","",IFERROR(VLOOKUP($A27,祝日リスト!$A$2:$C$40,3,0),""))</f>
        <v/>
      </c>
      <c r="L27" s="18" t="n"/>
      <c r="M27" s="19">
        <f>IF($A27="","",IF($K27&lt;&gt;"","祝",IF(WEEKDAY($A27,2)=6,"土",IF(WEEKDAY($A27,2)=7,"日","平"))))</f>
        <v/>
      </c>
    </row>
    <row r="28" ht="19" customHeight="1">
      <c r="A28" s="13">
        <f>IF(A27="","",IF(MONTH(A27+1)=$D$4,A27+1,""))</f>
        <v/>
      </c>
      <c r="B28" s="14">
        <f>IF($A28="","",CHOOSE(WEEKDAY($A28,2),"月","火","水","木","金","土","日"))</f>
        <v/>
      </c>
      <c r="C28" s="15" t="n"/>
      <c r="D28" s="15" t="n"/>
      <c r="E28" s="15" t="n"/>
      <c r="F28" s="16">
        <f>IF(NOT(AND(ISNUMBER($C28),ISNUMBER($D28))),"",MAX(0,MOD($D28-$C28,1)-IF(ISNUMBER($E28),$E28,IF(MOD($D28-$C28,1)&gt;設定!$B$8,設定!$B$7,0))))</f>
        <v/>
      </c>
      <c r="G28" s="15" t="n"/>
      <c r="H28" s="15" t="n"/>
      <c r="I28" s="15" t="n"/>
      <c r="J28" s="15" t="n"/>
      <c r="K28" s="17">
        <f>IF($A28="","",IFERROR(VLOOKUP($A28,祝日リスト!$A$2:$C$40,3,0),""))</f>
        <v/>
      </c>
      <c r="L28" s="18" t="n"/>
      <c r="M28" s="19">
        <f>IF($A28="","",IF($K28&lt;&gt;"","祝",IF(WEEKDAY($A28,2)=6,"土",IF(WEEKDAY($A28,2)=7,"日","平"))))</f>
        <v/>
      </c>
    </row>
    <row r="29" ht="19" customHeight="1">
      <c r="A29" s="13">
        <f>IF(A28="","",IF(MONTH(A28+1)=$D$4,A28+1,""))</f>
        <v/>
      </c>
      <c r="B29" s="14">
        <f>IF($A29="","",CHOOSE(WEEKDAY($A29,2),"月","火","水","木","金","土","日"))</f>
        <v/>
      </c>
      <c r="C29" s="15" t="n"/>
      <c r="D29" s="15" t="n"/>
      <c r="E29" s="15" t="n"/>
      <c r="F29" s="16">
        <f>IF(NOT(AND(ISNUMBER($C29),ISNUMBER($D29))),"",MAX(0,MOD($D29-$C29,1)-IF(ISNUMBER($E29),$E29,IF(MOD($D29-$C29,1)&gt;設定!$B$8,設定!$B$7,0))))</f>
        <v/>
      </c>
      <c r="G29" s="15" t="n"/>
      <c r="H29" s="15" t="n"/>
      <c r="I29" s="15" t="n"/>
      <c r="J29" s="15" t="n"/>
      <c r="K29" s="17">
        <f>IF($A29="","",IFERROR(VLOOKUP($A29,祝日リスト!$A$2:$C$40,3,0),""))</f>
        <v/>
      </c>
      <c r="L29" s="18" t="n"/>
      <c r="M29" s="19">
        <f>IF($A29="","",IF($K29&lt;&gt;"","祝",IF(WEEKDAY($A29,2)=6,"土",IF(WEEKDAY($A29,2)=7,"日","平"))))</f>
        <v/>
      </c>
    </row>
    <row r="30" ht="19" customHeight="1">
      <c r="A30" s="13">
        <f>IF(A29="","",IF(MONTH(A29+1)=$D$4,A29+1,""))</f>
        <v/>
      </c>
      <c r="B30" s="14">
        <f>IF($A30="","",CHOOSE(WEEKDAY($A30,2),"月","火","水","木","金","土","日"))</f>
        <v/>
      </c>
      <c r="C30" s="15" t="n"/>
      <c r="D30" s="15" t="n"/>
      <c r="E30" s="15" t="n"/>
      <c r="F30" s="16">
        <f>IF(NOT(AND(ISNUMBER($C30),ISNUMBER($D30))),"",MAX(0,MOD($D30-$C30,1)-IF(ISNUMBER($E30),$E30,IF(MOD($D30-$C30,1)&gt;設定!$B$8,設定!$B$7,0))))</f>
        <v/>
      </c>
      <c r="G30" s="15" t="n"/>
      <c r="H30" s="15" t="n"/>
      <c r="I30" s="15" t="n"/>
      <c r="J30" s="15" t="n"/>
      <c r="K30" s="17">
        <f>IF($A30="","",IFERROR(VLOOKUP($A30,祝日リスト!$A$2:$C$40,3,0),""))</f>
        <v/>
      </c>
      <c r="L30" s="18" t="n"/>
      <c r="M30" s="19">
        <f>IF($A30="","",IF($K30&lt;&gt;"","祝",IF(WEEKDAY($A30,2)=6,"土",IF(WEEKDAY($A30,2)=7,"日","平"))))</f>
        <v/>
      </c>
    </row>
    <row r="31" ht="19" customHeight="1">
      <c r="A31" s="13">
        <f>IF(A30="","",IF(MONTH(A30+1)=$D$4,A30+1,""))</f>
        <v/>
      </c>
      <c r="B31" s="14">
        <f>IF($A31="","",CHOOSE(WEEKDAY($A31,2),"月","火","水","木","金","土","日"))</f>
        <v/>
      </c>
      <c r="C31" s="15" t="n"/>
      <c r="D31" s="15" t="n"/>
      <c r="E31" s="15" t="n"/>
      <c r="F31" s="16">
        <f>IF(NOT(AND(ISNUMBER($C31),ISNUMBER($D31))),"",MAX(0,MOD($D31-$C31,1)-IF(ISNUMBER($E31),$E31,IF(MOD($D31-$C31,1)&gt;設定!$B$8,設定!$B$7,0))))</f>
        <v/>
      </c>
      <c r="G31" s="15" t="n"/>
      <c r="H31" s="15" t="n"/>
      <c r="I31" s="15" t="n"/>
      <c r="J31" s="15" t="n"/>
      <c r="K31" s="17">
        <f>IF($A31="","",IFERROR(VLOOKUP($A31,祝日リスト!$A$2:$C$40,3,0),""))</f>
        <v/>
      </c>
      <c r="L31" s="18" t="n"/>
      <c r="M31" s="19">
        <f>IF($A31="","",IF($K31&lt;&gt;"","祝",IF(WEEKDAY($A31,2)=6,"土",IF(WEEKDAY($A31,2)=7,"日","平"))))</f>
        <v/>
      </c>
    </row>
    <row r="32" ht="19" customHeight="1">
      <c r="A32" s="13">
        <f>IF(A31="","",IF(MONTH(A31+1)=$D$4,A31+1,""))</f>
        <v/>
      </c>
      <c r="B32" s="14">
        <f>IF($A32="","",CHOOSE(WEEKDAY($A32,2),"月","火","水","木","金","土","日"))</f>
        <v/>
      </c>
      <c r="C32" s="15" t="n"/>
      <c r="D32" s="15" t="n"/>
      <c r="E32" s="15" t="n"/>
      <c r="F32" s="16">
        <f>IF(NOT(AND(ISNUMBER($C32),ISNUMBER($D32))),"",MAX(0,MOD($D32-$C32,1)-IF(ISNUMBER($E32),$E32,IF(MOD($D32-$C32,1)&gt;設定!$B$8,設定!$B$7,0))))</f>
        <v/>
      </c>
      <c r="G32" s="15" t="n"/>
      <c r="H32" s="15" t="n"/>
      <c r="I32" s="15" t="n"/>
      <c r="J32" s="15" t="n"/>
      <c r="K32" s="17">
        <f>IF($A32="","",IFERROR(VLOOKUP($A32,祝日リスト!$A$2:$C$40,3,0),""))</f>
        <v/>
      </c>
      <c r="L32" s="18" t="n"/>
      <c r="M32" s="19">
        <f>IF($A32="","",IF($K32&lt;&gt;"","祝",IF(WEEKDAY($A32,2)=6,"土",IF(WEEKDAY($A32,2)=7,"日","平"))))</f>
        <v/>
      </c>
    </row>
    <row r="33" ht="19" customHeight="1">
      <c r="A33" s="13">
        <f>IF(A32="","",IF(MONTH(A32+1)=$D$4,A32+1,""))</f>
        <v/>
      </c>
      <c r="B33" s="14">
        <f>IF($A33="","",CHOOSE(WEEKDAY($A33,2),"月","火","水","木","金","土","日"))</f>
        <v/>
      </c>
      <c r="C33" s="15" t="n"/>
      <c r="D33" s="15" t="n"/>
      <c r="E33" s="15" t="n"/>
      <c r="F33" s="16">
        <f>IF(NOT(AND(ISNUMBER($C33),ISNUMBER($D33))),"",MAX(0,MOD($D33-$C33,1)-IF(ISNUMBER($E33),$E33,IF(MOD($D33-$C33,1)&gt;設定!$B$8,設定!$B$7,0))))</f>
        <v/>
      </c>
      <c r="G33" s="15" t="n"/>
      <c r="H33" s="15" t="n"/>
      <c r="I33" s="15" t="n"/>
      <c r="J33" s="15" t="n"/>
      <c r="K33" s="17">
        <f>IF($A33="","",IFERROR(VLOOKUP($A33,祝日リスト!$A$2:$C$40,3,0),""))</f>
        <v/>
      </c>
      <c r="L33" s="18" t="n"/>
      <c r="M33" s="19">
        <f>IF($A33="","",IF($K33&lt;&gt;"","祝",IF(WEEKDAY($A33,2)=6,"土",IF(WEEKDAY($A33,2)=7,"日","平"))))</f>
        <v/>
      </c>
    </row>
    <row r="34" ht="19" customHeight="1">
      <c r="A34" s="13">
        <f>IF(A33="","",IF(MONTH(A33+1)=$D$4,A33+1,""))</f>
        <v/>
      </c>
      <c r="B34" s="14">
        <f>IF($A34="","",CHOOSE(WEEKDAY($A34,2),"月","火","水","木","金","土","日"))</f>
        <v/>
      </c>
      <c r="C34" s="15" t="n"/>
      <c r="D34" s="15" t="n"/>
      <c r="E34" s="15" t="n"/>
      <c r="F34" s="16">
        <f>IF(NOT(AND(ISNUMBER($C34),ISNUMBER($D34))),"",MAX(0,MOD($D34-$C34,1)-IF(ISNUMBER($E34),$E34,IF(MOD($D34-$C34,1)&gt;設定!$B$8,設定!$B$7,0))))</f>
        <v/>
      </c>
      <c r="G34" s="15" t="n"/>
      <c r="H34" s="15" t="n"/>
      <c r="I34" s="15" t="n"/>
      <c r="J34" s="15" t="n"/>
      <c r="K34" s="17">
        <f>IF($A34="","",IFERROR(VLOOKUP($A34,祝日リスト!$A$2:$C$40,3,0),""))</f>
        <v/>
      </c>
      <c r="L34" s="18" t="n"/>
      <c r="M34" s="19">
        <f>IF($A34="","",IF($K34&lt;&gt;"","祝",IF(WEEKDAY($A34,2)=6,"土",IF(WEEKDAY($A34,2)=7,"日","平"))))</f>
        <v/>
      </c>
    </row>
    <row r="35" ht="19" customHeight="1">
      <c r="A35" s="13">
        <f>IF(A34="","",IF(MONTH(A34+1)=$D$4,A34+1,""))</f>
        <v/>
      </c>
      <c r="B35" s="14">
        <f>IF($A35="","",CHOOSE(WEEKDAY($A35,2),"月","火","水","木","金","土","日"))</f>
        <v/>
      </c>
      <c r="C35" s="15" t="n"/>
      <c r="D35" s="15" t="n"/>
      <c r="E35" s="15" t="n"/>
      <c r="F35" s="16">
        <f>IF(NOT(AND(ISNUMBER($C35),ISNUMBER($D35))),"",MAX(0,MOD($D35-$C35,1)-IF(ISNUMBER($E35),$E35,IF(MOD($D35-$C35,1)&gt;設定!$B$8,設定!$B$7,0))))</f>
        <v/>
      </c>
      <c r="G35" s="15" t="n"/>
      <c r="H35" s="15" t="n"/>
      <c r="I35" s="15" t="n"/>
      <c r="J35" s="15" t="n"/>
      <c r="K35" s="17">
        <f>IF($A35="","",IFERROR(VLOOKUP($A35,祝日リスト!$A$2:$C$40,3,0),""))</f>
        <v/>
      </c>
      <c r="L35" s="18" t="n"/>
      <c r="M35" s="19">
        <f>IF($A35="","",IF($K35&lt;&gt;"","祝",IF(WEEKDAY($A35,2)=6,"土",IF(WEEKDAY($A35,2)=7,"日","平"))))</f>
        <v/>
      </c>
    </row>
    <row r="36" ht="19" customHeight="1">
      <c r="A36" s="13">
        <f>IF(A35="","",IF(MONTH(A35+1)=$D$4,A35+1,""))</f>
        <v/>
      </c>
      <c r="B36" s="14">
        <f>IF($A36="","",CHOOSE(WEEKDAY($A36,2),"月","火","水","木","金","土","日"))</f>
        <v/>
      </c>
      <c r="C36" s="15" t="n"/>
      <c r="D36" s="15" t="n"/>
      <c r="E36" s="15" t="n"/>
      <c r="F36" s="16">
        <f>IF(NOT(AND(ISNUMBER($C36),ISNUMBER($D36))),"",MAX(0,MOD($D36-$C36,1)-IF(ISNUMBER($E36),$E36,IF(MOD($D36-$C36,1)&gt;設定!$B$8,設定!$B$7,0))))</f>
        <v/>
      </c>
      <c r="G36" s="15" t="n"/>
      <c r="H36" s="15" t="n"/>
      <c r="I36" s="15" t="n"/>
      <c r="J36" s="15" t="n"/>
      <c r="K36" s="17">
        <f>IF($A36="","",IFERROR(VLOOKUP($A36,祝日リスト!$A$2:$C$40,3,0),""))</f>
        <v/>
      </c>
      <c r="L36" s="18" t="n"/>
      <c r="M36" s="19">
        <f>IF($A36="","",IF($K36&lt;&gt;"","祝",IF(WEEKDAY($A36,2)=6,"土",IF(WEEKDAY($A36,2)=7,"日","平"))))</f>
        <v/>
      </c>
    </row>
    <row r="37" ht="19" customHeight="1">
      <c r="A37" s="13">
        <f>IF(A36="","",IF(MONTH(A36+1)=$D$4,A36+1,""))</f>
        <v/>
      </c>
      <c r="B37" s="14">
        <f>IF($A37="","",CHOOSE(WEEKDAY($A37,2),"月","火","水","木","金","土","日"))</f>
        <v/>
      </c>
      <c r="C37" s="15" t="n"/>
      <c r="D37" s="15" t="n"/>
      <c r="E37" s="15" t="n"/>
      <c r="F37" s="16">
        <f>IF(NOT(AND(ISNUMBER($C37),ISNUMBER($D37))),"",MAX(0,MOD($D37-$C37,1)-IF(ISNUMBER($E37),$E37,IF(MOD($D37-$C37,1)&gt;設定!$B$8,設定!$B$7,0))))</f>
        <v/>
      </c>
      <c r="G37" s="15" t="n"/>
      <c r="H37" s="15" t="n"/>
      <c r="I37" s="15" t="n"/>
      <c r="J37" s="15" t="n"/>
      <c r="K37" s="17">
        <f>IF($A37="","",IFERROR(VLOOKUP($A37,祝日リスト!$A$2:$C$40,3,0),""))</f>
        <v/>
      </c>
      <c r="L37" s="18" t="n"/>
      <c r="M37" s="19">
        <f>IF($A37="","",IF($K37&lt;&gt;"","祝",IF(WEEKDAY($A37,2)=6,"土",IF(WEEKDAY($A37,2)=7,"日","平"))))</f>
        <v/>
      </c>
    </row>
    <row r="38" ht="19" customHeight="1">
      <c r="A38" s="20">
        <f>IF(A37="","",IF(MONTH(A37+1)=$D$4,A37+1,""))</f>
        <v/>
      </c>
      <c r="B38" s="21">
        <f>IF($A38="","",CHOOSE(WEEKDAY($A38,2),"月","火","水","木","金","土","日"))</f>
        <v/>
      </c>
      <c r="C38" s="22" t="n"/>
      <c r="D38" s="22" t="n"/>
      <c r="E38" s="22" t="n"/>
      <c r="F38" s="23">
        <f>IF(NOT(AND(ISNUMBER($C38),ISNUMBER($D38))),"",MAX(0,MOD($D38-$C38,1)-IF(ISNUMBER($E38),$E38,IF(MOD($D38-$C38,1)&gt;設定!$B$8,設定!$B$7,0))))</f>
        <v/>
      </c>
      <c r="G38" s="22" t="n"/>
      <c r="H38" s="22" t="n"/>
      <c r="I38" s="22" t="n"/>
      <c r="J38" s="22" t="n"/>
      <c r="K38" s="24">
        <f>IF($A38="","",IFERROR(VLOOKUP($A38,祝日リスト!$A$2:$C$40,3,0),""))</f>
        <v/>
      </c>
      <c r="L38" s="25" t="n"/>
      <c r="M38" s="19">
        <f>IF($A38="","",IF($K38&lt;&gt;"","祝",IF(WEEKDAY($A38,2)=6,"土",IF(WEEKDAY($A38,2)=7,"日","平"))))</f>
        <v/>
      </c>
    </row>
    <row r="40" ht="20" customHeight="1">
      <c r="A40" s="26" t="inlineStr">
        <is>
          <t>月次集計</t>
        </is>
      </c>
    </row>
    <row r="41" ht="18" customHeight="1">
      <c r="A41" s="27" t="inlineStr">
        <is>
          <t>出勤日数</t>
        </is>
      </c>
      <c r="D41" s="28">
        <f>COUNT($C$8:$C$38)</f>
        <v/>
      </c>
      <c r="E41" s="29" t="inlineStr">
        <is>
          <t>日</t>
        </is>
      </c>
      <c r="G41" s="27" t="inlineStr">
        <is>
          <t>通常残業</t>
        </is>
      </c>
      <c r="K41" s="30">
        <f>SUM($G$8:$G$38)</f>
        <v/>
      </c>
    </row>
    <row r="42" ht="18" customHeight="1">
      <c r="A42" s="27" t="inlineStr">
        <is>
          <t>実働時間 合計</t>
        </is>
      </c>
      <c r="D42" s="30">
        <f>SUM($F$8:$F$38)</f>
        <v/>
      </c>
      <c r="G42" s="27" t="inlineStr">
        <is>
          <t>深夜残業</t>
        </is>
      </c>
      <c r="K42" s="30">
        <f>SUM($H$8:$H$38)</f>
        <v/>
      </c>
    </row>
    <row r="43" ht="18" customHeight="1">
      <c r="A43" s="31" t="inlineStr">
        <is>
          <t xml:space="preserve">　うち 平日</t>
        </is>
      </c>
      <c r="D43" s="30">
        <f>SUMIF($M$8:$M$38,"平",$F$8:$F$38)</f>
        <v/>
      </c>
      <c r="G43" s="27" t="inlineStr">
        <is>
          <t>早朝残業</t>
        </is>
      </c>
      <c r="K43" s="30">
        <f>SUM($I$8:$I$38)</f>
        <v/>
      </c>
    </row>
    <row r="44" ht="18" customHeight="1">
      <c r="A44" s="31" t="inlineStr">
        <is>
          <t xml:space="preserve">　うち 土曜</t>
        </is>
      </c>
      <c r="D44" s="30">
        <f>SUMIF($M$8:$M$38,"土",$F$8:$F$38)</f>
        <v/>
      </c>
      <c r="G44" s="27" t="inlineStr">
        <is>
          <t>遅刻・早退</t>
        </is>
      </c>
      <c r="K44" s="30">
        <f>SUM($J$8:$J$38)</f>
        <v/>
      </c>
    </row>
    <row r="45" ht="18" customHeight="1">
      <c r="A45" s="31" t="inlineStr">
        <is>
          <t xml:space="preserve">　うち 日曜・祝日</t>
        </is>
      </c>
      <c r="D45" s="30">
        <f>SUMIF($M$8:$M$38,"日",$F$8:$F$38)+SUMIF($M$8:$M$38,"祝",$F$8:$F$38)</f>
        <v/>
      </c>
      <c r="G45" s="27" t="inlineStr">
        <is>
          <t>所定超過(実働-所定×出勤日数)</t>
        </is>
      </c>
      <c r="K45" s="30">
        <f>MAX(0,SUM($F$8:$F$38)-設定!$B$6*COUNT($C$8:$C$38))</f>
        <v/>
      </c>
    </row>
    <row r="47">
      <c r="A47" s="11" t="inlineStr">
        <is>
          <t>※ 残業欄は実働時間の内数です。実働は「退勤－出勤－休憩」で自動計算されます。</t>
        </is>
      </c>
    </row>
    <row r="49" ht="30" customHeight="1">
      <c r="G49" s="9" t="inlineStr">
        <is>
          <t>承認</t>
        </is>
      </c>
      <c r="H49" s="32" t="n"/>
      <c r="J49" s="32" t="n"/>
    </row>
    <row r="50">
      <c r="H50" s="33" t="inlineStr">
        <is>
          <t>本人</t>
        </is>
      </c>
      <c r="J50" s="33" t="inlineStr">
        <is>
          <t>上長</t>
        </is>
      </c>
    </row>
  </sheetData>
  <mergeCells count="15">
    <mergeCell ref="G44:J44"/>
    <mergeCell ref="A42:C42"/>
    <mergeCell ref="A41:C41"/>
    <mergeCell ref="A44:C44"/>
    <mergeCell ref="A45:C45"/>
    <mergeCell ref="G43:J43"/>
    <mergeCell ref="H49:I49"/>
    <mergeCell ref="J49:K49"/>
    <mergeCell ref="A40:L40"/>
    <mergeCell ref="J4:L4"/>
    <mergeCell ref="A2:D2"/>
    <mergeCell ref="G41:J41"/>
    <mergeCell ref="A43:C43"/>
    <mergeCell ref="G45:J45"/>
    <mergeCell ref="G42:J42"/>
  </mergeCells>
  <conditionalFormatting sqref="A8:L38">
    <cfRule type="expression" priority="1" dxfId="0" stopIfTrue="1">
      <formula>$A8=""</formula>
    </cfRule>
    <cfRule type="expression" priority="2" dxfId="1">
      <formula>OR($M8="祝",$M8="日")</formula>
    </cfRule>
    <cfRule type="expression" priority="3" dxfId="2">
      <formula>$M8="土"</formula>
    </cfRule>
  </conditionalFormatting>
  <conditionalFormatting sqref="D8:D38">
    <cfRule type="expression" priority="4" dxfId="3">
      <formula>AND($C8&lt;&gt;"",$D8="")</formula>
    </cfRule>
  </conditionalFormatting>
  <conditionalFormatting sqref="C8:C38">
    <cfRule type="expression" priority="5" dxfId="3">
      <formula>AND($D8&lt;&gt;"",$C8="")</formula>
    </cfRule>
  </conditionalFormatting>
  <dataValidations count="2">
    <dataValidation sqref="L8:L38" showDropDown="0" showInputMessage="1" showErrorMessage="0" allowBlank="1" promptTitle="備考" prompt="選択、または自由入力できます" type="list">
      <formula1>"有給,半休,欠勤,遅刻,早退,休日出勤,振替休日,直行,直帰,出張,特別休暇"</formula1>
    </dataValidation>
    <dataValidation sqref="C8:C38 D8:D38 E8:E38 G8:G38 H8:H38 I8:I38 J8:J38" showDropDown="0" showInputMessage="0" showErrorMessage="1" allowBlank="1" errorTitle="入力形式" error="時刻を h:mm 形式で入力してください（例 9:30）" type="time" operator="between">
      <formula1>0</formula1>
      <formula2>1</formula2>
    </dataValidation>
  </dataValidations>
  <pageMargins left="0.3" right="0.3" top="0.4" bottom="0.4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J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4" customHeight="1">
      <c r="A1" s="34">
        <f>設定!$B$4&amp;"　"&amp;設定!$B$3&amp;"年 年間集計"</f>
        <v/>
      </c>
    </row>
    <row r="3" ht="22" customHeight="1">
      <c r="A3" s="35" t="inlineStr">
        <is>
          <t>月</t>
        </is>
      </c>
      <c r="B3" s="35" t="inlineStr">
        <is>
          <t>出勤日数</t>
        </is>
      </c>
      <c r="C3" s="35" t="inlineStr">
        <is>
          <t>実働時間</t>
        </is>
      </c>
      <c r="D3" s="35" t="inlineStr">
        <is>
          <t>平日</t>
        </is>
      </c>
      <c r="E3" s="35" t="inlineStr">
        <is>
          <t>土曜</t>
        </is>
      </c>
      <c r="F3" s="35" t="inlineStr">
        <is>
          <t>日祝</t>
        </is>
      </c>
      <c r="G3" s="35" t="inlineStr">
        <is>
          <t>通常残業</t>
        </is>
      </c>
      <c r="H3" s="35" t="inlineStr">
        <is>
          <t>深夜残業</t>
        </is>
      </c>
      <c r="I3" s="35" t="inlineStr">
        <is>
          <t>早朝残業</t>
        </is>
      </c>
      <c r="J3" s="35" t="inlineStr">
        <is>
          <t>遅刻・早退</t>
        </is>
      </c>
    </row>
    <row r="4" ht="18" customHeight="1">
      <c r="A4" s="36" t="inlineStr">
        <is>
          <t>1月</t>
        </is>
      </c>
      <c r="B4" s="37">
        <f>'1月'!D41</f>
        <v/>
      </c>
      <c r="C4" s="38">
        <f>'1月'!D42</f>
        <v/>
      </c>
      <c r="D4" s="38">
        <f>'1月'!D43</f>
        <v/>
      </c>
      <c r="E4" s="38">
        <f>'1月'!D44</f>
        <v/>
      </c>
      <c r="F4" s="38">
        <f>'1月'!D45</f>
        <v/>
      </c>
      <c r="G4" s="38">
        <f>'1月'!K41</f>
        <v/>
      </c>
      <c r="H4" s="38">
        <f>'1月'!K42</f>
        <v/>
      </c>
      <c r="I4" s="38">
        <f>'1月'!K43</f>
        <v/>
      </c>
      <c r="J4" s="38">
        <f>'1月'!K44</f>
        <v/>
      </c>
    </row>
    <row r="5" ht="18" customHeight="1">
      <c r="A5" s="36" t="inlineStr">
        <is>
          <t>2月</t>
        </is>
      </c>
      <c r="B5" s="37">
        <f>'2月'!D41</f>
        <v/>
      </c>
      <c r="C5" s="38">
        <f>'2月'!D42</f>
        <v/>
      </c>
      <c r="D5" s="38">
        <f>'2月'!D43</f>
        <v/>
      </c>
      <c r="E5" s="38">
        <f>'2月'!D44</f>
        <v/>
      </c>
      <c r="F5" s="38">
        <f>'2月'!D45</f>
        <v/>
      </c>
      <c r="G5" s="38">
        <f>'2月'!K41</f>
        <v/>
      </c>
      <c r="H5" s="38">
        <f>'2月'!K42</f>
        <v/>
      </c>
      <c r="I5" s="38">
        <f>'2月'!K43</f>
        <v/>
      </c>
      <c r="J5" s="38">
        <f>'2月'!K44</f>
        <v/>
      </c>
    </row>
    <row r="6" ht="18" customHeight="1">
      <c r="A6" s="36" t="inlineStr">
        <is>
          <t>3月</t>
        </is>
      </c>
      <c r="B6" s="37">
        <f>'3月'!D41</f>
        <v/>
      </c>
      <c r="C6" s="38">
        <f>'3月'!D42</f>
        <v/>
      </c>
      <c r="D6" s="38">
        <f>'3月'!D43</f>
        <v/>
      </c>
      <c r="E6" s="38">
        <f>'3月'!D44</f>
        <v/>
      </c>
      <c r="F6" s="38">
        <f>'3月'!D45</f>
        <v/>
      </c>
      <c r="G6" s="38">
        <f>'3月'!K41</f>
        <v/>
      </c>
      <c r="H6" s="38">
        <f>'3月'!K42</f>
        <v/>
      </c>
      <c r="I6" s="38">
        <f>'3月'!K43</f>
        <v/>
      </c>
      <c r="J6" s="38">
        <f>'3月'!K44</f>
        <v/>
      </c>
    </row>
    <row r="7" ht="18" customHeight="1">
      <c r="A7" s="36" t="inlineStr">
        <is>
          <t>4月</t>
        </is>
      </c>
      <c r="B7" s="37">
        <f>'4月'!D41</f>
        <v/>
      </c>
      <c r="C7" s="38">
        <f>'4月'!D42</f>
        <v/>
      </c>
      <c r="D7" s="38">
        <f>'4月'!D43</f>
        <v/>
      </c>
      <c r="E7" s="38">
        <f>'4月'!D44</f>
        <v/>
      </c>
      <c r="F7" s="38">
        <f>'4月'!D45</f>
        <v/>
      </c>
      <c r="G7" s="38">
        <f>'4月'!K41</f>
        <v/>
      </c>
      <c r="H7" s="38">
        <f>'4月'!K42</f>
        <v/>
      </c>
      <c r="I7" s="38">
        <f>'4月'!K43</f>
        <v/>
      </c>
      <c r="J7" s="38">
        <f>'4月'!K44</f>
        <v/>
      </c>
    </row>
    <row r="8" ht="18" customHeight="1">
      <c r="A8" s="36" t="inlineStr">
        <is>
          <t>5月</t>
        </is>
      </c>
      <c r="B8" s="37">
        <f>'5月'!D41</f>
        <v/>
      </c>
      <c r="C8" s="38">
        <f>'5月'!D42</f>
        <v/>
      </c>
      <c r="D8" s="38">
        <f>'5月'!D43</f>
        <v/>
      </c>
      <c r="E8" s="38">
        <f>'5月'!D44</f>
        <v/>
      </c>
      <c r="F8" s="38">
        <f>'5月'!D45</f>
        <v/>
      </c>
      <c r="G8" s="38">
        <f>'5月'!K41</f>
        <v/>
      </c>
      <c r="H8" s="38">
        <f>'5月'!K42</f>
        <v/>
      </c>
      <c r="I8" s="38">
        <f>'5月'!K43</f>
        <v/>
      </c>
      <c r="J8" s="38">
        <f>'5月'!K44</f>
        <v/>
      </c>
    </row>
    <row r="9" ht="18" customHeight="1">
      <c r="A9" s="36" t="inlineStr">
        <is>
          <t>6月</t>
        </is>
      </c>
      <c r="B9" s="37">
        <f>'6月'!D41</f>
        <v/>
      </c>
      <c r="C9" s="38">
        <f>'6月'!D42</f>
        <v/>
      </c>
      <c r="D9" s="38">
        <f>'6月'!D43</f>
        <v/>
      </c>
      <c r="E9" s="38">
        <f>'6月'!D44</f>
        <v/>
      </c>
      <c r="F9" s="38">
        <f>'6月'!D45</f>
        <v/>
      </c>
      <c r="G9" s="38">
        <f>'6月'!K41</f>
        <v/>
      </c>
      <c r="H9" s="38">
        <f>'6月'!K42</f>
        <v/>
      </c>
      <c r="I9" s="38">
        <f>'6月'!K43</f>
        <v/>
      </c>
      <c r="J9" s="38">
        <f>'6月'!K44</f>
        <v/>
      </c>
    </row>
    <row r="10" ht="18" customHeight="1">
      <c r="A10" s="36" t="inlineStr">
        <is>
          <t>7月</t>
        </is>
      </c>
      <c r="B10" s="37">
        <f>'7月'!D41</f>
        <v/>
      </c>
      <c r="C10" s="38">
        <f>'7月'!D42</f>
        <v/>
      </c>
      <c r="D10" s="38">
        <f>'7月'!D43</f>
        <v/>
      </c>
      <c r="E10" s="38">
        <f>'7月'!D44</f>
        <v/>
      </c>
      <c r="F10" s="38">
        <f>'7月'!D45</f>
        <v/>
      </c>
      <c r="G10" s="38">
        <f>'7月'!K41</f>
        <v/>
      </c>
      <c r="H10" s="38">
        <f>'7月'!K42</f>
        <v/>
      </c>
      <c r="I10" s="38">
        <f>'7月'!K43</f>
        <v/>
      </c>
      <c r="J10" s="38">
        <f>'7月'!K44</f>
        <v/>
      </c>
    </row>
    <row r="11" ht="18" customHeight="1">
      <c r="A11" s="36" t="inlineStr">
        <is>
          <t>8月</t>
        </is>
      </c>
      <c r="B11" s="37">
        <f>'8月'!D41</f>
        <v/>
      </c>
      <c r="C11" s="38">
        <f>'8月'!D42</f>
        <v/>
      </c>
      <c r="D11" s="38">
        <f>'8月'!D43</f>
        <v/>
      </c>
      <c r="E11" s="38">
        <f>'8月'!D44</f>
        <v/>
      </c>
      <c r="F11" s="38">
        <f>'8月'!D45</f>
        <v/>
      </c>
      <c r="G11" s="38">
        <f>'8月'!K41</f>
        <v/>
      </c>
      <c r="H11" s="38">
        <f>'8月'!K42</f>
        <v/>
      </c>
      <c r="I11" s="38">
        <f>'8月'!K43</f>
        <v/>
      </c>
      <c r="J11" s="38">
        <f>'8月'!K44</f>
        <v/>
      </c>
    </row>
    <row r="12" ht="18" customHeight="1">
      <c r="A12" s="36" t="inlineStr">
        <is>
          <t>9月</t>
        </is>
      </c>
      <c r="B12" s="37">
        <f>'9月'!D41</f>
        <v/>
      </c>
      <c r="C12" s="38">
        <f>'9月'!D42</f>
        <v/>
      </c>
      <c r="D12" s="38">
        <f>'9月'!D43</f>
        <v/>
      </c>
      <c r="E12" s="38">
        <f>'9月'!D44</f>
        <v/>
      </c>
      <c r="F12" s="38">
        <f>'9月'!D45</f>
        <v/>
      </c>
      <c r="G12" s="38">
        <f>'9月'!K41</f>
        <v/>
      </c>
      <c r="H12" s="38">
        <f>'9月'!K42</f>
        <v/>
      </c>
      <c r="I12" s="38">
        <f>'9月'!K43</f>
        <v/>
      </c>
      <c r="J12" s="38">
        <f>'9月'!K44</f>
        <v/>
      </c>
    </row>
    <row r="13" ht="18" customHeight="1">
      <c r="A13" s="36" t="inlineStr">
        <is>
          <t>10月</t>
        </is>
      </c>
      <c r="B13" s="37">
        <f>'10月'!D41</f>
        <v/>
      </c>
      <c r="C13" s="38">
        <f>'10月'!D42</f>
        <v/>
      </c>
      <c r="D13" s="38">
        <f>'10月'!D43</f>
        <v/>
      </c>
      <c r="E13" s="38">
        <f>'10月'!D44</f>
        <v/>
      </c>
      <c r="F13" s="38">
        <f>'10月'!D45</f>
        <v/>
      </c>
      <c r="G13" s="38">
        <f>'10月'!K41</f>
        <v/>
      </c>
      <c r="H13" s="38">
        <f>'10月'!K42</f>
        <v/>
      </c>
      <c r="I13" s="38">
        <f>'10月'!K43</f>
        <v/>
      </c>
      <c r="J13" s="38">
        <f>'10月'!K44</f>
        <v/>
      </c>
    </row>
    <row r="14" ht="18" customHeight="1">
      <c r="A14" s="36" t="inlineStr">
        <is>
          <t>11月</t>
        </is>
      </c>
      <c r="B14" s="37">
        <f>'11月'!D41</f>
        <v/>
      </c>
      <c r="C14" s="38">
        <f>'11月'!D42</f>
        <v/>
      </c>
      <c r="D14" s="38">
        <f>'11月'!D43</f>
        <v/>
      </c>
      <c r="E14" s="38">
        <f>'11月'!D44</f>
        <v/>
      </c>
      <c r="F14" s="38">
        <f>'11月'!D45</f>
        <v/>
      </c>
      <c r="G14" s="38">
        <f>'11月'!K41</f>
        <v/>
      </c>
      <c r="H14" s="38">
        <f>'11月'!K42</f>
        <v/>
      </c>
      <c r="I14" s="38">
        <f>'11月'!K43</f>
        <v/>
      </c>
      <c r="J14" s="38">
        <f>'11月'!K44</f>
        <v/>
      </c>
    </row>
    <row r="15" ht="18" customHeight="1">
      <c r="A15" s="36" t="inlineStr">
        <is>
          <t>12月</t>
        </is>
      </c>
      <c r="B15" s="37">
        <f>'12月'!D41</f>
        <v/>
      </c>
      <c r="C15" s="38">
        <f>'12月'!D42</f>
        <v/>
      </c>
      <c r="D15" s="38">
        <f>'12月'!D43</f>
        <v/>
      </c>
      <c r="E15" s="38">
        <f>'12月'!D44</f>
        <v/>
      </c>
      <c r="F15" s="38">
        <f>'12月'!D45</f>
        <v/>
      </c>
      <c r="G15" s="38">
        <f>'12月'!K41</f>
        <v/>
      </c>
      <c r="H15" s="38">
        <f>'12月'!K42</f>
        <v/>
      </c>
      <c r="I15" s="38">
        <f>'12月'!K43</f>
        <v/>
      </c>
      <c r="J15" s="38">
        <f>'12月'!K44</f>
        <v/>
      </c>
    </row>
    <row r="16" ht="22" customHeight="1">
      <c r="A16" s="39" t="inlineStr">
        <is>
          <t>合計</t>
        </is>
      </c>
      <c r="B16" s="40">
        <f>SUM(B4:B15)</f>
        <v/>
      </c>
      <c r="C16" s="41">
        <f>SUM(C4:C15)</f>
        <v/>
      </c>
      <c r="D16" s="41">
        <f>SUM(D4:D15)</f>
        <v/>
      </c>
      <c r="E16" s="41">
        <f>SUM(E4:E15)</f>
        <v/>
      </c>
      <c r="F16" s="41">
        <f>SUM(F4:F15)</f>
        <v/>
      </c>
      <c r="G16" s="41">
        <f>SUM(G4:G15)</f>
        <v/>
      </c>
      <c r="H16" s="41">
        <f>SUM(H4:H15)</f>
        <v/>
      </c>
      <c r="I16" s="41">
        <f>SUM(I4:I15)</f>
        <v/>
      </c>
      <c r="J16" s="41">
        <f>SUM(J4:J15)</f>
        <v/>
      </c>
    </row>
    <row r="18">
      <c r="A18" s="11" t="inlineStr">
        <is>
          <t>※ 各月シートの集計を自動で集めています。この表は直接編集しないでください。</t>
        </is>
      </c>
    </row>
  </sheetData>
  <pageMargins left="0.75" right="0.75" top="1" bottom="1" header="0.5" footer="0.5"/>
  <pageSetup orientation="landscape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20" customWidth="1" min="3" max="3"/>
    <col width="32" customWidth="1" min="4" max="4"/>
  </cols>
  <sheetData>
    <row r="1">
      <c r="A1" s="39" t="inlineStr">
        <is>
          <t>日付</t>
        </is>
      </c>
      <c r="B1" s="39" t="inlineStr">
        <is>
          <t>曜日</t>
        </is>
      </c>
      <c r="C1" s="39" t="inlineStr">
        <is>
          <t>名称</t>
        </is>
      </c>
      <c r="D1" s="39" t="inlineStr">
        <is>
          <t>備考</t>
        </is>
      </c>
    </row>
    <row r="2">
      <c r="A2" s="42" t="n">
        <v>46023</v>
      </c>
      <c r="B2" s="43">
        <f>IF(A2="","",CHOOSE(WEEKDAY(A2,2),"月","火","水","木","金","土","日"))</f>
        <v/>
      </c>
      <c r="C2" s="44" t="inlineStr">
        <is>
          <t>元日</t>
        </is>
      </c>
      <c r="D2" s="44" t="inlineStr"/>
    </row>
    <row r="3">
      <c r="A3" s="42" t="n">
        <v>46034</v>
      </c>
      <c r="B3" s="43">
        <f>IF(A3="","",CHOOSE(WEEKDAY(A3,2),"月","火","水","木","金","土","日"))</f>
        <v/>
      </c>
      <c r="C3" s="44" t="inlineStr">
        <is>
          <t>成人の日</t>
        </is>
      </c>
      <c r="D3" s="44" t="inlineStr"/>
    </row>
    <row r="4">
      <c r="A4" s="42" t="n">
        <v>46064</v>
      </c>
      <c r="B4" s="43">
        <f>IF(A4="","",CHOOSE(WEEKDAY(A4,2),"月","火","水","木","金","土","日"))</f>
        <v/>
      </c>
      <c r="C4" s="44" t="inlineStr">
        <is>
          <t>建国記念の日</t>
        </is>
      </c>
      <c r="D4" s="44" t="inlineStr"/>
    </row>
    <row r="5">
      <c r="A5" s="42" t="n">
        <v>46076</v>
      </c>
      <c r="B5" s="43">
        <f>IF(A5="","",CHOOSE(WEEKDAY(A5,2),"月","火","水","木","金","土","日"))</f>
        <v/>
      </c>
      <c r="C5" s="44" t="inlineStr">
        <is>
          <t>天皇誕生日</t>
        </is>
      </c>
      <c r="D5" s="44" t="inlineStr"/>
    </row>
    <row r="6">
      <c r="A6" s="42" t="n">
        <v>46101</v>
      </c>
      <c r="B6" s="43">
        <f>IF(A6="","",CHOOSE(WEEKDAY(A6,2),"月","火","水","木","金","土","日"))</f>
        <v/>
      </c>
      <c r="C6" s="44" t="inlineStr">
        <is>
          <t>春分の日</t>
        </is>
      </c>
      <c r="D6" s="44" t="inlineStr"/>
    </row>
    <row r="7">
      <c r="A7" s="42" t="n">
        <v>46141</v>
      </c>
      <c r="B7" s="43">
        <f>IF(A7="","",CHOOSE(WEEKDAY(A7,2),"月","火","水","木","金","土","日"))</f>
        <v/>
      </c>
      <c r="C7" s="44" t="inlineStr">
        <is>
          <t>昭和の日</t>
        </is>
      </c>
      <c r="D7" s="44" t="inlineStr"/>
    </row>
    <row r="8">
      <c r="A8" s="42" t="n">
        <v>46145</v>
      </c>
      <c r="B8" s="43">
        <f>IF(A8="","",CHOOSE(WEEKDAY(A8,2),"月","火","水","木","金","土","日"))</f>
        <v/>
      </c>
      <c r="C8" s="44" t="inlineStr">
        <is>
          <t>憲法記念日</t>
        </is>
      </c>
      <c r="D8" s="44" t="inlineStr"/>
    </row>
    <row r="9">
      <c r="A9" s="42" t="n">
        <v>46146</v>
      </c>
      <c r="B9" s="43">
        <f>IF(A9="","",CHOOSE(WEEKDAY(A9,2),"月","火","水","木","金","土","日"))</f>
        <v/>
      </c>
      <c r="C9" s="44" t="inlineStr">
        <is>
          <t>みどりの日</t>
        </is>
      </c>
      <c r="D9" s="44" t="inlineStr"/>
    </row>
    <row r="10">
      <c r="A10" s="42" t="n">
        <v>46147</v>
      </c>
      <c r="B10" s="43">
        <f>IF(A10="","",CHOOSE(WEEKDAY(A10,2),"月","火","水","木","金","土","日"))</f>
        <v/>
      </c>
      <c r="C10" s="44" t="inlineStr">
        <is>
          <t>こどもの日</t>
        </is>
      </c>
      <c r="D10" s="44" t="inlineStr"/>
    </row>
    <row r="11">
      <c r="A11" s="42" t="n">
        <v>46148</v>
      </c>
      <c r="B11" s="43">
        <f>IF(A11="","",CHOOSE(WEEKDAY(A11,2),"月","火","水","木","金","土","日"))</f>
        <v/>
      </c>
      <c r="C11" s="44" t="inlineStr">
        <is>
          <t>休日</t>
        </is>
      </c>
      <c r="D11" s="44" t="inlineStr">
        <is>
          <t>祝日法第3条第2項による休日</t>
        </is>
      </c>
    </row>
    <row r="12">
      <c r="A12" s="42" t="n">
        <v>46223</v>
      </c>
      <c r="B12" s="43">
        <f>IF(A12="","",CHOOSE(WEEKDAY(A12,2),"月","火","水","木","金","土","日"))</f>
        <v/>
      </c>
      <c r="C12" s="44" t="inlineStr">
        <is>
          <t>海の日</t>
        </is>
      </c>
      <c r="D12" s="44" t="inlineStr"/>
    </row>
    <row r="13">
      <c r="A13" s="42" t="n">
        <v>46245</v>
      </c>
      <c r="B13" s="43">
        <f>IF(A13="","",CHOOSE(WEEKDAY(A13,2),"月","火","水","木","金","土","日"))</f>
        <v/>
      </c>
      <c r="C13" s="44" t="inlineStr">
        <is>
          <t>山の日</t>
        </is>
      </c>
      <c r="D13" s="44" t="inlineStr"/>
    </row>
    <row r="14">
      <c r="A14" s="42" t="n">
        <v>46286</v>
      </c>
      <c r="B14" s="43">
        <f>IF(A14="","",CHOOSE(WEEKDAY(A14,2),"月","火","水","木","金","土","日"))</f>
        <v/>
      </c>
      <c r="C14" s="44" t="inlineStr">
        <is>
          <t>敬老の日</t>
        </is>
      </c>
      <c r="D14" s="44" t="inlineStr"/>
    </row>
    <row r="15">
      <c r="A15" s="42" t="n">
        <v>46287</v>
      </c>
      <c r="B15" s="43">
        <f>IF(A15="","",CHOOSE(WEEKDAY(A15,2),"月","火","水","木","金","土","日"))</f>
        <v/>
      </c>
      <c r="C15" s="44" t="inlineStr">
        <is>
          <t>国民の休日</t>
        </is>
      </c>
      <c r="D15" s="44" t="inlineStr">
        <is>
          <t>祝日法第3条第3項による休日</t>
        </is>
      </c>
    </row>
    <row r="16">
      <c r="A16" s="42" t="n">
        <v>46288</v>
      </c>
      <c r="B16" s="43">
        <f>IF(A16="","",CHOOSE(WEEKDAY(A16,2),"月","火","水","木","金","土","日"))</f>
        <v/>
      </c>
      <c r="C16" s="44" t="inlineStr">
        <is>
          <t>秋分の日</t>
        </is>
      </c>
      <c r="D16" s="44" t="inlineStr"/>
    </row>
    <row r="17">
      <c r="A17" s="42" t="n">
        <v>46307</v>
      </c>
      <c r="B17" s="43">
        <f>IF(A17="","",CHOOSE(WEEKDAY(A17,2),"月","火","水","木","金","土","日"))</f>
        <v/>
      </c>
      <c r="C17" s="44" t="inlineStr">
        <is>
          <t>スポーツの日</t>
        </is>
      </c>
      <c r="D17" s="44" t="inlineStr"/>
    </row>
    <row r="18">
      <c r="A18" s="42" t="n">
        <v>46329</v>
      </c>
      <c r="B18" s="43">
        <f>IF(A18="","",CHOOSE(WEEKDAY(A18,2),"月","火","水","木","金","土","日"))</f>
        <v/>
      </c>
      <c r="C18" s="44" t="inlineStr">
        <is>
          <t>文化の日</t>
        </is>
      </c>
      <c r="D18" s="44" t="inlineStr"/>
    </row>
    <row r="19">
      <c r="A19" s="42" t="n">
        <v>46349</v>
      </c>
      <c r="B19" s="43">
        <f>IF(A19="","",CHOOSE(WEEKDAY(A19,2),"月","火","水","木","金","土","日"))</f>
        <v/>
      </c>
      <c r="C19" s="44" t="inlineStr">
        <is>
          <t>勤労感謝の日</t>
        </is>
      </c>
      <c r="D19" s="44" t="inlineStr"/>
    </row>
    <row r="21">
      <c r="A21" s="4" t="inlineStr">
        <is>
          <t>※ 会社独自の休日もここに追加できます（40行目まで自動で参照されます）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2026-08-04T02:43:29Z</dcterms:created>
  <dcterms:modified xsi:type="dcterms:W3CDTF">2026-08-04T02:43:30Z</dcterms:modified>
</cp:coreProperties>
</file>