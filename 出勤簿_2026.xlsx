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6" activeTab="3" autoFilterDateGrouping="1"/>
  </bookViews>
  <sheets>
    <sheet name="1月" sheetId="1" state="visible" r:id="rId1"/>
    <sheet name="2月" sheetId="2" state="visible" r:id="rId2"/>
    <sheet name="3月" sheetId="3" state="visible" r:id="rId3"/>
    <sheet name="4月" sheetId="4" state="visible" r:id="rId4"/>
    <sheet name="5月" sheetId="5" state="visible" r:id="rId5"/>
    <sheet name="6月" sheetId="6" state="visible" r:id="rId6"/>
    <sheet name="7月" sheetId="7" state="visible" r:id="rId7"/>
    <sheet name="8月" sheetId="8" state="visible" r:id="rId8"/>
    <sheet name="9月" sheetId="9" state="visible" r:id="rId9"/>
    <sheet name="10月" sheetId="10" state="visible" r:id="rId10"/>
    <sheet name="11月" sheetId="11" state="visible" r:id="rId11"/>
    <sheet name="12月" sheetId="12" state="visible" r:id="rId12"/>
    <sheet name="祝日リスト" sheetId="13" state="visible" r:id="rId13"/>
  </sheets>
  <definedNames>
    <definedName name="_xlnm.Print_Area" localSheetId="0">'1月'!$A$1:$K$42</definedName>
    <definedName name="_xlnm.Print_Area" localSheetId="1">'2月'!$A$1:$K$42</definedName>
    <definedName name="_xlnm.Print_Area" localSheetId="2">'3月'!$A$1:$K$42</definedName>
    <definedName name="_xlnm.Print_Area" localSheetId="3">'4月'!$A$1:$K$42</definedName>
    <definedName name="_xlnm.Print_Area" localSheetId="4">'5月'!$A$1:$K$42</definedName>
    <definedName name="_xlnm.Print_Area" localSheetId="5">'6月'!$A$1:$K$42</definedName>
    <definedName name="_xlnm.Print_Area" localSheetId="6">'7月'!$A$1:$K$42</definedName>
    <definedName name="_xlnm.Print_Area" localSheetId="7">'8月'!$A$1:$K$42</definedName>
    <definedName name="_xlnm.Print_Area" localSheetId="8">'9月'!$A$1:$K$42</definedName>
    <definedName name="_xlnm.Print_Area" localSheetId="9">'10月'!$A$1:$K$42</definedName>
    <definedName name="_xlnm.Print_Area" localSheetId="10">'11月'!$A$1:$K$42</definedName>
    <definedName name="_xlnm.Print_Area" localSheetId="11">'12月'!$A$1:$K$42</definedName>
  </definedNames>
  <calcPr calcId="191028" fullCalcOnLoad="1"/>
</workbook>
</file>

<file path=xl/styles.xml><?xml version="1.0" encoding="utf-8"?>
<styleSheet xmlns="http://schemas.openxmlformats.org/spreadsheetml/2006/main">
  <numFmts count="7">
    <numFmt numFmtId="164" formatCode="d"/>
    <numFmt numFmtId="165" formatCode="yyyy/mm/dd"/>
    <numFmt numFmtId="166" formatCode="[$-F800]dddd\,\ mmmm\ dd\,\ yyyy"/>
    <numFmt numFmtId="167" formatCode="h:mm;@"/>
    <numFmt numFmtId="168" formatCode="[$-409]yyyy/m/d\ h:mm\ AM/PM;@"/>
    <numFmt numFmtId="169" formatCode="[h]:mm"/>
    <numFmt numFmtId="170" formatCode="00&quot;:&quot;00"/>
  </numFmts>
  <fonts count="16">
    <font>
      <name val="MS PGothic"/>
      <color rgb="FF000000"/>
      <sz val="11"/>
    </font>
    <font>
      <name val="MS PGothic"/>
      <charset val="128"/>
      <family val="3"/>
      <color theme="1"/>
      <sz val="11"/>
    </font>
    <font>
      <name val="MS PGothic"/>
      <charset val="128"/>
      <family val="3"/>
      <color theme="1"/>
      <sz val="14"/>
    </font>
    <font>
      <name val="Calibri"/>
      <family val="2"/>
      <color theme="1"/>
      <sz val="11"/>
    </font>
    <font>
      <name val="MS PGothic"/>
      <charset val="128"/>
      <family val="3"/>
      <sz val="11"/>
    </font>
    <font>
      <name val="MS PGothic"/>
      <charset val="128"/>
      <family val="3"/>
      <color theme="1"/>
      <sz val="12"/>
    </font>
    <font>
      <name val="Calibri"/>
      <family val="2"/>
      <color rgb="FF000000"/>
      <sz val="11"/>
    </font>
    <font>
      <name val="MS PGothic"/>
      <charset val="128"/>
      <family val="3"/>
      <color rgb="FF000000"/>
      <sz val="11"/>
    </font>
    <font>
      <name val="ＭＳ Ｐゴシック"/>
      <charset val="128"/>
      <family val="3"/>
      <sz val="6"/>
    </font>
    <font>
      <name val="ＭＳ ゴシック"/>
      <charset val="128"/>
      <family val="3"/>
      <color theme="1"/>
      <sz val="11"/>
    </font>
    <font>
      <name val="MS PGothic"/>
      <charset val="128"/>
      <family val="3"/>
      <color rgb="FF000000"/>
      <sz val="14"/>
    </font>
    <font>
      <name val="MS PGothic"/>
      <charset val="128"/>
      <family val="3"/>
      <sz val="14"/>
    </font>
    <font>
      <name val="MS PGothic"/>
      <charset val="128"/>
      <family val="3"/>
      <color theme="10"/>
      <sz val="11"/>
      <u val="single"/>
    </font>
    <font>
      <name val="MS PGothic"/>
      <charset val="128"/>
      <family val="3"/>
      <color theme="0"/>
      <sz val="11"/>
      <u val="double"/>
    </font>
    <font>
      <name val="MS PGothic"/>
      <charset val="128"/>
      <family val="3"/>
      <b val="1"/>
      <color theme="1"/>
      <sz val="11"/>
    </font>
    <font>
      <name val="ＭＳ ゴシック"/>
      <charset val="128"/>
      <family val="3"/>
      <color theme="1"/>
      <sz val="12"/>
    </font>
  </fonts>
  <fills count="2">
    <fill>
      <patternFill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hair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double">
        <color rgb="FF000000"/>
      </left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</borders>
  <cellStyleXfs count="2">
    <xf numFmtId="0" fontId="0" fillId="0" borderId="0"/>
    <xf numFmtId="0" fontId="12" fillId="0" borderId="0"/>
  </cellStyleXfs>
  <cellXfs count="100">
    <xf numFmtId="0" fontId="0" fillId="0" borderId="0" pivotButton="0" quotePrefix="0" xfId="0"/>
    <xf numFmtId="0" fontId="1" fillId="0" borderId="0" pivotButton="0" quotePrefix="0" xfId="0"/>
    <xf numFmtId="0" fontId="1" fillId="0" borderId="2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4" fontId="1" fillId="0" borderId="0" pivotButton="0" quotePrefix="0" xfId="0"/>
    <xf numFmtId="0" fontId="1" fillId="0" borderId="0" applyAlignment="1" pivotButton="0" quotePrefix="0" xfId="0">
      <alignment horizontal="left"/>
    </xf>
    <xf numFmtId="164" fontId="2" fillId="0" borderId="0" pivotButton="0" quotePrefix="0" xfId="0"/>
    <xf numFmtId="0" fontId="2" fillId="0" borderId="0" applyAlignment="1" pivotButton="0" quotePrefix="0" xfId="0">
      <alignment horizontal="left"/>
    </xf>
    <xf numFmtId="0" fontId="5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/>
    </xf>
    <xf numFmtId="164" fontId="3" fillId="0" borderId="0" pivotButton="0" quotePrefix="0" xfId="0"/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0" fontId="5" fillId="0" borderId="9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2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5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20" fontId="2" fillId="0" borderId="10" applyAlignment="1" pivotButton="0" quotePrefix="0" xfId="0">
      <alignment horizontal="center" vertical="center"/>
    </xf>
    <xf numFmtId="20" fontId="2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2" fillId="0" borderId="2" applyAlignment="1" pivotButton="0" quotePrefix="0" xfId="0">
      <alignment horizontal="center" vertical="center"/>
    </xf>
    <xf numFmtId="164" fontId="5" fillId="0" borderId="7" applyAlignment="1" pivotButton="0" quotePrefix="0" xfId="0">
      <alignment horizontal="right" vertical="center"/>
    </xf>
    <xf numFmtId="164" fontId="5" fillId="0" borderId="8" applyAlignment="1" pivotButton="0" quotePrefix="0" xfId="0">
      <alignment horizontal="right" vertical="center"/>
    </xf>
    <xf numFmtId="164" fontId="5" fillId="0" borderId="19" applyAlignment="1" pivotButton="0" quotePrefix="0" xfId="0">
      <alignment horizontal="right" vertical="center"/>
    </xf>
    <xf numFmtId="0" fontId="10" fillId="0" borderId="18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4" fontId="7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center"/>
    </xf>
    <xf numFmtId="165" fontId="1" fillId="0" borderId="0" pivotButton="0" quotePrefix="0" xfId="0"/>
    <xf numFmtId="14" fontId="12" fillId="0" borderId="0" applyAlignment="1" pivotButton="0" quotePrefix="0" xfId="1">
      <alignment horizontal="left"/>
    </xf>
    <xf numFmtId="165" fontId="7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0" fontId="2" fillId="0" borderId="20" applyAlignment="1" pivotButton="0" quotePrefix="0" xfId="0">
      <alignment vertical="center"/>
    </xf>
    <xf numFmtId="166" fontId="0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20" fontId="2" fillId="0" borderId="11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64" fontId="1" fillId="0" borderId="0" pivotButton="0" quotePrefix="0" xfId="0"/>
    <xf numFmtId="164" fontId="2" fillId="0" borderId="0" pivotButton="0" quotePrefix="0" xfId="0"/>
    <xf numFmtId="0" fontId="4" fillId="0" borderId="2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4" pivotButton="0" quotePrefix="0" xfId="0"/>
    <xf numFmtId="0" fontId="5" fillId="0" borderId="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5" fillId="0" borderId="7" applyAlignment="1" pivotButton="0" quotePrefix="0" xfId="0">
      <alignment horizontal="right" vertical="center"/>
    </xf>
    <xf numFmtId="170" fontId="2" fillId="0" borderId="2" applyAlignment="1" pivotButton="0" quotePrefix="0" xfId="0">
      <alignment horizontal="center" vertical="center"/>
    </xf>
    <xf numFmtId="170" fontId="2" fillId="0" borderId="6" applyAlignment="1" pivotButton="0" quotePrefix="0" xfId="0">
      <alignment horizontal="center" vertical="center"/>
    </xf>
    <xf numFmtId="164" fontId="5" fillId="0" borderId="8" applyAlignment="1" pivotButton="0" quotePrefix="0" xfId="0">
      <alignment horizontal="right" vertical="center"/>
    </xf>
    <xf numFmtId="170" fontId="2" fillId="0" borderId="10" applyAlignment="1" pivotButton="0" quotePrefix="0" xfId="0">
      <alignment horizontal="center" vertical="center"/>
    </xf>
    <xf numFmtId="170" fontId="2" fillId="0" borderId="11" applyAlignment="1" pivotButton="0" quotePrefix="0" xfId="0">
      <alignment horizontal="center" vertical="center"/>
    </xf>
    <xf numFmtId="164" fontId="5" fillId="0" borderId="19" applyAlignment="1" pivotButton="0" quotePrefix="0" xfId="0">
      <alignment horizontal="right" vertical="center"/>
    </xf>
    <xf numFmtId="170" fontId="2" fillId="0" borderId="1" applyAlignment="1" pivotButton="0" quotePrefix="0" xfId="0">
      <alignment horizontal="center" vertical="center"/>
    </xf>
    <xf numFmtId="170" fontId="2" fillId="0" borderId="13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right" vertical="center"/>
    </xf>
    <xf numFmtId="1" fontId="14" fillId="0" borderId="0" applyAlignment="1" pivotButton="0" quotePrefix="0" xfId="0">
      <alignment horizontal="center" vertical="center"/>
    </xf>
    <xf numFmtId="169" fontId="14" fillId="0" borderId="0" applyAlignment="1" pivotButton="0" quotePrefix="0" xfId="0">
      <alignment horizontal="center" vertical="center"/>
    </xf>
    <xf numFmtId="169" fontId="5" fillId="0" borderId="0" applyAlignment="1" pivotButton="0" quotePrefix="0" xfId="0">
      <alignment horizontal="center" vertical="center"/>
    </xf>
    <xf numFmtId="164" fontId="3" fillId="0" borderId="0" pivotButton="0" quotePrefix="0" xfId="0"/>
    <xf numFmtId="165" fontId="7" fillId="0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applyAlignment="1" pivotButton="0" quotePrefix="0" xfId="0">
      <alignment horizontal="right"/>
    </xf>
    <xf numFmtId="165" fontId="1" fillId="0" borderId="0" pivotButton="0" quotePrefix="0" xfId="0"/>
  </cellXfs>
  <cellStyles count="2">
    <cellStyle name="標準" xfId="0" builtinId="0"/>
    <cellStyle name="ハイパーリンク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K2" sqref="K2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1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46023</v>
      </c>
      <c r="B7" s="30">
        <f>IF(A7="","","日")</f>
        <v/>
      </c>
      <c r="C7" s="31" t="str">
        <f>IF(A7="","","("&amp;CHOOSE(WEEKDAY(A7,2),"月","火","水","木","金","土","日")&amp;"）")</f>
        <v>(木）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 t="str">
        <f>IF($A7="","",IFERROR(VLOOKUP($A7,祝日リスト!$A$2:$C$40,3,0),""))</f>
        <v>元日</v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46024</v>
      </c>
      <c r="B8" s="32">
        <f>IF(A8="","","日")</f>
        <v/>
      </c>
      <c r="C8" s="31" t="str">
        <f>IF(A8="","","("&amp;CHOOSE(WEEKDAY(A8,2),"月","火","水","木","金","土","日")&amp;"）")</f>
        <v>(金）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46025</v>
      </c>
      <c r="B9" s="32">
        <f>IF(A9="","","日")</f>
        <v/>
      </c>
      <c r="C9" s="31" t="str">
        <f>IF(A9="","","("&amp;CHOOSE(WEEKDAY(A9,2),"月","火","水","木","金","土","日")&amp;"）")</f>
        <v>(土）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46026</v>
      </c>
      <c r="B10" s="32">
        <f>IF(A10="","","日")</f>
        <v/>
      </c>
      <c r="C10" s="31" t="str">
        <f>IF(A10="","","("&amp;CHOOSE(WEEKDAY(A10,2),"月","火","水","木","金","土","日")&amp;"）")</f>
        <v>(日）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46027</v>
      </c>
      <c r="B11" s="32">
        <f>IF(A11="","","日")</f>
        <v/>
      </c>
      <c r="C11" s="31" t="str">
        <f>IF(A11="","","("&amp;CHOOSE(WEEKDAY(A11,2),"月","火","水","木","金","土","日")&amp;"）")</f>
        <v>(月）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46028</v>
      </c>
      <c r="B12" s="32">
        <f>IF(A12="","","日")</f>
        <v/>
      </c>
      <c r="C12" s="31" t="str">
        <f>IF(A12="","","("&amp;CHOOSE(WEEKDAY(A12,2),"月","火","水","木","金","土","日")&amp;"）")</f>
        <v>(火）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46029</v>
      </c>
      <c r="B13" s="32">
        <f>IF(A13="","","日")</f>
        <v/>
      </c>
      <c r="C13" s="31" t="str">
        <f>IF(A13="","","("&amp;CHOOSE(WEEKDAY(A13,2),"月","火","水","木","金","土","日")&amp;"）")</f>
        <v>(水）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46030</v>
      </c>
      <c r="B14" s="32">
        <f>IF(A14="","","日")</f>
        <v/>
      </c>
      <c r="C14" s="31" t="str">
        <f>IF(A14="","","("&amp;CHOOSE(WEEKDAY(A14,2),"月","火","水","木","金","土","日")&amp;"）")</f>
        <v>(木）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46031</v>
      </c>
      <c r="B15" s="32">
        <f>IF(A15="","","日")</f>
        <v/>
      </c>
      <c r="C15" s="31" t="str">
        <f>IF(A15="","","("&amp;CHOOSE(WEEKDAY(A15,2),"月","火","水","木","金","土","日")&amp;"）")</f>
        <v>(金）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46032</v>
      </c>
      <c r="B16" s="32">
        <f>IF(A16="","","日")</f>
        <v/>
      </c>
      <c r="C16" s="31" t="str">
        <f>IF(A16="","","("&amp;CHOOSE(WEEKDAY(A16,2),"月","火","水","木","金","土","日")&amp;"）")</f>
        <v>(土）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46033</v>
      </c>
      <c r="B17" s="32">
        <f>IF(A17="","","日")</f>
        <v/>
      </c>
      <c r="C17" s="31" t="str">
        <f>IF(A17="","","("&amp;CHOOSE(WEEKDAY(A17,2),"月","火","水","木","金","土","日")&amp;"）")</f>
        <v>(日）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46034</v>
      </c>
      <c r="B18" s="32">
        <f>IF(A18="","","日")</f>
        <v/>
      </c>
      <c r="C18" s="31" t="str">
        <f>IF(A18="","","("&amp;CHOOSE(WEEKDAY(A18,2),"月","火","水","木","金","土","日")&amp;"）")</f>
        <v>(月）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 t="str">
        <f>IF($A18="","",IFERROR(VLOOKUP($A18,祝日リスト!$A$2:$C$40,3,0),""))</f>
        <v>成人の日</v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46035</v>
      </c>
      <c r="B19" s="32">
        <f>IF(A19="","","日")</f>
        <v/>
      </c>
      <c r="C19" s="31" t="str">
        <f>IF(A19="","","("&amp;CHOOSE(WEEKDAY(A19,2),"月","火","水","木","金","土","日")&amp;"）")</f>
        <v>(火）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46036</v>
      </c>
      <c r="B20" s="32">
        <f>IF(A20="","","日")</f>
        <v/>
      </c>
      <c r="C20" s="31" t="str">
        <f>IF(A20="","","("&amp;CHOOSE(WEEKDAY(A20,2),"月","火","水","木","金","土","日")&amp;"）")</f>
        <v>(水）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46037</v>
      </c>
      <c r="B21" s="32">
        <f>IF(A21="","","日")</f>
        <v/>
      </c>
      <c r="C21" s="31" t="str">
        <f>IF(A21="","","("&amp;CHOOSE(WEEKDAY(A21,2),"月","火","水","木","金","土","日")&amp;"）")</f>
        <v>(木）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46038</v>
      </c>
      <c r="B22" s="32">
        <f>IF(A22="","","日")</f>
        <v/>
      </c>
      <c r="C22" s="31" t="str">
        <f>IF(A22="","","("&amp;CHOOSE(WEEKDAY(A22,2),"月","火","水","木","金","土","日")&amp;"）")</f>
        <v>(金）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46039</v>
      </c>
      <c r="B23" s="32">
        <f>IF(A23="","","日")</f>
        <v/>
      </c>
      <c r="C23" s="31" t="str">
        <f>IF(A23="","","("&amp;CHOOSE(WEEKDAY(A23,2),"月","火","水","木","金","土","日")&amp;"）")</f>
        <v>(土）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46040</v>
      </c>
      <c r="B24" s="32">
        <f>IF(A24="","","日")</f>
        <v/>
      </c>
      <c r="C24" s="31" t="str">
        <f>IF(A24="","","("&amp;CHOOSE(WEEKDAY(A24,2),"月","火","水","木","金","土","日")&amp;"）")</f>
        <v>(日）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46041</v>
      </c>
      <c r="B25" s="32">
        <f>IF(A25="","","日")</f>
        <v/>
      </c>
      <c r="C25" s="31" t="str">
        <f>IF(A25="","","("&amp;CHOOSE(WEEKDAY(A25,2),"月","火","水","木","金","土","日")&amp;"）")</f>
        <v>(月）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46042</v>
      </c>
      <c r="B26" s="32">
        <f>IF(A26="","","日")</f>
        <v/>
      </c>
      <c r="C26" s="31" t="str">
        <f>IF(A26="","","("&amp;CHOOSE(WEEKDAY(A26,2),"月","火","水","木","金","土","日")&amp;"）")</f>
        <v>(火）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46043</v>
      </c>
      <c r="B27" s="32">
        <f>IF(A27="","","日")</f>
        <v/>
      </c>
      <c r="C27" s="31" t="str">
        <f>IF(A27="","","("&amp;CHOOSE(WEEKDAY(A27,2),"月","火","水","木","金","土","日")&amp;"）")</f>
        <v>(水）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46044</v>
      </c>
      <c r="B28" s="32">
        <f>IF(A28="","","日")</f>
        <v/>
      </c>
      <c r="C28" s="31" t="str">
        <f>IF(A28="","","("&amp;CHOOSE(WEEKDAY(A28,2),"月","火","水","木","金","土","日")&amp;"）")</f>
        <v>(木）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46045</v>
      </c>
      <c r="B29" s="32">
        <f>IF(A29="","","日")</f>
        <v/>
      </c>
      <c r="C29" s="31" t="str">
        <f>IF(A29="","","("&amp;CHOOSE(WEEKDAY(A29,2),"月","火","水","木","金","土","日")&amp;"）")</f>
        <v>(金）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46046</v>
      </c>
      <c r="B30" s="32">
        <f>IF(A30="","","日")</f>
        <v/>
      </c>
      <c r="C30" s="31" t="str">
        <f>IF(A30="","","("&amp;CHOOSE(WEEKDAY(A30,2),"月","火","水","木","金","土","日")&amp;"）")</f>
        <v>(土）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46047</v>
      </c>
      <c r="B31" s="32">
        <f>IF(A31="","","日")</f>
        <v/>
      </c>
      <c r="C31" s="31" t="str">
        <f>IF(A31="","","("&amp;CHOOSE(WEEKDAY(A31,2),"月","火","水","木","金","土","日")&amp;"）")</f>
        <v>(日）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46048</v>
      </c>
      <c r="B32" s="32">
        <f>IF(A32="","","日")</f>
        <v/>
      </c>
      <c r="C32" s="31" t="str">
        <f>IF(A32="","","("&amp;CHOOSE(WEEKDAY(A32,2),"月","火","水","木","金","土","日")&amp;"）")</f>
        <v>(月）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46049</v>
      </c>
      <c r="B33" s="32">
        <f>IF(A33="","","日")</f>
        <v/>
      </c>
      <c r="C33" s="31" t="str">
        <f>IF(A33="","","("&amp;CHOOSE(WEEKDAY(A33,2),"月","火","水","木","金","土","日")&amp;"）")</f>
        <v>(火）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46050</v>
      </c>
      <c r="B34" s="32">
        <f>IF(A34="","","日")</f>
        <v/>
      </c>
      <c r="C34" s="31" t="str">
        <f>IF(A34="","","("&amp;CHOOSE(WEEKDAY(A34,2),"月","火","水","木","金","土","日")&amp;"）")</f>
        <v>(水）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46051</v>
      </c>
      <c r="B35" s="32">
        <f>IF(A35="","","日")</f>
        <v/>
      </c>
      <c r="C35" s="31" t="str">
        <f>IF(A35="","","("&amp;CHOOSE(WEEKDAY(A35,2),"月","火","水","木","金","土","日")&amp;"）")</f>
        <v>(木）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46052</v>
      </c>
      <c r="B36" s="32">
        <f>IF(A36="","","日")</f>
        <v/>
      </c>
      <c r="C36" s="31" t="str">
        <f>IF(A36="","","("&amp;CHOOSE(WEEKDAY(A36,2),"月","火","水","木","金","土","日")&amp;"）")</f>
        <v>(金）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46053</v>
      </c>
      <c r="B37" s="33">
        <f>IF(A37="","","日")</f>
        <v/>
      </c>
      <c r="C37" s="34" t="str">
        <f>IF(A37="","","("&amp;CHOOSE(WEEKDAY(A37,2),"月","火","水","木","金","土","日")&amp;"）")</f>
        <v>(土）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2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46054</v>
      </c>
      <c r="B7" s="30">
        <f>IF(A7="","","日")</f>
        <v/>
      </c>
      <c r="C7" s="31" t="str">
        <f>IF(A7="","","("&amp;CHOOSE(WEEKDAY(A7,2),"月","火","水","木","金","土","日")&amp;"）")</f>
        <v>(日）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46055</v>
      </c>
      <c r="B8" s="32">
        <f>IF(A8="","","日")</f>
        <v/>
      </c>
      <c r="C8" s="31" t="str">
        <f>IF(A8="","","("&amp;CHOOSE(WEEKDAY(A8,2),"月","火","水","木","金","土","日")&amp;"）")</f>
        <v>(月）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46056</v>
      </c>
      <c r="B9" s="32">
        <f>IF(A9="","","日")</f>
        <v/>
      </c>
      <c r="C9" s="31" t="str">
        <f>IF(A9="","","("&amp;CHOOSE(WEEKDAY(A9,2),"月","火","水","木","金","土","日")&amp;"）")</f>
        <v>(火）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46057</v>
      </c>
      <c r="B10" s="32">
        <f>IF(A10="","","日")</f>
        <v/>
      </c>
      <c r="C10" s="31" t="str">
        <f>IF(A10="","","("&amp;CHOOSE(WEEKDAY(A10,2),"月","火","水","木","金","土","日")&amp;"）")</f>
        <v>(水）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46058</v>
      </c>
      <c r="B11" s="32">
        <f>IF(A11="","","日")</f>
        <v/>
      </c>
      <c r="C11" s="31" t="str">
        <f>IF(A11="","","("&amp;CHOOSE(WEEKDAY(A11,2),"月","火","水","木","金","土","日")&amp;"）")</f>
        <v>(木）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46059</v>
      </c>
      <c r="B12" s="32">
        <f>IF(A12="","","日")</f>
        <v/>
      </c>
      <c r="C12" s="31" t="str">
        <f>IF(A12="","","("&amp;CHOOSE(WEEKDAY(A12,2),"月","火","水","木","金","土","日")&amp;"）")</f>
        <v>(金）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46060</v>
      </c>
      <c r="B13" s="32">
        <f>IF(A13="","","日")</f>
        <v/>
      </c>
      <c r="C13" s="31" t="str">
        <f>IF(A13="","","("&amp;CHOOSE(WEEKDAY(A13,2),"月","火","水","木","金","土","日")&amp;"）")</f>
        <v>(土）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46061</v>
      </c>
      <c r="B14" s="32">
        <f>IF(A14="","","日")</f>
        <v/>
      </c>
      <c r="C14" s="31" t="str">
        <f>IF(A14="","","("&amp;CHOOSE(WEEKDAY(A14,2),"月","火","水","木","金","土","日")&amp;"）")</f>
        <v>(日）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46062</v>
      </c>
      <c r="B15" s="32">
        <f>IF(A15="","","日")</f>
        <v/>
      </c>
      <c r="C15" s="31" t="str">
        <f>IF(A15="","","("&amp;CHOOSE(WEEKDAY(A15,2),"月","火","水","木","金","土","日")&amp;"）")</f>
        <v>(月）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46063</v>
      </c>
      <c r="B16" s="32">
        <f>IF(A16="","","日")</f>
        <v/>
      </c>
      <c r="C16" s="31" t="str">
        <f>IF(A16="","","("&amp;CHOOSE(WEEKDAY(A16,2),"月","火","水","木","金","土","日")&amp;"）")</f>
        <v>(火）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46064</v>
      </c>
      <c r="B17" s="32">
        <f>IF(A17="","","日")</f>
        <v/>
      </c>
      <c r="C17" s="31" t="str">
        <f>IF(A17="","","("&amp;CHOOSE(WEEKDAY(A17,2),"月","火","水","木","金","土","日")&amp;"）")</f>
        <v>(水）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 t="str">
        <f>IF($A17="","",IFERROR(VLOOKUP($A17,祝日リスト!$A$2:$C$40,3,0),""))</f>
        <v>建国記念の日</v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46065</v>
      </c>
      <c r="B18" s="32">
        <f>IF(A18="","","日")</f>
        <v/>
      </c>
      <c r="C18" s="31" t="str">
        <f>IF(A18="","","("&amp;CHOOSE(WEEKDAY(A18,2),"月","火","水","木","金","土","日")&amp;"）")</f>
        <v>(木）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46066</v>
      </c>
      <c r="B19" s="32">
        <f>IF(A19="","","日")</f>
        <v/>
      </c>
      <c r="C19" s="31" t="str">
        <f>IF(A19="","","("&amp;CHOOSE(WEEKDAY(A19,2),"月","火","水","木","金","土","日")&amp;"）")</f>
        <v>(金）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46067</v>
      </c>
      <c r="B20" s="32">
        <f>IF(A20="","","日")</f>
        <v/>
      </c>
      <c r="C20" s="31" t="str">
        <f>IF(A20="","","("&amp;CHOOSE(WEEKDAY(A20,2),"月","火","水","木","金","土","日")&amp;"）")</f>
        <v>(土）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46068</v>
      </c>
      <c r="B21" s="32">
        <f>IF(A21="","","日")</f>
        <v/>
      </c>
      <c r="C21" s="31" t="str">
        <f>IF(A21="","","("&amp;CHOOSE(WEEKDAY(A21,2),"月","火","水","木","金","土","日")&amp;"）")</f>
        <v>(日）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46069</v>
      </c>
      <c r="B22" s="32">
        <f>IF(A22="","","日")</f>
        <v/>
      </c>
      <c r="C22" s="31" t="str">
        <f>IF(A22="","","("&amp;CHOOSE(WEEKDAY(A22,2),"月","火","水","木","金","土","日")&amp;"）")</f>
        <v>(月）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46070</v>
      </c>
      <c r="B23" s="32">
        <f>IF(A23="","","日")</f>
        <v/>
      </c>
      <c r="C23" s="31" t="str">
        <f>IF(A23="","","("&amp;CHOOSE(WEEKDAY(A23,2),"月","火","水","木","金","土","日")&amp;"）")</f>
        <v>(火）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46071</v>
      </c>
      <c r="B24" s="32">
        <f>IF(A24="","","日")</f>
        <v/>
      </c>
      <c r="C24" s="31" t="str">
        <f>IF(A24="","","("&amp;CHOOSE(WEEKDAY(A24,2),"月","火","水","木","金","土","日")&amp;"）")</f>
        <v>(水）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46072</v>
      </c>
      <c r="B25" s="32">
        <f>IF(A25="","","日")</f>
        <v/>
      </c>
      <c r="C25" s="31" t="str">
        <f>IF(A25="","","("&amp;CHOOSE(WEEKDAY(A25,2),"月","火","水","木","金","土","日")&amp;"）")</f>
        <v>(木）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46073</v>
      </c>
      <c r="B26" s="32">
        <f>IF(A26="","","日")</f>
        <v/>
      </c>
      <c r="C26" s="31" t="str">
        <f>IF(A26="","","("&amp;CHOOSE(WEEKDAY(A26,2),"月","火","水","木","金","土","日")&amp;"）")</f>
        <v>(金）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46074</v>
      </c>
      <c r="B27" s="32">
        <f>IF(A27="","","日")</f>
        <v/>
      </c>
      <c r="C27" s="31" t="str">
        <f>IF(A27="","","("&amp;CHOOSE(WEEKDAY(A27,2),"月","火","水","木","金","土","日")&amp;"）")</f>
        <v>(土）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46075</v>
      </c>
      <c r="B28" s="32">
        <f>IF(A28="","","日")</f>
        <v/>
      </c>
      <c r="C28" s="31" t="str">
        <f>IF(A28="","","("&amp;CHOOSE(WEEKDAY(A28,2),"月","火","水","木","金","土","日")&amp;"）")</f>
        <v>(日）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46076</v>
      </c>
      <c r="B29" s="32">
        <f>IF(A29="","","日")</f>
        <v/>
      </c>
      <c r="C29" s="31" t="str">
        <f>IF(A29="","","("&amp;CHOOSE(WEEKDAY(A29,2),"月","火","水","木","金","土","日")&amp;"）")</f>
        <v>(月）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 t="str">
        <f>IF($A29="","",IFERROR(VLOOKUP($A29,祝日リスト!$A$2:$C$40,3,0),""))</f>
        <v>天皇誕生日</v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46077</v>
      </c>
      <c r="B30" s="32">
        <f>IF(A30="","","日")</f>
        <v/>
      </c>
      <c r="C30" s="31" t="str">
        <f>IF(A30="","","("&amp;CHOOSE(WEEKDAY(A30,2),"月","火","水","木","金","土","日")&amp;"）")</f>
        <v>(火）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46078</v>
      </c>
      <c r="B31" s="32">
        <f>IF(A31="","","日")</f>
        <v/>
      </c>
      <c r="C31" s="31" t="str">
        <f>IF(A31="","","("&amp;CHOOSE(WEEKDAY(A31,2),"月","火","水","木","金","土","日")&amp;"）")</f>
        <v>(水）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46079</v>
      </c>
      <c r="B32" s="32">
        <f>IF(A32="","","日")</f>
        <v/>
      </c>
      <c r="C32" s="31" t="str">
        <f>IF(A32="","","("&amp;CHOOSE(WEEKDAY(A32,2),"月","火","水","木","金","土","日")&amp;"）")</f>
        <v>(木）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46080</v>
      </c>
      <c r="B33" s="32">
        <f>IF(A33="","","日")</f>
        <v/>
      </c>
      <c r="C33" s="31" t="str">
        <f>IF(A33="","","("&amp;CHOOSE(WEEKDAY(A33,2),"月","火","水","木","金","土","日")&amp;"）")</f>
        <v>(金）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46081</v>
      </c>
      <c r="B34" s="32">
        <f>IF(A34="","","日")</f>
        <v/>
      </c>
      <c r="C34" s="31" t="str">
        <f>IF(A34="","","("&amp;CHOOSE(WEEKDAY(A34,2),"月","火","水","木","金","土","日")&amp;"）")</f>
        <v>(土）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/>
      </c>
      <c r="B35" s="32">
        <f>IF(A35="","","日")</f>
        <v/>
      </c>
      <c r="C35" s="31">
        <f>IF(A35="","","("&amp;CHOOSE(WEEKDAY(A35,2),"月","火","水","木","金","土","日")&amp;"）")</f>
        <v/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/>
      </c>
      <c r="B36" s="32">
        <f>IF(A36="","","日")</f>
        <v/>
      </c>
      <c r="C36" s="31">
        <f>IF(A36="","","("&amp;CHOOSE(WEEKDAY(A36,2),"月","火","水","木","金","土","日")&amp;"）")</f>
        <v/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/>
      </c>
      <c r="B37" s="33">
        <f>IF(A37="","","日")</f>
        <v/>
      </c>
      <c r="C37" s="34">
        <f>IF(A37="","","("&amp;CHOOSE(WEEKDAY(A37,2),"月","火","水","木","金","土","日")&amp;"）")</f>
        <v/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3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46082</v>
      </c>
      <c r="B7" s="30">
        <f>IF(A7="","","日")</f>
        <v/>
      </c>
      <c r="C7" s="31" t="str">
        <f>IF(A7="","","("&amp;CHOOSE(WEEKDAY(A7,2),"月","火","水","木","金","土","日")&amp;"）")</f>
        <v>(日）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46083</v>
      </c>
      <c r="B8" s="32">
        <f>IF(A8="","","日")</f>
        <v/>
      </c>
      <c r="C8" s="31" t="str">
        <f>IF(A8="","","("&amp;CHOOSE(WEEKDAY(A8,2),"月","火","水","木","金","土","日")&amp;"）")</f>
        <v>(月）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46084</v>
      </c>
      <c r="B9" s="32">
        <f>IF(A9="","","日")</f>
        <v/>
      </c>
      <c r="C9" s="31" t="str">
        <f>IF(A9="","","("&amp;CHOOSE(WEEKDAY(A9,2),"月","火","水","木","金","土","日")&amp;"）")</f>
        <v>(火）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46085</v>
      </c>
      <c r="B10" s="32">
        <f>IF(A10="","","日")</f>
        <v/>
      </c>
      <c r="C10" s="31" t="str">
        <f>IF(A10="","","("&amp;CHOOSE(WEEKDAY(A10,2),"月","火","水","木","金","土","日")&amp;"）")</f>
        <v>(水）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46086</v>
      </c>
      <c r="B11" s="32">
        <f>IF(A11="","","日")</f>
        <v/>
      </c>
      <c r="C11" s="31" t="str">
        <f>IF(A11="","","("&amp;CHOOSE(WEEKDAY(A11,2),"月","火","水","木","金","土","日")&amp;"）")</f>
        <v>(木）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46087</v>
      </c>
      <c r="B12" s="32">
        <f>IF(A12="","","日")</f>
        <v/>
      </c>
      <c r="C12" s="31" t="str">
        <f>IF(A12="","","("&amp;CHOOSE(WEEKDAY(A12,2),"月","火","水","木","金","土","日")&amp;"）")</f>
        <v>(金）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46088</v>
      </c>
      <c r="B13" s="32">
        <f>IF(A13="","","日")</f>
        <v/>
      </c>
      <c r="C13" s="31" t="str">
        <f>IF(A13="","","("&amp;CHOOSE(WEEKDAY(A13,2),"月","火","水","木","金","土","日")&amp;"）")</f>
        <v>(土）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46089</v>
      </c>
      <c r="B14" s="32">
        <f>IF(A14="","","日")</f>
        <v/>
      </c>
      <c r="C14" s="31" t="str">
        <f>IF(A14="","","("&amp;CHOOSE(WEEKDAY(A14,2),"月","火","水","木","金","土","日")&amp;"）")</f>
        <v>(日）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46090</v>
      </c>
      <c r="B15" s="32">
        <f>IF(A15="","","日")</f>
        <v/>
      </c>
      <c r="C15" s="31" t="str">
        <f>IF(A15="","","("&amp;CHOOSE(WEEKDAY(A15,2),"月","火","水","木","金","土","日")&amp;"）")</f>
        <v>(月）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46091</v>
      </c>
      <c r="B16" s="32">
        <f>IF(A16="","","日")</f>
        <v/>
      </c>
      <c r="C16" s="31" t="str">
        <f>IF(A16="","","("&amp;CHOOSE(WEEKDAY(A16,2),"月","火","水","木","金","土","日")&amp;"）")</f>
        <v>(火）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46092</v>
      </c>
      <c r="B17" s="32">
        <f>IF(A17="","","日")</f>
        <v/>
      </c>
      <c r="C17" s="31" t="str">
        <f>IF(A17="","","("&amp;CHOOSE(WEEKDAY(A17,2),"月","火","水","木","金","土","日")&amp;"）")</f>
        <v>(水）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46093</v>
      </c>
      <c r="B18" s="32">
        <f>IF(A18="","","日")</f>
        <v/>
      </c>
      <c r="C18" s="31" t="str">
        <f>IF(A18="","","("&amp;CHOOSE(WEEKDAY(A18,2),"月","火","水","木","金","土","日")&amp;"）")</f>
        <v>(木）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46094</v>
      </c>
      <c r="B19" s="32">
        <f>IF(A19="","","日")</f>
        <v/>
      </c>
      <c r="C19" s="31" t="str">
        <f>IF(A19="","","("&amp;CHOOSE(WEEKDAY(A19,2),"月","火","水","木","金","土","日")&amp;"）")</f>
        <v>(金）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46095</v>
      </c>
      <c r="B20" s="32">
        <f>IF(A20="","","日")</f>
        <v/>
      </c>
      <c r="C20" s="31" t="str">
        <f>IF(A20="","","("&amp;CHOOSE(WEEKDAY(A20,2),"月","火","水","木","金","土","日")&amp;"）")</f>
        <v>(土）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46096</v>
      </c>
      <c r="B21" s="32">
        <f>IF(A21="","","日")</f>
        <v/>
      </c>
      <c r="C21" s="31" t="str">
        <f>IF(A21="","","("&amp;CHOOSE(WEEKDAY(A21,2),"月","火","水","木","金","土","日")&amp;"）")</f>
        <v>(日）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46097</v>
      </c>
      <c r="B22" s="32">
        <f>IF(A22="","","日")</f>
        <v/>
      </c>
      <c r="C22" s="31" t="str">
        <f>IF(A22="","","("&amp;CHOOSE(WEEKDAY(A22,2),"月","火","水","木","金","土","日")&amp;"）")</f>
        <v>(月）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46098</v>
      </c>
      <c r="B23" s="32">
        <f>IF(A23="","","日")</f>
        <v/>
      </c>
      <c r="C23" s="31" t="str">
        <f>IF(A23="","","("&amp;CHOOSE(WEEKDAY(A23,2),"月","火","水","木","金","土","日")&amp;"）")</f>
        <v>(火）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46099</v>
      </c>
      <c r="B24" s="32">
        <f>IF(A24="","","日")</f>
        <v/>
      </c>
      <c r="C24" s="31" t="str">
        <f>IF(A24="","","("&amp;CHOOSE(WEEKDAY(A24,2),"月","火","水","木","金","土","日")&amp;"）")</f>
        <v>(水）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46100</v>
      </c>
      <c r="B25" s="32">
        <f>IF(A25="","","日")</f>
        <v/>
      </c>
      <c r="C25" s="31" t="str">
        <f>IF(A25="","","("&amp;CHOOSE(WEEKDAY(A25,2),"月","火","水","木","金","土","日")&amp;"）")</f>
        <v>(木）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46101</v>
      </c>
      <c r="B26" s="32">
        <f>IF(A26="","","日")</f>
        <v/>
      </c>
      <c r="C26" s="31" t="str">
        <f>IF(A26="","","("&amp;CHOOSE(WEEKDAY(A26,2),"月","火","水","木","金","土","日")&amp;"）")</f>
        <v>(金）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 t="str">
        <f>IF($A26="","",IFERROR(VLOOKUP($A26,祝日リスト!$A$2:$C$40,3,0),""))</f>
        <v>春分の日</v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46102</v>
      </c>
      <c r="B27" s="32">
        <f>IF(A27="","","日")</f>
        <v/>
      </c>
      <c r="C27" s="31" t="str">
        <f>IF(A27="","","("&amp;CHOOSE(WEEKDAY(A27,2),"月","火","水","木","金","土","日")&amp;"）")</f>
        <v>(土）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46103</v>
      </c>
      <c r="B28" s="32">
        <f>IF(A28="","","日")</f>
        <v/>
      </c>
      <c r="C28" s="31" t="str">
        <f>IF(A28="","","("&amp;CHOOSE(WEEKDAY(A28,2),"月","火","水","木","金","土","日")&amp;"）")</f>
        <v>(日）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46104</v>
      </c>
      <c r="B29" s="32">
        <f>IF(A29="","","日")</f>
        <v/>
      </c>
      <c r="C29" s="31" t="str">
        <f>IF(A29="","","("&amp;CHOOSE(WEEKDAY(A29,2),"月","火","水","木","金","土","日")&amp;"）")</f>
        <v>(月）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46105</v>
      </c>
      <c r="B30" s="32">
        <f>IF(A30="","","日")</f>
        <v/>
      </c>
      <c r="C30" s="31" t="str">
        <f>IF(A30="","","("&amp;CHOOSE(WEEKDAY(A30,2),"月","火","水","木","金","土","日")&amp;"）")</f>
        <v>(火）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46106</v>
      </c>
      <c r="B31" s="32">
        <f>IF(A31="","","日")</f>
        <v/>
      </c>
      <c r="C31" s="31" t="str">
        <f>IF(A31="","","("&amp;CHOOSE(WEEKDAY(A31,2),"月","火","水","木","金","土","日")&amp;"）")</f>
        <v>(水）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46107</v>
      </c>
      <c r="B32" s="32">
        <f>IF(A32="","","日")</f>
        <v/>
      </c>
      <c r="C32" s="31" t="str">
        <f>IF(A32="","","("&amp;CHOOSE(WEEKDAY(A32,2),"月","火","水","木","金","土","日")&amp;"）")</f>
        <v>(木）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46108</v>
      </c>
      <c r="B33" s="32">
        <f>IF(A33="","","日")</f>
        <v/>
      </c>
      <c r="C33" s="31" t="str">
        <f>IF(A33="","","("&amp;CHOOSE(WEEKDAY(A33,2),"月","火","水","木","金","土","日")&amp;"）")</f>
        <v>(金）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46109</v>
      </c>
      <c r="B34" s="32">
        <f>IF(A34="","","日")</f>
        <v/>
      </c>
      <c r="C34" s="31" t="str">
        <f>IF(A34="","","("&amp;CHOOSE(WEEKDAY(A34,2),"月","火","水","木","金","土","日")&amp;"）")</f>
        <v>(土）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46110</v>
      </c>
      <c r="B35" s="32">
        <f>IF(A35="","","日")</f>
        <v/>
      </c>
      <c r="C35" s="31" t="str">
        <f>IF(A35="","","("&amp;CHOOSE(WEEKDAY(A35,2),"月","火","水","木","金","土","日")&amp;"）")</f>
        <v>(日）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46111</v>
      </c>
      <c r="B36" s="32">
        <f>IF(A36="","","日")</f>
        <v/>
      </c>
      <c r="C36" s="31" t="str">
        <f>IF(A36="","","("&amp;CHOOSE(WEEKDAY(A36,2),"月","火","水","木","金","土","日")&amp;"）")</f>
        <v>(月）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46112</v>
      </c>
      <c r="B37" s="33">
        <f>IF(A37="","","日")</f>
        <v/>
      </c>
      <c r="C37" s="34" t="str">
        <f>IF(A37="","","("&amp;CHOOSE(WEEKDAY(A37,2),"月","火","水","木","金","土","日")&amp;"）")</f>
        <v>(火）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4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46113</v>
      </c>
      <c r="B7" s="30">
        <f>IF(A7="","","日")</f>
        <v/>
      </c>
      <c r="C7" s="31" t="str">
        <f>IF(A7="","","("&amp;CHOOSE(WEEKDAY(A7,2),"月","火","水","木","金","土","日")&amp;"）")</f>
        <v>(水）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46114</v>
      </c>
      <c r="B8" s="32">
        <f>IF(A8="","","日")</f>
        <v/>
      </c>
      <c r="C8" s="31" t="str">
        <f>IF(A8="","","("&amp;CHOOSE(WEEKDAY(A8,2),"月","火","水","木","金","土","日")&amp;"）")</f>
        <v>(木）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46115</v>
      </c>
      <c r="B9" s="32">
        <f>IF(A9="","","日")</f>
        <v/>
      </c>
      <c r="C9" s="31" t="str">
        <f>IF(A9="","","("&amp;CHOOSE(WEEKDAY(A9,2),"月","火","水","木","金","土","日")&amp;"）")</f>
        <v>(金）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46116</v>
      </c>
      <c r="B10" s="32">
        <f>IF(A10="","","日")</f>
        <v/>
      </c>
      <c r="C10" s="31" t="str">
        <f>IF(A10="","","("&amp;CHOOSE(WEEKDAY(A10,2),"月","火","水","木","金","土","日")&amp;"）")</f>
        <v>(土）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46117</v>
      </c>
      <c r="B11" s="32">
        <f>IF(A11="","","日")</f>
        <v/>
      </c>
      <c r="C11" s="31" t="str">
        <f>IF(A11="","","("&amp;CHOOSE(WEEKDAY(A11,2),"月","火","水","木","金","土","日")&amp;"）")</f>
        <v>(日）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46118</v>
      </c>
      <c r="B12" s="32">
        <f>IF(A12="","","日")</f>
        <v/>
      </c>
      <c r="C12" s="31" t="str">
        <f>IF(A12="","","("&amp;CHOOSE(WEEKDAY(A12,2),"月","火","水","木","金","土","日")&amp;"）")</f>
        <v>(月）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46119</v>
      </c>
      <c r="B13" s="32">
        <f>IF(A13="","","日")</f>
        <v/>
      </c>
      <c r="C13" s="31" t="str">
        <f>IF(A13="","","("&amp;CHOOSE(WEEKDAY(A13,2),"月","火","水","木","金","土","日")&amp;"）")</f>
        <v>(火）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46120</v>
      </c>
      <c r="B14" s="32">
        <f>IF(A14="","","日")</f>
        <v/>
      </c>
      <c r="C14" s="31" t="str">
        <f>IF(A14="","","("&amp;CHOOSE(WEEKDAY(A14,2),"月","火","水","木","金","土","日")&amp;"）")</f>
        <v>(水）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46121</v>
      </c>
      <c r="B15" s="32">
        <f>IF(A15="","","日")</f>
        <v/>
      </c>
      <c r="C15" s="31" t="str">
        <f>IF(A15="","","("&amp;CHOOSE(WEEKDAY(A15,2),"月","火","水","木","金","土","日")&amp;"）")</f>
        <v>(木）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46122</v>
      </c>
      <c r="B16" s="32">
        <f>IF(A16="","","日")</f>
        <v/>
      </c>
      <c r="C16" s="31" t="str">
        <f>IF(A16="","","("&amp;CHOOSE(WEEKDAY(A16,2),"月","火","水","木","金","土","日")&amp;"）")</f>
        <v>(金）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46123</v>
      </c>
      <c r="B17" s="32">
        <f>IF(A17="","","日")</f>
        <v/>
      </c>
      <c r="C17" s="31" t="str">
        <f>IF(A17="","","("&amp;CHOOSE(WEEKDAY(A17,2),"月","火","水","木","金","土","日")&amp;"）")</f>
        <v>(土）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46124</v>
      </c>
      <c r="B18" s="32">
        <f>IF(A18="","","日")</f>
        <v/>
      </c>
      <c r="C18" s="31" t="str">
        <f>IF(A18="","","("&amp;CHOOSE(WEEKDAY(A18,2),"月","火","水","木","金","土","日")&amp;"）")</f>
        <v>(日）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46125</v>
      </c>
      <c r="B19" s="32">
        <f>IF(A19="","","日")</f>
        <v/>
      </c>
      <c r="C19" s="31" t="str">
        <f>IF(A19="","","("&amp;CHOOSE(WEEKDAY(A19,2),"月","火","水","木","金","土","日")&amp;"）")</f>
        <v>(月）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46126</v>
      </c>
      <c r="B20" s="32">
        <f>IF(A20="","","日")</f>
        <v/>
      </c>
      <c r="C20" s="31" t="str">
        <f>IF(A20="","","("&amp;CHOOSE(WEEKDAY(A20,2),"月","火","水","木","金","土","日")&amp;"）")</f>
        <v>(火）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46127</v>
      </c>
      <c r="B21" s="32">
        <f>IF(A21="","","日")</f>
        <v/>
      </c>
      <c r="C21" s="31" t="str">
        <f>IF(A21="","","("&amp;CHOOSE(WEEKDAY(A21,2),"月","火","水","木","金","土","日")&amp;"）")</f>
        <v>(水）</v>
      </c>
      <c r="D21" s="85" t="n">
        <v>900</v>
      </c>
      <c r="E21" s="36" t="inlineStr">
        <is>
          <t>～</t>
        </is>
      </c>
      <c r="F21" s="85" t="n">
        <v>1500</v>
      </c>
      <c r="G21" s="86" t="n"/>
      <c r="H21" s="86" t="n"/>
      <c r="I21" s="86" t="n"/>
      <c r="J21" s="86" t="n"/>
      <c r="K21" s="16" t="inlineStr">
        <is>
          <t>入社日</t>
        </is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46128</v>
      </c>
      <c r="B22" s="32">
        <f>IF(A22="","","日")</f>
        <v/>
      </c>
      <c r="C22" s="31" t="str">
        <f>IF(A22="","","("&amp;CHOOSE(WEEKDAY(A22,2),"月","火","水","木","金","土","日")&amp;"）")</f>
        <v>(木）</v>
      </c>
      <c r="D22" s="85" t="n">
        <v>900</v>
      </c>
      <c r="E22" s="36" t="inlineStr">
        <is>
          <t>～</t>
        </is>
      </c>
      <c r="F22" s="85" t="n">
        <v>1500</v>
      </c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46129</v>
      </c>
      <c r="B23" s="32">
        <f>IF(A23="","","日")</f>
        <v/>
      </c>
      <c r="C23" s="31" t="str">
        <f>IF(A23="","","("&amp;CHOOSE(WEEKDAY(A23,2),"月","火","水","木","金","土","日")&amp;"）")</f>
        <v>(金）</v>
      </c>
      <c r="D23" s="85" t="n">
        <v>900</v>
      </c>
      <c r="E23" s="36" t="inlineStr">
        <is>
          <t>～</t>
        </is>
      </c>
      <c r="F23" s="85" t="n">
        <v>1500</v>
      </c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46130</v>
      </c>
      <c r="B24" s="32">
        <f>IF(A24="","","日")</f>
        <v/>
      </c>
      <c r="C24" s="31" t="str">
        <f>IF(A24="","","("&amp;CHOOSE(WEEKDAY(A24,2),"月","火","水","木","金","土","日")&amp;"）")</f>
        <v>(土）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46131</v>
      </c>
      <c r="B25" s="32">
        <f>IF(A25="","","日")</f>
        <v/>
      </c>
      <c r="C25" s="31" t="str">
        <f>IF(A25="","","("&amp;CHOOSE(WEEKDAY(A25,2),"月","火","水","木","金","土","日")&amp;"）")</f>
        <v>(日）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46132</v>
      </c>
      <c r="B26" s="32">
        <f>IF(A26="","","日")</f>
        <v/>
      </c>
      <c r="C26" s="31" t="str">
        <f>IF(A26="","","("&amp;CHOOSE(WEEKDAY(A26,2),"月","火","水","木","金","土","日")&amp;"）")</f>
        <v>(月）</v>
      </c>
      <c r="D26" s="85" t="n">
        <v>900</v>
      </c>
      <c r="E26" s="36" t="inlineStr">
        <is>
          <t>～</t>
        </is>
      </c>
      <c r="F26" s="85" t="n">
        <v>1500</v>
      </c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46133</v>
      </c>
      <c r="B27" s="32">
        <f>IF(A27="","","日")</f>
        <v/>
      </c>
      <c r="C27" s="31" t="str">
        <f>IF(A27="","","("&amp;CHOOSE(WEEKDAY(A27,2),"月","火","水","木","金","土","日")&amp;"）")</f>
        <v>(火）</v>
      </c>
      <c r="D27" s="85" t="n">
        <v>900</v>
      </c>
      <c r="E27" s="36" t="inlineStr">
        <is>
          <t>～</t>
        </is>
      </c>
      <c r="F27" s="85" t="n">
        <v>1500</v>
      </c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46134</v>
      </c>
      <c r="B28" s="32">
        <f>IF(A28="","","日")</f>
        <v/>
      </c>
      <c r="C28" s="31" t="str">
        <f>IF(A28="","","("&amp;CHOOSE(WEEKDAY(A28,2),"月","火","水","木","金","土","日")&amp;"）")</f>
        <v>(水）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46135</v>
      </c>
      <c r="B29" s="32">
        <f>IF(A29="","","日")</f>
        <v/>
      </c>
      <c r="C29" s="31" t="str">
        <f>IF(A29="","","("&amp;CHOOSE(WEEKDAY(A29,2),"月","火","水","木","金","土","日")&amp;"）")</f>
        <v>(木）</v>
      </c>
      <c r="D29" s="85" t="n">
        <v>900</v>
      </c>
      <c r="E29" s="36" t="inlineStr">
        <is>
          <t>～</t>
        </is>
      </c>
      <c r="F29" s="85" t="n">
        <v>1500</v>
      </c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46136</v>
      </c>
      <c r="B30" s="32">
        <f>IF(A30="","","日")</f>
        <v/>
      </c>
      <c r="C30" s="31" t="str">
        <f>IF(A30="","","("&amp;CHOOSE(WEEKDAY(A30,2),"月","火","水","木","金","土","日")&amp;"）")</f>
        <v>(金）</v>
      </c>
      <c r="D30" s="85" t="n">
        <v>900</v>
      </c>
      <c r="E30" s="36" t="inlineStr">
        <is>
          <t>～</t>
        </is>
      </c>
      <c r="F30" s="85" t="n">
        <v>1500</v>
      </c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46137</v>
      </c>
      <c r="B31" s="32">
        <f>IF(A31="","","日")</f>
        <v/>
      </c>
      <c r="C31" s="31" t="str">
        <f>IF(A31="","","("&amp;CHOOSE(WEEKDAY(A31,2),"月","火","水","木","金","土","日")&amp;"）")</f>
        <v>(土）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46138</v>
      </c>
      <c r="B32" s="32">
        <f>IF(A32="","","日")</f>
        <v/>
      </c>
      <c r="C32" s="31" t="str">
        <f>IF(A32="","","("&amp;CHOOSE(WEEKDAY(A32,2),"月","火","水","木","金","土","日")&amp;"）")</f>
        <v>(日）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46139</v>
      </c>
      <c r="B33" s="32">
        <f>IF(A33="","","日")</f>
        <v/>
      </c>
      <c r="C33" s="31" t="str">
        <f>IF(A33="","","("&amp;CHOOSE(WEEKDAY(A33,2),"月","火","水","木","金","土","日")&amp;"）")</f>
        <v>(月）</v>
      </c>
      <c r="D33" s="85" t="n">
        <v>900</v>
      </c>
      <c r="E33" s="36" t="inlineStr">
        <is>
          <t>～</t>
        </is>
      </c>
      <c r="F33" s="85" t="n">
        <v>1500</v>
      </c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46140</v>
      </c>
      <c r="B34" s="32">
        <f>IF(A34="","","日")</f>
        <v/>
      </c>
      <c r="C34" s="31" t="str">
        <f>IF(A34="","","("&amp;CHOOSE(WEEKDAY(A34,2),"月","火","水","木","金","土","日")&amp;"）")</f>
        <v>(火）</v>
      </c>
      <c r="D34" s="85" t="n">
        <v>900</v>
      </c>
      <c r="E34" s="36" t="inlineStr">
        <is>
          <t>～</t>
        </is>
      </c>
      <c r="F34" s="85" t="n">
        <v>1500</v>
      </c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46141</v>
      </c>
      <c r="B35" s="32">
        <f>IF(A35="","","日")</f>
        <v/>
      </c>
      <c r="C35" s="31" t="str">
        <f>IF(A35="","","("&amp;CHOOSE(WEEKDAY(A35,2),"月","火","水","木","金","土","日")&amp;"）")</f>
        <v>(水）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 t="str">
        <f>IF($A35="","",IFERROR(VLOOKUP($A35,祝日リスト!$A$2:$C$40,3,0),""))</f>
        <v>昭和の日</v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46142</v>
      </c>
      <c r="B36" s="32">
        <f>IF(A36="","","日")</f>
        <v/>
      </c>
      <c r="C36" s="31" t="str">
        <f>IF(A36="","","("&amp;CHOOSE(WEEKDAY(A36,2),"月","火","水","木","金","土","日")&amp;"）")</f>
        <v>(木）</v>
      </c>
      <c r="D36" s="85" t="n">
        <v>900</v>
      </c>
      <c r="E36" s="36" t="inlineStr">
        <is>
          <t>～</t>
        </is>
      </c>
      <c r="F36" s="85" t="n">
        <v>1500</v>
      </c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/>
      </c>
      <c r="B37" s="33">
        <f>IF(A37="","","日")</f>
        <v/>
      </c>
      <c r="C37" s="34">
        <f>IF(A37="","","("&amp;CHOOSE(WEEKDAY(A37,2),"月","火","水","木","金","土","日")&amp;"）")</f>
        <v/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10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2.5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2.5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5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46143</v>
      </c>
      <c r="B7" s="30">
        <f>IF(A7="","","日")</f>
        <v/>
      </c>
      <c r="C7" s="31" t="str">
        <f>IF(A7="","","("&amp;CHOOSE(WEEKDAY(A7,2),"月","火","水","木","金","土","日")&amp;"）")</f>
        <v>(金）</v>
      </c>
      <c r="D7" s="82" t="n">
        <v>900</v>
      </c>
      <c r="E7" s="69" t="inlineStr">
        <is>
          <t>～</t>
        </is>
      </c>
      <c r="F7" s="82" t="n">
        <v>1500</v>
      </c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46144</v>
      </c>
      <c r="B8" s="32">
        <f>IF(A8="","","日")</f>
        <v/>
      </c>
      <c r="C8" s="31" t="str">
        <f>IF(A8="","","("&amp;CHOOSE(WEEKDAY(A8,2),"月","火","水","木","金","土","日")&amp;"）")</f>
        <v>(土）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46145</v>
      </c>
      <c r="B9" s="32">
        <f>IF(A9="","","日")</f>
        <v/>
      </c>
      <c r="C9" s="31" t="str">
        <f>IF(A9="","","("&amp;CHOOSE(WEEKDAY(A9,2),"月","火","水","木","金","土","日")&amp;"）")</f>
        <v>(日）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 t="str">
        <f>IF($A9="","",IFERROR(VLOOKUP($A9,祝日リスト!$A$2:$C$40,3,0),""))</f>
        <v>憲法記念日</v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46146</v>
      </c>
      <c r="B10" s="32">
        <f>IF(A10="","","日")</f>
        <v/>
      </c>
      <c r="C10" s="31" t="str">
        <f>IF(A10="","","("&amp;CHOOSE(WEEKDAY(A10,2),"月","火","水","木","金","土","日")&amp;"）")</f>
        <v>(月）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 t="str">
        <f>IF($A10="","",IFERROR(VLOOKUP($A10,祝日リスト!$A$2:$C$40,3,0),""))</f>
        <v>みどりの日</v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46147</v>
      </c>
      <c r="B11" s="32">
        <f>IF(A11="","","日")</f>
        <v/>
      </c>
      <c r="C11" s="31" t="str">
        <f>IF(A11="","","("&amp;CHOOSE(WEEKDAY(A11,2),"月","火","水","木","金","土","日")&amp;"）")</f>
        <v>(火）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 t="str">
        <f>IF($A11="","",IFERROR(VLOOKUP($A11,祝日リスト!$A$2:$C$40,3,0),""))</f>
        <v>こどもの日</v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46148</v>
      </c>
      <c r="B12" s="32">
        <f>IF(A12="","","日")</f>
        <v/>
      </c>
      <c r="C12" s="31" t="str">
        <f>IF(A12="","","("&amp;CHOOSE(WEEKDAY(A12,2),"月","火","水","木","金","土","日")&amp;"）")</f>
        <v>(水）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 t="str">
        <f>IF($A12="","",IFERROR(VLOOKUP($A12,祝日リスト!$A$2:$C$40,3,0),""))</f>
        <v>休日</v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46149</v>
      </c>
      <c r="B13" s="32">
        <f>IF(A13="","","日")</f>
        <v/>
      </c>
      <c r="C13" s="31" t="str">
        <f>IF(A13="","","("&amp;CHOOSE(WEEKDAY(A13,2),"月","火","水","木","金","土","日")&amp;"）")</f>
        <v>(木）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46150</v>
      </c>
      <c r="B14" s="32">
        <f>IF(A14="","","日")</f>
        <v/>
      </c>
      <c r="C14" s="31" t="str">
        <f>IF(A14="","","("&amp;CHOOSE(WEEKDAY(A14,2),"月","火","水","木","金","土","日")&amp;"）")</f>
        <v>(金）</v>
      </c>
      <c r="D14" s="85" t="n">
        <v>900</v>
      </c>
      <c r="E14" s="36" t="inlineStr">
        <is>
          <t>～</t>
        </is>
      </c>
      <c r="F14" s="85" t="n">
        <v>1500</v>
      </c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46151</v>
      </c>
      <c r="B15" s="32">
        <f>IF(A15="","","日")</f>
        <v/>
      </c>
      <c r="C15" s="31" t="str">
        <f>IF(A15="","","("&amp;CHOOSE(WEEKDAY(A15,2),"月","火","水","木","金","土","日")&amp;"）")</f>
        <v>(土）</v>
      </c>
      <c r="D15" s="85" t="n">
        <v>900</v>
      </c>
      <c r="E15" s="36" t="inlineStr">
        <is>
          <t>～</t>
        </is>
      </c>
      <c r="F15" s="85" t="n">
        <v>1500</v>
      </c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46152</v>
      </c>
      <c r="B16" s="32">
        <f>IF(A16="","","日")</f>
        <v/>
      </c>
      <c r="C16" s="31" t="str">
        <f>IF(A16="","","("&amp;CHOOSE(WEEKDAY(A16,2),"月","火","水","木","金","土","日")&amp;"）")</f>
        <v>(日）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46153</v>
      </c>
      <c r="B17" s="32">
        <f>IF(A17="","","日")</f>
        <v/>
      </c>
      <c r="C17" s="31" t="str">
        <f>IF(A17="","","("&amp;CHOOSE(WEEKDAY(A17,2),"月","火","水","木","金","土","日")&amp;"）")</f>
        <v>(月）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46154</v>
      </c>
      <c r="B18" s="32">
        <f>IF(A18="","","日")</f>
        <v/>
      </c>
      <c r="C18" s="31" t="str">
        <f>IF(A18="","","("&amp;CHOOSE(WEEKDAY(A18,2),"月","火","水","木","金","土","日")&amp;"）")</f>
        <v>(火）</v>
      </c>
      <c r="D18" s="85" t="n">
        <v>900</v>
      </c>
      <c r="E18" s="36" t="inlineStr">
        <is>
          <t>～</t>
        </is>
      </c>
      <c r="F18" s="85" t="n">
        <v>1500</v>
      </c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46155</v>
      </c>
      <c r="B19" s="32">
        <f>IF(A19="","","日")</f>
        <v/>
      </c>
      <c r="C19" s="31" t="str">
        <f>IF(A19="","","("&amp;CHOOSE(WEEKDAY(A19,2),"月","火","水","木","金","土","日")&amp;"）")</f>
        <v>(水）</v>
      </c>
      <c r="D19" s="85" t="n">
        <v>900</v>
      </c>
      <c r="E19" s="36" t="inlineStr">
        <is>
          <t>～</t>
        </is>
      </c>
      <c r="F19" s="85" t="n">
        <v>1500</v>
      </c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46156</v>
      </c>
      <c r="B20" s="32">
        <f>IF(A20="","","日")</f>
        <v/>
      </c>
      <c r="C20" s="31" t="str">
        <f>IF(A20="","","("&amp;CHOOSE(WEEKDAY(A20,2),"月","火","水","木","金","土","日")&amp;"）")</f>
        <v>(木）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46157</v>
      </c>
      <c r="B21" s="32">
        <f>IF(A21="","","日")</f>
        <v/>
      </c>
      <c r="C21" s="31" t="str">
        <f>IF(A21="","","("&amp;CHOOSE(WEEKDAY(A21,2),"月","火","水","木","金","土","日")&amp;"）")</f>
        <v>(金）</v>
      </c>
      <c r="D21" s="85" t="n">
        <v>900</v>
      </c>
      <c r="E21" s="36" t="inlineStr">
        <is>
          <t>～</t>
        </is>
      </c>
      <c r="F21" s="85" t="n">
        <v>1500</v>
      </c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46158</v>
      </c>
      <c r="B22" s="32">
        <f>IF(A22="","","日")</f>
        <v/>
      </c>
      <c r="C22" s="31" t="str">
        <f>IF(A22="","","("&amp;CHOOSE(WEEKDAY(A22,2),"月","火","水","木","金","土","日")&amp;"）")</f>
        <v>(土）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46159</v>
      </c>
      <c r="B23" s="32">
        <f>IF(A23="","","日")</f>
        <v/>
      </c>
      <c r="C23" s="31" t="str">
        <f>IF(A23="","","("&amp;CHOOSE(WEEKDAY(A23,2),"月","火","水","木","金","土","日")&amp;"）")</f>
        <v>(日）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46160</v>
      </c>
      <c r="B24" s="32">
        <f>IF(A24="","","日")</f>
        <v/>
      </c>
      <c r="C24" s="31" t="str">
        <f>IF(A24="","","("&amp;CHOOSE(WEEKDAY(A24,2),"月","火","水","木","金","土","日")&amp;"）")</f>
        <v>(月）</v>
      </c>
      <c r="D24" s="85" t="n">
        <v>900</v>
      </c>
      <c r="E24" s="36" t="inlineStr">
        <is>
          <t>～</t>
        </is>
      </c>
      <c r="F24" s="85" t="n">
        <v>1500</v>
      </c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46161</v>
      </c>
      <c r="B25" s="32">
        <f>IF(A25="","","日")</f>
        <v/>
      </c>
      <c r="C25" s="31" t="str">
        <f>IF(A25="","","("&amp;CHOOSE(WEEKDAY(A25,2),"月","火","水","木","金","土","日")&amp;"）")</f>
        <v>(火）</v>
      </c>
      <c r="D25" s="85" t="n">
        <v>900</v>
      </c>
      <c r="E25" s="36" t="inlineStr">
        <is>
          <t>～</t>
        </is>
      </c>
      <c r="F25" s="85" t="n">
        <v>1500</v>
      </c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46162</v>
      </c>
      <c r="B26" s="32">
        <f>IF(A26="","","日")</f>
        <v/>
      </c>
      <c r="C26" s="31" t="str">
        <f>IF(A26="","","("&amp;CHOOSE(WEEKDAY(A26,2),"月","火","水","木","金","土","日")&amp;"）")</f>
        <v>(水）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46163</v>
      </c>
      <c r="B27" s="32">
        <f>IF(A27="","","日")</f>
        <v/>
      </c>
      <c r="C27" s="31" t="str">
        <f>IF(A27="","","("&amp;CHOOSE(WEEKDAY(A27,2),"月","火","水","木","金","土","日")&amp;"）")</f>
        <v>(木）</v>
      </c>
      <c r="D27" s="85" t="n">
        <v>900</v>
      </c>
      <c r="E27" s="36" t="inlineStr">
        <is>
          <t>～</t>
        </is>
      </c>
      <c r="F27" s="85" t="n">
        <v>1500</v>
      </c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46164</v>
      </c>
      <c r="B28" s="32">
        <f>IF(A28="","","日")</f>
        <v/>
      </c>
      <c r="C28" s="31" t="str">
        <f>IF(A28="","","("&amp;CHOOSE(WEEKDAY(A28,2),"月","火","水","木","金","土","日")&amp;"）")</f>
        <v>(金）</v>
      </c>
      <c r="D28" s="85" t="n">
        <v>900</v>
      </c>
      <c r="E28" s="36" t="inlineStr">
        <is>
          <t>～</t>
        </is>
      </c>
      <c r="F28" s="85" t="n">
        <v>1500</v>
      </c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46165</v>
      </c>
      <c r="B29" s="32">
        <f>IF(A29="","","日")</f>
        <v/>
      </c>
      <c r="C29" s="31" t="str">
        <f>IF(A29="","","("&amp;CHOOSE(WEEKDAY(A29,2),"月","火","水","木","金","土","日")&amp;"）")</f>
        <v>(土）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46166</v>
      </c>
      <c r="B30" s="32">
        <f>IF(A30="","","日")</f>
        <v/>
      </c>
      <c r="C30" s="31" t="str">
        <f>IF(A30="","","("&amp;CHOOSE(WEEKDAY(A30,2),"月","火","水","木","金","土","日")&amp;"）")</f>
        <v>(日）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46167</v>
      </c>
      <c r="B31" s="32">
        <f>IF(A31="","","日")</f>
        <v/>
      </c>
      <c r="C31" s="31" t="str">
        <f>IF(A31="","","("&amp;CHOOSE(WEEKDAY(A31,2),"月","火","水","木","金","土","日")&amp;"）")</f>
        <v>(月）</v>
      </c>
      <c r="D31" s="85" t="n">
        <v>900</v>
      </c>
      <c r="E31" s="36" t="inlineStr">
        <is>
          <t>～</t>
        </is>
      </c>
      <c r="F31" s="85" t="n">
        <v>1500</v>
      </c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46168</v>
      </c>
      <c r="B32" s="32">
        <f>IF(A32="","","日")</f>
        <v/>
      </c>
      <c r="C32" s="31" t="str">
        <f>IF(A32="","","("&amp;CHOOSE(WEEKDAY(A32,2),"月","火","水","木","金","土","日")&amp;"）")</f>
        <v>(火）</v>
      </c>
      <c r="D32" s="85" t="n">
        <v>900</v>
      </c>
      <c r="E32" s="36" t="inlineStr">
        <is>
          <t>～</t>
        </is>
      </c>
      <c r="F32" s="85" t="n">
        <v>1500</v>
      </c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46169</v>
      </c>
      <c r="B33" s="32">
        <f>IF(A33="","","日")</f>
        <v/>
      </c>
      <c r="C33" s="31" t="str">
        <f>IF(A33="","","("&amp;CHOOSE(WEEKDAY(A33,2),"月","火","水","木","金","土","日")&amp;"）")</f>
        <v>(水）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46170</v>
      </c>
      <c r="B34" s="32">
        <f>IF(A34="","","日")</f>
        <v/>
      </c>
      <c r="C34" s="31" t="str">
        <f>IF(A34="","","("&amp;CHOOSE(WEEKDAY(A34,2),"月","火","水","木","金","土","日")&amp;"）")</f>
        <v>(木）</v>
      </c>
      <c r="D34" s="85" t="n">
        <v>900</v>
      </c>
      <c r="E34" s="36" t="inlineStr">
        <is>
          <t>～</t>
        </is>
      </c>
      <c r="F34" s="85" t="n">
        <v>1500</v>
      </c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46171</v>
      </c>
      <c r="B35" s="32">
        <f>IF(A35="","","日")</f>
        <v/>
      </c>
      <c r="C35" s="31" t="str">
        <f>IF(A35="","","("&amp;CHOOSE(WEEKDAY(A35,2),"月","火","水","木","金","土","日")&amp;"）")</f>
        <v>(金）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46172</v>
      </c>
      <c r="B36" s="32">
        <f>IF(A36="","","日")</f>
        <v/>
      </c>
      <c r="C36" s="31" t="str">
        <f>IF(A36="","","("&amp;CHOOSE(WEEKDAY(A36,2),"月","火","水","木","金","土","日")&amp;"）")</f>
        <v>(土）</v>
      </c>
      <c r="D36" s="85" t="n">
        <v>900</v>
      </c>
      <c r="E36" s="36" t="inlineStr">
        <is>
          <t>～</t>
        </is>
      </c>
      <c r="F36" s="85" t="n">
        <v>1500</v>
      </c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46173</v>
      </c>
      <c r="B37" s="33">
        <f>IF(A37="","","日")</f>
        <v/>
      </c>
      <c r="C37" s="34" t="str">
        <f>IF(A37="","","("&amp;CHOOSE(WEEKDAY(A37,2),"月","火","水","木","金","土","日")&amp;"）")</f>
        <v>(日）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14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3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0.5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3.5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6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46174</v>
      </c>
      <c r="B7" s="30">
        <f>IF(A7="","","日")</f>
        <v/>
      </c>
      <c r="C7" s="31" t="str">
        <f>IF(A7="","","("&amp;CHOOSE(WEEKDAY(A7,2),"月","火","水","木","金","土","日")&amp;"）")</f>
        <v>(月）</v>
      </c>
      <c r="D7" s="82" t="n">
        <v>900</v>
      </c>
      <c r="E7" s="69" t="inlineStr">
        <is>
          <t>～</t>
        </is>
      </c>
      <c r="F7" s="82" t="n">
        <v>1500</v>
      </c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46175</v>
      </c>
      <c r="B8" s="32">
        <f>IF(A8="","","日")</f>
        <v/>
      </c>
      <c r="C8" s="31" t="str">
        <f>IF(A8="","","("&amp;CHOOSE(WEEKDAY(A8,2),"月","火","水","木","金","土","日")&amp;"）")</f>
        <v>(火）</v>
      </c>
      <c r="D8" s="85" t="n">
        <v>900</v>
      </c>
      <c r="E8" s="36" t="inlineStr">
        <is>
          <t>～</t>
        </is>
      </c>
      <c r="F8" s="85" t="n">
        <v>1500</v>
      </c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46176</v>
      </c>
      <c r="B9" s="32">
        <f>IF(A9="","","日")</f>
        <v/>
      </c>
      <c r="C9" s="31" t="str">
        <f>IF(A9="","","("&amp;CHOOSE(WEEKDAY(A9,2),"月","火","水","木","金","土","日")&amp;"）")</f>
        <v>(水）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 t="inlineStr">
        <is>
          <t>休み</t>
        </is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46177</v>
      </c>
      <c r="B10" s="32">
        <f>IF(A10="","","日")</f>
        <v/>
      </c>
      <c r="C10" s="31" t="str">
        <f>IF(A10="","","("&amp;CHOOSE(WEEKDAY(A10,2),"月","火","水","木","金","土","日")&amp;"）")</f>
        <v>(木）</v>
      </c>
      <c r="D10" s="85" t="n">
        <v>900</v>
      </c>
      <c r="E10" s="36" t="inlineStr">
        <is>
          <t>～</t>
        </is>
      </c>
      <c r="F10" s="85" t="n">
        <v>1500</v>
      </c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46178</v>
      </c>
      <c r="B11" s="32">
        <f>IF(A11="","","日")</f>
        <v/>
      </c>
      <c r="C11" s="31" t="str">
        <f>IF(A11="","","("&amp;CHOOSE(WEEKDAY(A11,2),"月","火","水","木","金","土","日")&amp;"）")</f>
        <v>(金）</v>
      </c>
      <c r="D11" s="85" t="n">
        <v>900</v>
      </c>
      <c r="E11" s="36" t="inlineStr">
        <is>
          <t>～</t>
        </is>
      </c>
      <c r="F11" s="85" t="n">
        <v>1500</v>
      </c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46179</v>
      </c>
      <c r="B12" s="32">
        <f>IF(A12="","","日")</f>
        <v/>
      </c>
      <c r="C12" s="31" t="str">
        <f>IF(A12="","","("&amp;CHOOSE(WEEKDAY(A12,2),"月","火","水","木","金","土","日")&amp;"）")</f>
        <v>(土）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 t="inlineStr">
        <is>
          <t>休み</t>
        </is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46180</v>
      </c>
      <c r="B13" s="32">
        <f>IF(A13="","","日")</f>
        <v/>
      </c>
      <c r="C13" s="31" t="str">
        <f>IF(A13="","","("&amp;CHOOSE(WEEKDAY(A13,2),"月","火","水","木","金","土","日")&amp;"）")</f>
        <v>(日）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 t="inlineStr">
        <is>
          <t>休み</t>
        </is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46181</v>
      </c>
      <c r="B14" s="32">
        <f>IF(A14="","","日")</f>
        <v/>
      </c>
      <c r="C14" s="31" t="str">
        <f>IF(A14="","","("&amp;CHOOSE(WEEKDAY(A14,2),"月","火","水","木","金","土","日")&amp;"）")</f>
        <v>(月）</v>
      </c>
      <c r="D14" s="85" t="n">
        <v>900</v>
      </c>
      <c r="E14" s="36" t="inlineStr">
        <is>
          <t>～</t>
        </is>
      </c>
      <c r="F14" s="85" t="n">
        <v>1500</v>
      </c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46182</v>
      </c>
      <c r="B15" s="32">
        <f>IF(A15="","","日")</f>
        <v/>
      </c>
      <c r="C15" s="31" t="str">
        <f>IF(A15="","","("&amp;CHOOSE(WEEKDAY(A15,2),"月","火","水","木","金","土","日")&amp;"）")</f>
        <v>(火）</v>
      </c>
      <c r="D15" s="85" t="n">
        <v>900</v>
      </c>
      <c r="E15" s="36" t="inlineStr">
        <is>
          <t>～</t>
        </is>
      </c>
      <c r="F15" s="85" t="n">
        <v>1500</v>
      </c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46183</v>
      </c>
      <c r="B16" s="32">
        <f>IF(A16="","","日")</f>
        <v/>
      </c>
      <c r="C16" s="31" t="str">
        <f>IF(A16="","","("&amp;CHOOSE(WEEKDAY(A16,2),"月","火","水","木","金","土","日")&amp;"）")</f>
        <v>(水）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 t="inlineStr">
        <is>
          <t>休み</t>
        </is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46184</v>
      </c>
      <c r="B17" s="32">
        <f>IF(A17="","","日")</f>
        <v/>
      </c>
      <c r="C17" s="31" t="str">
        <f>IF(A17="","","("&amp;CHOOSE(WEEKDAY(A17,2),"月","火","水","木","金","土","日")&amp;"）")</f>
        <v>(木）</v>
      </c>
      <c r="D17" s="85" t="n">
        <v>900</v>
      </c>
      <c r="E17" s="36" t="inlineStr">
        <is>
          <t>～</t>
        </is>
      </c>
      <c r="F17" s="85" t="n">
        <v>1500</v>
      </c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46185</v>
      </c>
      <c r="B18" s="32">
        <f>IF(A18="","","日")</f>
        <v/>
      </c>
      <c r="C18" s="31" t="str">
        <f>IF(A18="","","("&amp;CHOOSE(WEEKDAY(A18,2),"月","火","水","木","金","土","日")&amp;"）")</f>
        <v>(金）</v>
      </c>
      <c r="D18" s="85" t="n">
        <v>900</v>
      </c>
      <c r="E18" s="36" t="inlineStr">
        <is>
          <t>～</t>
        </is>
      </c>
      <c r="F18" s="85" t="n">
        <v>1500</v>
      </c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46186</v>
      </c>
      <c r="B19" s="32">
        <f>IF(A19="","","日")</f>
        <v/>
      </c>
      <c r="C19" s="31" t="str">
        <f>IF(A19="","","("&amp;CHOOSE(WEEKDAY(A19,2),"月","火","水","木","金","土","日")&amp;"）")</f>
        <v>(土）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 t="inlineStr">
        <is>
          <t>休み</t>
        </is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46187</v>
      </c>
      <c r="B20" s="32">
        <f>IF(A20="","","日")</f>
        <v/>
      </c>
      <c r="C20" s="31" t="str">
        <f>IF(A20="","","("&amp;CHOOSE(WEEKDAY(A20,2),"月","火","水","木","金","土","日")&amp;"）")</f>
        <v>(日）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 t="inlineStr">
        <is>
          <t>休み</t>
        </is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46188</v>
      </c>
      <c r="B21" s="32">
        <f>IF(A21="","","日")</f>
        <v/>
      </c>
      <c r="C21" s="31" t="str">
        <f>IF(A21="","","("&amp;CHOOSE(WEEKDAY(A21,2),"月","火","水","木","金","土","日")&amp;"）")</f>
        <v>(月）</v>
      </c>
      <c r="D21" s="85" t="n">
        <v>900</v>
      </c>
      <c r="E21" s="36" t="inlineStr">
        <is>
          <t>～</t>
        </is>
      </c>
      <c r="F21" s="85" t="n">
        <v>1500</v>
      </c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46189</v>
      </c>
      <c r="B22" s="32">
        <f>IF(A22="","","日")</f>
        <v/>
      </c>
      <c r="C22" s="31" t="str">
        <f>IF(A22="","","("&amp;CHOOSE(WEEKDAY(A22,2),"月","火","水","木","金","土","日")&amp;"）")</f>
        <v>(火）</v>
      </c>
      <c r="D22" s="85" t="n">
        <v>900</v>
      </c>
      <c r="E22" s="36" t="inlineStr">
        <is>
          <t>～</t>
        </is>
      </c>
      <c r="F22" s="85" t="n">
        <v>1500</v>
      </c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46190</v>
      </c>
      <c r="B23" s="32">
        <f>IF(A23="","","日")</f>
        <v/>
      </c>
      <c r="C23" s="31" t="str">
        <f>IF(A23="","","("&amp;CHOOSE(WEEKDAY(A23,2),"月","火","水","木","金","土","日")&amp;"）")</f>
        <v>(水）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 t="inlineStr">
        <is>
          <t>休み</t>
        </is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46191</v>
      </c>
      <c r="B24" s="32">
        <f>IF(A24="","","日")</f>
        <v/>
      </c>
      <c r="C24" s="31" t="str">
        <f>IF(A24="","","("&amp;CHOOSE(WEEKDAY(A24,2),"月","火","水","木","金","土","日")&amp;"）")</f>
        <v>(木）</v>
      </c>
      <c r="D24" s="85" t="n">
        <v>900</v>
      </c>
      <c r="E24" s="36" t="inlineStr">
        <is>
          <t>～</t>
        </is>
      </c>
      <c r="F24" s="85" t="n">
        <v>1500</v>
      </c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46192</v>
      </c>
      <c r="B25" s="32">
        <f>IF(A25="","","日")</f>
        <v/>
      </c>
      <c r="C25" s="31" t="str">
        <f>IF(A25="","","("&amp;CHOOSE(WEEKDAY(A25,2),"月","火","水","木","金","土","日")&amp;"）")</f>
        <v>(金）</v>
      </c>
      <c r="D25" s="85" t="n">
        <v>900</v>
      </c>
      <c r="E25" s="36" t="inlineStr">
        <is>
          <t>～</t>
        </is>
      </c>
      <c r="F25" s="85" t="n">
        <v>1500</v>
      </c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46193</v>
      </c>
      <c r="B26" s="32">
        <f>IF(A26="","","日")</f>
        <v/>
      </c>
      <c r="C26" s="31" t="str">
        <f>IF(A26="","","("&amp;CHOOSE(WEEKDAY(A26,2),"月","火","水","木","金","土","日")&amp;"）")</f>
        <v>(土）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 t="inlineStr">
        <is>
          <t>休み</t>
        </is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46194</v>
      </c>
      <c r="B27" s="32">
        <f>IF(A27="","","日")</f>
        <v/>
      </c>
      <c r="C27" s="31" t="str">
        <f>IF(A27="","","("&amp;CHOOSE(WEEKDAY(A27,2),"月","火","水","木","金","土","日")&amp;"）")</f>
        <v>(日）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 t="inlineStr">
        <is>
          <t>休み</t>
        </is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46195</v>
      </c>
      <c r="B28" s="32">
        <f>IF(A28="","","日")</f>
        <v/>
      </c>
      <c r="C28" s="31" t="str">
        <f>IF(A28="","","("&amp;CHOOSE(WEEKDAY(A28,2),"月","火","水","木","金","土","日")&amp;"）")</f>
        <v>(月）</v>
      </c>
      <c r="D28" s="85" t="n">
        <v>900</v>
      </c>
      <c r="E28" s="36" t="inlineStr">
        <is>
          <t>～</t>
        </is>
      </c>
      <c r="F28" s="85" t="n">
        <v>1500</v>
      </c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46196</v>
      </c>
      <c r="B29" s="32">
        <f>IF(A29="","","日")</f>
        <v/>
      </c>
      <c r="C29" s="31" t="str">
        <f>IF(A29="","","("&amp;CHOOSE(WEEKDAY(A29,2),"月","火","水","木","金","土","日")&amp;"）")</f>
        <v>(火）</v>
      </c>
      <c r="D29" s="85" t="n">
        <v>900</v>
      </c>
      <c r="E29" s="36" t="inlineStr">
        <is>
          <t>～</t>
        </is>
      </c>
      <c r="F29" s="85" t="n">
        <v>1500</v>
      </c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46197</v>
      </c>
      <c r="B30" s="32">
        <f>IF(A30="","","日")</f>
        <v/>
      </c>
      <c r="C30" s="31" t="str">
        <f>IF(A30="","","("&amp;CHOOSE(WEEKDAY(A30,2),"月","火","水","木","金","土","日")&amp;"）")</f>
        <v>(水）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 t="inlineStr">
        <is>
          <t>休み</t>
        </is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46198</v>
      </c>
      <c r="B31" s="32">
        <f>IF(A31="","","日")</f>
        <v/>
      </c>
      <c r="C31" s="31" t="str">
        <f>IF(A31="","","("&amp;CHOOSE(WEEKDAY(A31,2),"月","火","水","木","金","土","日")&amp;"）")</f>
        <v>(木）</v>
      </c>
      <c r="D31" s="85" t="n">
        <v>900</v>
      </c>
      <c r="E31" s="36" t="inlineStr">
        <is>
          <t>～</t>
        </is>
      </c>
      <c r="F31" s="85" t="n">
        <v>1500</v>
      </c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46199</v>
      </c>
      <c r="B32" s="32">
        <f>IF(A32="","","日")</f>
        <v/>
      </c>
      <c r="C32" s="31" t="str">
        <f>IF(A32="","","("&amp;CHOOSE(WEEKDAY(A32,2),"月","火","水","木","金","土","日")&amp;"）")</f>
        <v>(金）</v>
      </c>
      <c r="D32" s="85" t="n">
        <v>900</v>
      </c>
      <c r="E32" s="36" t="inlineStr">
        <is>
          <t>～</t>
        </is>
      </c>
      <c r="F32" s="85" t="n">
        <v>1500</v>
      </c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46200</v>
      </c>
      <c r="B33" s="32">
        <f>IF(A33="","","日")</f>
        <v/>
      </c>
      <c r="C33" s="31" t="str">
        <f>IF(A33="","","("&amp;CHOOSE(WEEKDAY(A33,2),"月","火","水","木","金","土","日")&amp;"）")</f>
        <v>(土）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 t="inlineStr">
        <is>
          <t>休み</t>
        </is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46201</v>
      </c>
      <c r="B34" s="32">
        <f>IF(A34="","","日")</f>
        <v/>
      </c>
      <c r="C34" s="31" t="str">
        <f>IF(A34="","","("&amp;CHOOSE(WEEKDAY(A34,2),"月","火","水","木","金","土","日")&amp;"）")</f>
        <v>(日）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 t="inlineStr">
        <is>
          <t>休み</t>
        </is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46202</v>
      </c>
      <c r="B35" s="32">
        <f>IF(A35="","","日")</f>
        <v/>
      </c>
      <c r="C35" s="31" t="str">
        <f>IF(A35="","","("&amp;CHOOSE(WEEKDAY(A35,2),"月","火","水","木","金","土","日")&amp;"）")</f>
        <v>(月）</v>
      </c>
      <c r="D35" s="85" t="n">
        <v>900</v>
      </c>
      <c r="E35" s="36" t="inlineStr">
        <is>
          <t>～</t>
        </is>
      </c>
      <c r="F35" s="85" t="n">
        <v>1500</v>
      </c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46203</v>
      </c>
      <c r="B36" s="32">
        <f>IF(A36="","","日")</f>
        <v/>
      </c>
      <c r="C36" s="31" t="str">
        <f>IF(A36="","","("&amp;CHOOSE(WEEKDAY(A36,2),"月","火","水","木","金","土","日")&amp;"）")</f>
        <v>(火）</v>
      </c>
      <c r="D36" s="85" t="n">
        <v>900</v>
      </c>
      <c r="E36" s="36" t="inlineStr">
        <is>
          <t>～</t>
        </is>
      </c>
      <c r="F36" s="85" t="n">
        <v>1500</v>
      </c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/>
      </c>
      <c r="B37" s="33">
        <f>IF(A37="","","日")</f>
        <v/>
      </c>
      <c r="C37" s="34">
        <f>IF(A37="","","("&amp;CHOOSE(WEEKDAY(A37,2),"月","火","水","木","金","土","日")&amp;"）")</f>
        <v/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18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4.5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4.5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7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46204</v>
      </c>
      <c r="B7" s="30">
        <f>IF(A7="","","日")</f>
        <v/>
      </c>
      <c r="C7" s="31" t="str">
        <f>IF(A7="","","("&amp;CHOOSE(WEEKDAY(A7,2),"月","火","水","木","金","土","日")&amp;"）")</f>
        <v>(水）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 t="inlineStr">
        <is>
          <t>休</t>
        </is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46205</v>
      </c>
      <c r="B8" s="32">
        <f>IF(A8="","","日")</f>
        <v/>
      </c>
      <c r="C8" s="31" t="str">
        <f>IF(A8="","","("&amp;CHOOSE(WEEKDAY(A8,2),"月","火","水","木","金","土","日")&amp;"）")</f>
        <v>(木）</v>
      </c>
      <c r="D8" s="85" t="n">
        <v>900</v>
      </c>
      <c r="E8" s="36" t="inlineStr">
        <is>
          <t>～</t>
        </is>
      </c>
      <c r="F8" s="85" t="n">
        <v>1500</v>
      </c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46206</v>
      </c>
      <c r="B9" s="32">
        <f>IF(A9="","","日")</f>
        <v/>
      </c>
      <c r="C9" s="31" t="str">
        <f>IF(A9="","","("&amp;CHOOSE(WEEKDAY(A9,2),"月","火","水","木","金","土","日")&amp;"）")</f>
        <v>(金）</v>
      </c>
      <c r="D9" s="85" t="n">
        <v>900</v>
      </c>
      <c r="E9" s="36" t="inlineStr">
        <is>
          <t>～</t>
        </is>
      </c>
      <c r="F9" s="85" t="n">
        <v>1500</v>
      </c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46207</v>
      </c>
      <c r="B10" s="32">
        <f>IF(A10="","","日")</f>
        <v/>
      </c>
      <c r="C10" s="31" t="str">
        <f>IF(A10="","","("&amp;CHOOSE(WEEKDAY(A10,2),"月","火","水","木","金","土","日")&amp;"）")</f>
        <v>(土）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 t="inlineStr">
        <is>
          <t>休</t>
        </is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46208</v>
      </c>
      <c r="B11" s="32">
        <f>IF(A11="","","日")</f>
        <v/>
      </c>
      <c r="C11" s="31" t="str">
        <f>IF(A11="","","("&amp;CHOOSE(WEEKDAY(A11,2),"月","火","水","木","金","土","日")&amp;"）")</f>
        <v>(日）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 t="inlineStr">
        <is>
          <t>休</t>
        </is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46209</v>
      </c>
      <c r="B12" s="32">
        <f>IF(A12="","","日")</f>
        <v/>
      </c>
      <c r="C12" s="31" t="str">
        <f>IF(A12="","","("&amp;CHOOSE(WEEKDAY(A12,2),"月","火","水","木","金","土","日")&amp;"）")</f>
        <v>(月）</v>
      </c>
      <c r="D12" s="85" t="n">
        <v>900</v>
      </c>
      <c r="E12" s="36" t="inlineStr">
        <is>
          <t>～</t>
        </is>
      </c>
      <c r="F12" s="85" t="n">
        <v>1500</v>
      </c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46210</v>
      </c>
      <c r="B13" s="32">
        <f>IF(A13="","","日")</f>
        <v/>
      </c>
      <c r="C13" s="31" t="str">
        <f>IF(A13="","","("&amp;CHOOSE(WEEKDAY(A13,2),"月","火","水","木","金","土","日")&amp;"）")</f>
        <v>(火）</v>
      </c>
      <c r="D13" s="85" t="n">
        <v>900</v>
      </c>
      <c r="E13" s="36" t="inlineStr">
        <is>
          <t>～</t>
        </is>
      </c>
      <c r="F13" s="85" t="n">
        <v>1500</v>
      </c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46211</v>
      </c>
      <c r="B14" s="32">
        <f>IF(A14="","","日")</f>
        <v/>
      </c>
      <c r="C14" s="31" t="str">
        <f>IF(A14="","","("&amp;CHOOSE(WEEKDAY(A14,2),"月","火","水","木","金","土","日")&amp;"）")</f>
        <v>(水）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 t="inlineStr">
        <is>
          <t>休</t>
        </is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46212</v>
      </c>
      <c r="B15" s="32">
        <f>IF(A15="","","日")</f>
        <v/>
      </c>
      <c r="C15" s="31" t="str">
        <f>IF(A15="","","("&amp;CHOOSE(WEEKDAY(A15,2),"月","火","水","木","金","土","日")&amp;"）")</f>
        <v>(木）</v>
      </c>
      <c r="D15" s="85" t="n">
        <v>900</v>
      </c>
      <c r="E15" s="36" t="inlineStr">
        <is>
          <t>～</t>
        </is>
      </c>
      <c r="F15" s="85" t="n">
        <v>1500</v>
      </c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46213</v>
      </c>
      <c r="B16" s="32">
        <f>IF(A16="","","日")</f>
        <v/>
      </c>
      <c r="C16" s="31" t="str">
        <f>IF(A16="","","("&amp;CHOOSE(WEEKDAY(A16,2),"月","火","水","木","金","土","日")&amp;"）")</f>
        <v>(金）</v>
      </c>
      <c r="D16" s="85" t="n">
        <v>900</v>
      </c>
      <c r="E16" s="36" t="inlineStr">
        <is>
          <t>～</t>
        </is>
      </c>
      <c r="F16" s="85" t="n">
        <v>1500</v>
      </c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46214</v>
      </c>
      <c r="B17" s="32">
        <f>IF(A17="","","日")</f>
        <v/>
      </c>
      <c r="C17" s="31" t="str">
        <f>IF(A17="","","("&amp;CHOOSE(WEEKDAY(A17,2),"月","火","水","木","金","土","日")&amp;"）")</f>
        <v>(土）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 t="inlineStr">
        <is>
          <t>休</t>
        </is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46215</v>
      </c>
      <c r="B18" s="32">
        <f>IF(A18="","","日")</f>
        <v/>
      </c>
      <c r="C18" s="31" t="str">
        <f>IF(A18="","","("&amp;CHOOSE(WEEKDAY(A18,2),"月","火","水","木","金","土","日")&amp;"）")</f>
        <v>(日）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 t="inlineStr">
        <is>
          <t>休</t>
        </is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46216</v>
      </c>
      <c r="B19" s="32">
        <f>IF(A19="","","日")</f>
        <v/>
      </c>
      <c r="C19" s="31" t="str">
        <f>IF(A19="","","("&amp;CHOOSE(WEEKDAY(A19,2),"月","火","水","木","金","土","日")&amp;"）")</f>
        <v>(月）</v>
      </c>
      <c r="D19" s="85" t="n">
        <v>900</v>
      </c>
      <c r="E19" s="36" t="inlineStr">
        <is>
          <t>～</t>
        </is>
      </c>
      <c r="F19" s="85" t="n">
        <v>1500</v>
      </c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46217</v>
      </c>
      <c r="B20" s="32">
        <f>IF(A20="","","日")</f>
        <v/>
      </c>
      <c r="C20" s="31" t="str">
        <f>IF(A20="","","("&amp;CHOOSE(WEEKDAY(A20,2),"月","火","水","木","金","土","日")&amp;"）")</f>
        <v>(火）</v>
      </c>
      <c r="D20" s="85" t="n">
        <v>900</v>
      </c>
      <c r="E20" s="36" t="inlineStr">
        <is>
          <t>～</t>
        </is>
      </c>
      <c r="F20" s="85" t="n">
        <v>1500</v>
      </c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46218</v>
      </c>
      <c r="B21" s="32">
        <f>IF(A21="","","日")</f>
        <v/>
      </c>
      <c r="C21" s="31" t="str">
        <f>IF(A21="","","("&amp;CHOOSE(WEEKDAY(A21,2),"月","火","水","木","金","土","日")&amp;"）")</f>
        <v>(水）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 t="inlineStr">
        <is>
          <t>休</t>
        </is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46219</v>
      </c>
      <c r="B22" s="32">
        <f>IF(A22="","","日")</f>
        <v/>
      </c>
      <c r="C22" s="31" t="str">
        <f>IF(A22="","","("&amp;CHOOSE(WEEKDAY(A22,2),"月","火","水","木","金","土","日")&amp;"）")</f>
        <v>(木）</v>
      </c>
      <c r="D22" s="85" t="n">
        <v>900</v>
      </c>
      <c r="E22" s="36" t="inlineStr">
        <is>
          <t>～</t>
        </is>
      </c>
      <c r="F22" s="85" t="n">
        <v>1500</v>
      </c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46220</v>
      </c>
      <c r="B23" s="32">
        <f>IF(A23="","","日")</f>
        <v/>
      </c>
      <c r="C23" s="31" t="str">
        <f>IF(A23="","","("&amp;CHOOSE(WEEKDAY(A23,2),"月","火","水","木","金","土","日")&amp;"）")</f>
        <v>(金）</v>
      </c>
      <c r="D23" s="85" t="n">
        <v>900</v>
      </c>
      <c r="E23" s="36" t="inlineStr">
        <is>
          <t>～</t>
        </is>
      </c>
      <c r="F23" s="85" t="n">
        <v>1500</v>
      </c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46221</v>
      </c>
      <c r="B24" s="32">
        <f>IF(A24="","","日")</f>
        <v/>
      </c>
      <c r="C24" s="31" t="str">
        <f>IF(A24="","","("&amp;CHOOSE(WEEKDAY(A24,2),"月","火","水","木","金","土","日")&amp;"）")</f>
        <v>(土）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 t="inlineStr">
        <is>
          <t>休</t>
        </is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46222</v>
      </c>
      <c r="B25" s="32">
        <f>IF(A25="","","日")</f>
        <v/>
      </c>
      <c r="C25" s="31" t="str">
        <f>IF(A25="","","("&amp;CHOOSE(WEEKDAY(A25,2),"月","火","水","木","金","土","日")&amp;"）")</f>
        <v>(日）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 t="inlineStr">
        <is>
          <t>休</t>
        </is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46223</v>
      </c>
      <c r="B26" s="32">
        <f>IF(A26="","","日")</f>
        <v/>
      </c>
      <c r="C26" s="31" t="str">
        <f>IF(A26="","","("&amp;CHOOSE(WEEKDAY(A26,2),"月","火","水","木","金","土","日")&amp;"）")</f>
        <v>(月）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 t="inlineStr">
        <is>
          <t>休</t>
        </is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46224</v>
      </c>
      <c r="B27" s="32">
        <f>IF(A27="","","日")</f>
        <v/>
      </c>
      <c r="C27" s="31" t="str">
        <f>IF(A27="","","("&amp;CHOOSE(WEEKDAY(A27,2),"月","火","水","木","金","土","日")&amp;"）")</f>
        <v>(火）</v>
      </c>
      <c r="D27" s="85" t="n">
        <v>900</v>
      </c>
      <c r="E27" s="36" t="inlineStr">
        <is>
          <t>～</t>
        </is>
      </c>
      <c r="F27" s="85" t="n">
        <v>1500</v>
      </c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46225</v>
      </c>
      <c r="B28" s="32">
        <f>IF(A28="","","日")</f>
        <v/>
      </c>
      <c r="C28" s="31" t="str">
        <f>IF(A28="","","("&amp;CHOOSE(WEEKDAY(A28,2),"月","火","水","木","金","土","日")&amp;"）")</f>
        <v>(水）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 t="inlineStr">
        <is>
          <t>休</t>
        </is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46226</v>
      </c>
      <c r="B29" s="32">
        <f>IF(A29="","","日")</f>
        <v/>
      </c>
      <c r="C29" s="31" t="str">
        <f>IF(A29="","","("&amp;CHOOSE(WEEKDAY(A29,2),"月","火","水","木","金","土","日")&amp;"）")</f>
        <v>(木）</v>
      </c>
      <c r="D29" s="85" t="n">
        <v>900</v>
      </c>
      <c r="E29" s="36" t="inlineStr">
        <is>
          <t>～</t>
        </is>
      </c>
      <c r="F29" s="85" t="n">
        <v>1500</v>
      </c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46227</v>
      </c>
      <c r="B30" s="32">
        <f>IF(A30="","","日")</f>
        <v/>
      </c>
      <c r="C30" s="31" t="str">
        <f>IF(A30="","","("&amp;CHOOSE(WEEKDAY(A30,2),"月","火","水","木","金","土","日")&amp;"）")</f>
        <v>(金）</v>
      </c>
      <c r="D30" s="85" t="n">
        <v>900</v>
      </c>
      <c r="E30" s="36" t="inlineStr">
        <is>
          <t>～</t>
        </is>
      </c>
      <c r="F30" s="85" t="n">
        <v>1500</v>
      </c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46228</v>
      </c>
      <c r="B31" s="32">
        <f>IF(A31="","","日")</f>
        <v/>
      </c>
      <c r="C31" s="31" t="str">
        <f>IF(A31="","","("&amp;CHOOSE(WEEKDAY(A31,2),"月","火","水","木","金","土","日")&amp;"）")</f>
        <v>(土）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 t="inlineStr">
        <is>
          <t>休</t>
        </is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46229</v>
      </c>
      <c r="B32" s="32">
        <f>IF(A32="","","日")</f>
        <v/>
      </c>
      <c r="C32" s="31" t="str">
        <f>IF(A32="","","("&amp;CHOOSE(WEEKDAY(A32,2),"月","火","水","木","金","土","日")&amp;"）")</f>
        <v>(日）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 t="inlineStr">
        <is>
          <t>休</t>
        </is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46230</v>
      </c>
      <c r="B33" s="32">
        <f>IF(A33="","","日")</f>
        <v/>
      </c>
      <c r="C33" s="31" t="str">
        <f>IF(A33="","","("&amp;CHOOSE(WEEKDAY(A33,2),"月","火","水","木","金","土","日")&amp;"）")</f>
        <v>(月）</v>
      </c>
      <c r="D33" s="85" t="n">
        <v>900</v>
      </c>
      <c r="E33" s="36" t="inlineStr">
        <is>
          <t>～</t>
        </is>
      </c>
      <c r="F33" s="85" t="n">
        <v>1500</v>
      </c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46231</v>
      </c>
      <c r="B34" s="32">
        <f>IF(A34="","","日")</f>
        <v/>
      </c>
      <c r="C34" s="31" t="str">
        <f>IF(A34="","","("&amp;CHOOSE(WEEKDAY(A34,2),"月","火","水","木","金","土","日")&amp;"）")</f>
        <v>(火）</v>
      </c>
      <c r="D34" s="85" t="n">
        <v>900</v>
      </c>
      <c r="E34" s="36" t="inlineStr">
        <is>
          <t>～</t>
        </is>
      </c>
      <c r="F34" s="85" t="n">
        <v>1500</v>
      </c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46232</v>
      </c>
      <c r="B35" s="32">
        <f>IF(A35="","","日")</f>
        <v/>
      </c>
      <c r="C35" s="31" t="str">
        <f>IF(A35="","","("&amp;CHOOSE(WEEKDAY(A35,2),"月","火","水","木","金","土","日")&amp;"）")</f>
        <v>(水）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 t="inlineStr">
        <is>
          <t>休</t>
        </is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46233</v>
      </c>
      <c r="B36" s="32">
        <f>IF(A36="","","日")</f>
        <v/>
      </c>
      <c r="C36" s="31" t="str">
        <f>IF(A36="","","("&amp;CHOOSE(WEEKDAY(A36,2),"月","火","水","木","金","土","日")&amp;"）")</f>
        <v>(木）</v>
      </c>
      <c r="D36" s="85" t="n">
        <v>900</v>
      </c>
      <c r="E36" s="36" t="inlineStr">
        <is>
          <t>～</t>
        </is>
      </c>
      <c r="F36" s="85" t="n">
        <v>1500</v>
      </c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46234</v>
      </c>
      <c r="B37" s="33">
        <f>IF(A37="","","日")</f>
        <v/>
      </c>
      <c r="C37" s="34" t="str">
        <f>IF(A37="","","("&amp;CHOOSE(WEEKDAY(A37,2),"月","火","水","木","金","土","日")&amp;"）")</f>
        <v>(金）</v>
      </c>
      <c r="D37" s="88" t="n">
        <v>900</v>
      </c>
      <c r="E37" s="37" t="inlineStr">
        <is>
          <t>～</t>
        </is>
      </c>
      <c r="F37" s="88" t="n">
        <v>1500</v>
      </c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17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4.25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4.25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8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46235</v>
      </c>
      <c r="B7" s="30">
        <f>IF(A7="","","日")</f>
        <v/>
      </c>
      <c r="C7" s="31" t="str">
        <f>IF(A7="","","("&amp;CHOOSE(WEEKDAY(A7,2),"月","火","水","木","金","土","日")&amp;"）")</f>
        <v>(土）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46236</v>
      </c>
      <c r="B8" s="32">
        <f>IF(A8="","","日")</f>
        <v/>
      </c>
      <c r="C8" s="31" t="str">
        <f>IF(A8="","","("&amp;CHOOSE(WEEKDAY(A8,2),"月","火","水","木","金","土","日")&amp;"）")</f>
        <v>(日）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46237</v>
      </c>
      <c r="B9" s="32">
        <f>IF(A9="","","日")</f>
        <v/>
      </c>
      <c r="C9" s="31" t="str">
        <f>IF(A9="","","("&amp;CHOOSE(WEEKDAY(A9,2),"月","火","水","木","金","土","日")&amp;"）")</f>
        <v>(月）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46238</v>
      </c>
      <c r="B10" s="32">
        <f>IF(A10="","","日")</f>
        <v/>
      </c>
      <c r="C10" s="31" t="str">
        <f>IF(A10="","","("&amp;CHOOSE(WEEKDAY(A10,2),"月","火","水","木","金","土","日")&amp;"）")</f>
        <v>(火）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46239</v>
      </c>
      <c r="B11" s="32">
        <f>IF(A11="","","日")</f>
        <v/>
      </c>
      <c r="C11" s="31" t="str">
        <f>IF(A11="","","("&amp;CHOOSE(WEEKDAY(A11,2),"月","火","水","木","金","土","日")&amp;"）")</f>
        <v>(水）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46240</v>
      </c>
      <c r="B12" s="32">
        <f>IF(A12="","","日")</f>
        <v/>
      </c>
      <c r="C12" s="31" t="str">
        <f>IF(A12="","","("&amp;CHOOSE(WEEKDAY(A12,2),"月","火","水","木","金","土","日")&amp;"）")</f>
        <v>(木）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46241</v>
      </c>
      <c r="B13" s="32">
        <f>IF(A13="","","日")</f>
        <v/>
      </c>
      <c r="C13" s="31" t="str">
        <f>IF(A13="","","("&amp;CHOOSE(WEEKDAY(A13,2),"月","火","水","木","金","土","日")&amp;"）")</f>
        <v>(金）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46242</v>
      </c>
      <c r="B14" s="32">
        <f>IF(A14="","","日")</f>
        <v/>
      </c>
      <c r="C14" s="31" t="str">
        <f>IF(A14="","","("&amp;CHOOSE(WEEKDAY(A14,2),"月","火","水","木","金","土","日")&amp;"）")</f>
        <v>(土）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46243</v>
      </c>
      <c r="B15" s="32">
        <f>IF(A15="","","日")</f>
        <v/>
      </c>
      <c r="C15" s="31" t="str">
        <f>IF(A15="","","("&amp;CHOOSE(WEEKDAY(A15,2),"月","火","水","木","金","土","日")&amp;"）")</f>
        <v>(日）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46244</v>
      </c>
      <c r="B16" s="32">
        <f>IF(A16="","","日")</f>
        <v/>
      </c>
      <c r="C16" s="31" t="str">
        <f>IF(A16="","","("&amp;CHOOSE(WEEKDAY(A16,2),"月","火","水","木","金","土","日")&amp;"）")</f>
        <v>(月）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46245</v>
      </c>
      <c r="B17" s="32">
        <f>IF(A17="","","日")</f>
        <v/>
      </c>
      <c r="C17" s="31" t="str">
        <f>IF(A17="","","("&amp;CHOOSE(WEEKDAY(A17,2),"月","火","水","木","金","土","日")&amp;"）")</f>
        <v>(火）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 t="str">
        <f>IF($A17="","",IFERROR(VLOOKUP($A17,祝日リスト!$A$2:$C$40,3,0),""))</f>
        <v>山の日</v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46246</v>
      </c>
      <c r="B18" s="32">
        <f>IF(A18="","","日")</f>
        <v/>
      </c>
      <c r="C18" s="31" t="str">
        <f>IF(A18="","","("&amp;CHOOSE(WEEKDAY(A18,2),"月","火","水","木","金","土","日")&amp;"）")</f>
        <v>(水）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46247</v>
      </c>
      <c r="B19" s="32">
        <f>IF(A19="","","日")</f>
        <v/>
      </c>
      <c r="C19" s="31" t="str">
        <f>IF(A19="","","("&amp;CHOOSE(WEEKDAY(A19,2),"月","火","水","木","金","土","日")&amp;"）")</f>
        <v>(木）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46248</v>
      </c>
      <c r="B20" s="32">
        <f>IF(A20="","","日")</f>
        <v/>
      </c>
      <c r="C20" s="31" t="str">
        <f>IF(A20="","","("&amp;CHOOSE(WEEKDAY(A20,2),"月","火","水","木","金","土","日")&amp;"）")</f>
        <v>(金）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46249</v>
      </c>
      <c r="B21" s="32">
        <f>IF(A21="","","日")</f>
        <v/>
      </c>
      <c r="C21" s="31" t="str">
        <f>IF(A21="","","("&amp;CHOOSE(WEEKDAY(A21,2),"月","火","水","木","金","土","日")&amp;"）")</f>
        <v>(土）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46250</v>
      </c>
      <c r="B22" s="32">
        <f>IF(A22="","","日")</f>
        <v/>
      </c>
      <c r="C22" s="31" t="str">
        <f>IF(A22="","","("&amp;CHOOSE(WEEKDAY(A22,2),"月","火","水","木","金","土","日")&amp;"）")</f>
        <v>(日）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46251</v>
      </c>
      <c r="B23" s="32">
        <f>IF(A23="","","日")</f>
        <v/>
      </c>
      <c r="C23" s="31" t="str">
        <f>IF(A23="","","("&amp;CHOOSE(WEEKDAY(A23,2),"月","火","水","木","金","土","日")&amp;"）")</f>
        <v>(月）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46252</v>
      </c>
      <c r="B24" s="32">
        <f>IF(A24="","","日")</f>
        <v/>
      </c>
      <c r="C24" s="31" t="str">
        <f>IF(A24="","","("&amp;CHOOSE(WEEKDAY(A24,2),"月","火","水","木","金","土","日")&amp;"）")</f>
        <v>(火）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46253</v>
      </c>
      <c r="B25" s="32">
        <f>IF(A25="","","日")</f>
        <v/>
      </c>
      <c r="C25" s="31" t="str">
        <f>IF(A25="","","("&amp;CHOOSE(WEEKDAY(A25,2),"月","火","水","木","金","土","日")&amp;"）")</f>
        <v>(水）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46254</v>
      </c>
      <c r="B26" s="32">
        <f>IF(A26="","","日")</f>
        <v/>
      </c>
      <c r="C26" s="31" t="str">
        <f>IF(A26="","","("&amp;CHOOSE(WEEKDAY(A26,2),"月","火","水","木","金","土","日")&amp;"）")</f>
        <v>(木）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46255</v>
      </c>
      <c r="B27" s="32">
        <f>IF(A27="","","日")</f>
        <v/>
      </c>
      <c r="C27" s="31" t="str">
        <f>IF(A27="","","("&amp;CHOOSE(WEEKDAY(A27,2),"月","火","水","木","金","土","日")&amp;"）")</f>
        <v>(金）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46256</v>
      </c>
      <c r="B28" s="32">
        <f>IF(A28="","","日")</f>
        <v/>
      </c>
      <c r="C28" s="31" t="str">
        <f>IF(A28="","","("&amp;CHOOSE(WEEKDAY(A28,2),"月","火","水","木","金","土","日")&amp;"）")</f>
        <v>(土）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46257</v>
      </c>
      <c r="B29" s="32">
        <f>IF(A29="","","日")</f>
        <v/>
      </c>
      <c r="C29" s="31" t="str">
        <f>IF(A29="","","("&amp;CHOOSE(WEEKDAY(A29,2),"月","火","水","木","金","土","日")&amp;"）")</f>
        <v>(日）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46258</v>
      </c>
      <c r="B30" s="32">
        <f>IF(A30="","","日")</f>
        <v/>
      </c>
      <c r="C30" s="31" t="str">
        <f>IF(A30="","","("&amp;CHOOSE(WEEKDAY(A30,2),"月","火","水","木","金","土","日")&amp;"）")</f>
        <v>(月）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46259</v>
      </c>
      <c r="B31" s="32">
        <f>IF(A31="","","日")</f>
        <v/>
      </c>
      <c r="C31" s="31" t="str">
        <f>IF(A31="","","("&amp;CHOOSE(WEEKDAY(A31,2),"月","火","水","木","金","土","日")&amp;"）")</f>
        <v>(火）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46260</v>
      </c>
      <c r="B32" s="32">
        <f>IF(A32="","","日")</f>
        <v/>
      </c>
      <c r="C32" s="31" t="str">
        <f>IF(A32="","","("&amp;CHOOSE(WEEKDAY(A32,2),"月","火","水","木","金","土","日")&amp;"）")</f>
        <v>(水）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46261</v>
      </c>
      <c r="B33" s="32">
        <f>IF(A33="","","日")</f>
        <v/>
      </c>
      <c r="C33" s="31" t="str">
        <f>IF(A33="","","("&amp;CHOOSE(WEEKDAY(A33,2),"月","火","水","木","金","土","日")&amp;"）")</f>
        <v>(木）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46262</v>
      </c>
      <c r="B34" s="32">
        <f>IF(A34="","","日")</f>
        <v/>
      </c>
      <c r="C34" s="31" t="str">
        <f>IF(A34="","","("&amp;CHOOSE(WEEKDAY(A34,2),"月","火","水","木","金","土","日")&amp;"）")</f>
        <v>(金）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46263</v>
      </c>
      <c r="B35" s="32">
        <f>IF(A35="","","日")</f>
        <v/>
      </c>
      <c r="C35" s="31" t="str">
        <f>IF(A35="","","("&amp;CHOOSE(WEEKDAY(A35,2),"月","火","水","木","金","土","日")&amp;"）")</f>
        <v>(土）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46264</v>
      </c>
      <c r="B36" s="32">
        <f>IF(A36="","","日")</f>
        <v/>
      </c>
      <c r="C36" s="31" t="str">
        <f>IF(A36="","","("&amp;CHOOSE(WEEKDAY(A36,2),"月","火","水","木","金","土","日")&amp;"）")</f>
        <v>(日）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46265</v>
      </c>
      <c r="B37" s="33">
        <f>IF(A37="","","日")</f>
        <v/>
      </c>
      <c r="C37" s="34" t="str">
        <f>IF(A37="","","("&amp;CHOOSE(WEEKDAY(A37,2),"月","火","水","木","金","土","日")&amp;"）")</f>
        <v>(月）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9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46266</v>
      </c>
      <c r="B7" s="30">
        <f>IF(A7="","","日")</f>
        <v/>
      </c>
      <c r="C7" s="31" t="str">
        <f>IF(A7="","","("&amp;CHOOSE(WEEKDAY(A7,2),"月","火","水","木","金","土","日")&amp;"）")</f>
        <v>(火）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46267</v>
      </c>
      <c r="B8" s="32">
        <f>IF(A8="","","日")</f>
        <v/>
      </c>
      <c r="C8" s="31" t="str">
        <f>IF(A8="","","("&amp;CHOOSE(WEEKDAY(A8,2),"月","火","水","木","金","土","日")&amp;"）")</f>
        <v>(水）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46268</v>
      </c>
      <c r="B9" s="32">
        <f>IF(A9="","","日")</f>
        <v/>
      </c>
      <c r="C9" s="31" t="str">
        <f>IF(A9="","","("&amp;CHOOSE(WEEKDAY(A9,2),"月","火","水","木","金","土","日")&amp;"）")</f>
        <v>(木）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46269</v>
      </c>
      <c r="B10" s="32">
        <f>IF(A10="","","日")</f>
        <v/>
      </c>
      <c r="C10" s="31" t="str">
        <f>IF(A10="","","("&amp;CHOOSE(WEEKDAY(A10,2),"月","火","水","木","金","土","日")&amp;"）")</f>
        <v>(金）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46270</v>
      </c>
      <c r="B11" s="32">
        <f>IF(A11="","","日")</f>
        <v/>
      </c>
      <c r="C11" s="31" t="str">
        <f>IF(A11="","","("&amp;CHOOSE(WEEKDAY(A11,2),"月","火","水","木","金","土","日")&amp;"）")</f>
        <v>(土）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46271</v>
      </c>
      <c r="B12" s="32">
        <f>IF(A12="","","日")</f>
        <v/>
      </c>
      <c r="C12" s="31" t="str">
        <f>IF(A12="","","("&amp;CHOOSE(WEEKDAY(A12,2),"月","火","水","木","金","土","日")&amp;"）")</f>
        <v>(日）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46272</v>
      </c>
      <c r="B13" s="32">
        <f>IF(A13="","","日")</f>
        <v/>
      </c>
      <c r="C13" s="31" t="str">
        <f>IF(A13="","","("&amp;CHOOSE(WEEKDAY(A13,2),"月","火","水","木","金","土","日")&amp;"）")</f>
        <v>(月）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46273</v>
      </c>
      <c r="B14" s="32">
        <f>IF(A14="","","日")</f>
        <v/>
      </c>
      <c r="C14" s="31" t="str">
        <f>IF(A14="","","("&amp;CHOOSE(WEEKDAY(A14,2),"月","火","水","木","金","土","日")&amp;"）")</f>
        <v>(火）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46274</v>
      </c>
      <c r="B15" s="32">
        <f>IF(A15="","","日")</f>
        <v/>
      </c>
      <c r="C15" s="31" t="str">
        <f>IF(A15="","","("&amp;CHOOSE(WEEKDAY(A15,2),"月","火","水","木","金","土","日")&amp;"）")</f>
        <v>(水）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46275</v>
      </c>
      <c r="B16" s="32">
        <f>IF(A16="","","日")</f>
        <v/>
      </c>
      <c r="C16" s="31" t="str">
        <f>IF(A16="","","("&amp;CHOOSE(WEEKDAY(A16,2),"月","火","水","木","金","土","日")&amp;"）")</f>
        <v>(木）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46276</v>
      </c>
      <c r="B17" s="32">
        <f>IF(A17="","","日")</f>
        <v/>
      </c>
      <c r="C17" s="31" t="str">
        <f>IF(A17="","","("&amp;CHOOSE(WEEKDAY(A17,2),"月","火","水","木","金","土","日")&amp;"）")</f>
        <v>(金）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46277</v>
      </c>
      <c r="B18" s="32">
        <f>IF(A18="","","日")</f>
        <v/>
      </c>
      <c r="C18" s="31" t="str">
        <f>IF(A18="","","("&amp;CHOOSE(WEEKDAY(A18,2),"月","火","水","木","金","土","日")&amp;"）")</f>
        <v>(土）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46278</v>
      </c>
      <c r="B19" s="32">
        <f>IF(A19="","","日")</f>
        <v/>
      </c>
      <c r="C19" s="31" t="str">
        <f>IF(A19="","","("&amp;CHOOSE(WEEKDAY(A19,2),"月","火","水","木","金","土","日")&amp;"）")</f>
        <v>(日）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46279</v>
      </c>
      <c r="B20" s="32">
        <f>IF(A20="","","日")</f>
        <v/>
      </c>
      <c r="C20" s="31" t="str">
        <f>IF(A20="","","("&amp;CHOOSE(WEEKDAY(A20,2),"月","火","水","木","金","土","日")&amp;"）")</f>
        <v>(月）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46280</v>
      </c>
      <c r="B21" s="32">
        <f>IF(A21="","","日")</f>
        <v/>
      </c>
      <c r="C21" s="31" t="str">
        <f>IF(A21="","","("&amp;CHOOSE(WEEKDAY(A21,2),"月","火","水","木","金","土","日")&amp;"）")</f>
        <v>(火）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46281</v>
      </c>
      <c r="B22" s="32">
        <f>IF(A22="","","日")</f>
        <v/>
      </c>
      <c r="C22" s="31" t="str">
        <f>IF(A22="","","("&amp;CHOOSE(WEEKDAY(A22,2),"月","火","水","木","金","土","日")&amp;"）")</f>
        <v>(水）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46282</v>
      </c>
      <c r="B23" s="32">
        <f>IF(A23="","","日")</f>
        <v/>
      </c>
      <c r="C23" s="31" t="str">
        <f>IF(A23="","","("&amp;CHOOSE(WEEKDAY(A23,2),"月","火","水","木","金","土","日")&amp;"）")</f>
        <v>(木）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46283</v>
      </c>
      <c r="B24" s="32">
        <f>IF(A24="","","日")</f>
        <v/>
      </c>
      <c r="C24" s="31" t="str">
        <f>IF(A24="","","("&amp;CHOOSE(WEEKDAY(A24,2),"月","火","水","木","金","土","日")&amp;"）")</f>
        <v>(金）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46284</v>
      </c>
      <c r="B25" s="32">
        <f>IF(A25="","","日")</f>
        <v/>
      </c>
      <c r="C25" s="31" t="str">
        <f>IF(A25="","","("&amp;CHOOSE(WEEKDAY(A25,2),"月","火","水","木","金","土","日")&amp;"）")</f>
        <v>(土）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46285</v>
      </c>
      <c r="B26" s="32">
        <f>IF(A26="","","日")</f>
        <v/>
      </c>
      <c r="C26" s="31" t="str">
        <f>IF(A26="","","("&amp;CHOOSE(WEEKDAY(A26,2),"月","火","水","木","金","土","日")&amp;"）")</f>
        <v>(日）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46286</v>
      </c>
      <c r="B27" s="32">
        <f>IF(A27="","","日")</f>
        <v/>
      </c>
      <c r="C27" s="31" t="str">
        <f>IF(A27="","","("&amp;CHOOSE(WEEKDAY(A27,2),"月","火","水","木","金","土","日")&amp;"）")</f>
        <v>(月）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 t="str">
        <f>IF($A27="","",IFERROR(VLOOKUP($A27,祝日リスト!$A$2:$C$40,3,0),""))</f>
        <v>敬老の日</v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46287</v>
      </c>
      <c r="B28" s="32">
        <f>IF(A28="","","日")</f>
        <v/>
      </c>
      <c r="C28" s="31" t="str">
        <f>IF(A28="","","("&amp;CHOOSE(WEEKDAY(A28,2),"月","火","水","木","金","土","日")&amp;"）")</f>
        <v>(火）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 t="str">
        <f>IF($A28="","",IFERROR(VLOOKUP($A28,祝日リスト!$A$2:$C$40,3,0),""))</f>
        <v>国民の休日</v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46288</v>
      </c>
      <c r="B29" s="32">
        <f>IF(A29="","","日")</f>
        <v/>
      </c>
      <c r="C29" s="31" t="str">
        <f>IF(A29="","","("&amp;CHOOSE(WEEKDAY(A29,2),"月","火","水","木","金","土","日")&amp;"）")</f>
        <v>(水）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 t="str">
        <f>IF($A29="","",IFERROR(VLOOKUP($A29,祝日リスト!$A$2:$C$40,3,0),""))</f>
        <v>秋分の日</v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46289</v>
      </c>
      <c r="B30" s="32">
        <f>IF(A30="","","日")</f>
        <v/>
      </c>
      <c r="C30" s="31" t="str">
        <f>IF(A30="","","("&amp;CHOOSE(WEEKDAY(A30,2),"月","火","水","木","金","土","日")&amp;"）")</f>
        <v>(木）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46290</v>
      </c>
      <c r="B31" s="32">
        <f>IF(A31="","","日")</f>
        <v/>
      </c>
      <c r="C31" s="31" t="str">
        <f>IF(A31="","","("&amp;CHOOSE(WEEKDAY(A31,2),"月","火","水","木","金","土","日")&amp;"）")</f>
        <v>(金）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46291</v>
      </c>
      <c r="B32" s="32">
        <f>IF(A32="","","日")</f>
        <v/>
      </c>
      <c r="C32" s="31" t="str">
        <f>IF(A32="","","("&amp;CHOOSE(WEEKDAY(A32,2),"月","火","水","木","金","土","日")&amp;"）")</f>
        <v>(土）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46292</v>
      </c>
      <c r="B33" s="32">
        <f>IF(A33="","","日")</f>
        <v/>
      </c>
      <c r="C33" s="31" t="str">
        <f>IF(A33="","","("&amp;CHOOSE(WEEKDAY(A33,2),"月","火","水","木","金","土","日")&amp;"）")</f>
        <v>(日）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46293</v>
      </c>
      <c r="B34" s="32">
        <f>IF(A34="","","日")</f>
        <v/>
      </c>
      <c r="C34" s="31" t="str">
        <f>IF(A34="","","("&amp;CHOOSE(WEEKDAY(A34,2),"月","火","水","木","金","土","日")&amp;"）")</f>
        <v>(月）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46294</v>
      </c>
      <c r="B35" s="32">
        <f>IF(A35="","","日")</f>
        <v/>
      </c>
      <c r="C35" s="31" t="str">
        <f>IF(A35="","","("&amp;CHOOSE(WEEKDAY(A35,2),"月","火","水","木","金","土","日")&amp;"）")</f>
        <v>(火）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46295</v>
      </c>
      <c r="B36" s="32">
        <f>IF(A36="","","日")</f>
        <v/>
      </c>
      <c r="C36" s="31" t="str">
        <f>IF(A36="","","("&amp;CHOOSE(WEEKDAY(A36,2),"月","火","水","木","金","土","日")&amp;"）")</f>
        <v>(水）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/>
      </c>
      <c r="B37" s="33">
        <f>IF(A37="","","日")</f>
        <v/>
      </c>
      <c r="C37" s="34">
        <f>IF(A37="","","("&amp;CHOOSE(WEEKDAY(A37,2),"月","火","水","木","金","土","日")&amp;"）")</f>
        <v/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10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46296</v>
      </c>
      <c r="B7" s="30">
        <f>IF(A7="","","日")</f>
        <v/>
      </c>
      <c r="C7" s="31" t="str">
        <f>IF(A7="","","("&amp;CHOOSE(WEEKDAY(A7,2),"月","火","水","木","金","土","日")&amp;"）")</f>
        <v>(木）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46297</v>
      </c>
      <c r="B8" s="32">
        <f>IF(A8="","","日")</f>
        <v/>
      </c>
      <c r="C8" s="31" t="str">
        <f>IF(A8="","","("&amp;CHOOSE(WEEKDAY(A8,2),"月","火","水","木","金","土","日")&amp;"）")</f>
        <v>(金）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46298</v>
      </c>
      <c r="B9" s="32">
        <f>IF(A9="","","日")</f>
        <v/>
      </c>
      <c r="C9" s="31" t="str">
        <f>IF(A9="","","("&amp;CHOOSE(WEEKDAY(A9,2),"月","火","水","木","金","土","日")&amp;"）")</f>
        <v>(土）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46299</v>
      </c>
      <c r="B10" s="32">
        <f>IF(A10="","","日")</f>
        <v/>
      </c>
      <c r="C10" s="31" t="str">
        <f>IF(A10="","","("&amp;CHOOSE(WEEKDAY(A10,2),"月","火","水","木","金","土","日")&amp;"）")</f>
        <v>(日）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46300</v>
      </c>
      <c r="B11" s="32">
        <f>IF(A11="","","日")</f>
        <v/>
      </c>
      <c r="C11" s="31" t="str">
        <f>IF(A11="","","("&amp;CHOOSE(WEEKDAY(A11,2),"月","火","水","木","金","土","日")&amp;"）")</f>
        <v>(月）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46301</v>
      </c>
      <c r="B12" s="32">
        <f>IF(A12="","","日")</f>
        <v/>
      </c>
      <c r="C12" s="31" t="str">
        <f>IF(A12="","","("&amp;CHOOSE(WEEKDAY(A12,2),"月","火","水","木","金","土","日")&amp;"）")</f>
        <v>(火）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46302</v>
      </c>
      <c r="B13" s="32">
        <f>IF(A13="","","日")</f>
        <v/>
      </c>
      <c r="C13" s="31" t="str">
        <f>IF(A13="","","("&amp;CHOOSE(WEEKDAY(A13,2),"月","火","水","木","金","土","日")&amp;"）")</f>
        <v>(水）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46303</v>
      </c>
      <c r="B14" s="32">
        <f>IF(A14="","","日")</f>
        <v/>
      </c>
      <c r="C14" s="31" t="str">
        <f>IF(A14="","","("&amp;CHOOSE(WEEKDAY(A14,2),"月","火","水","木","金","土","日")&amp;"）")</f>
        <v>(木）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46304</v>
      </c>
      <c r="B15" s="32">
        <f>IF(A15="","","日")</f>
        <v/>
      </c>
      <c r="C15" s="31" t="str">
        <f>IF(A15="","","("&amp;CHOOSE(WEEKDAY(A15,2),"月","火","水","木","金","土","日")&amp;"）")</f>
        <v>(金）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46305</v>
      </c>
      <c r="B16" s="32">
        <f>IF(A16="","","日")</f>
        <v/>
      </c>
      <c r="C16" s="31" t="str">
        <f>IF(A16="","","("&amp;CHOOSE(WEEKDAY(A16,2),"月","火","水","木","金","土","日")&amp;"）")</f>
        <v>(土）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46306</v>
      </c>
      <c r="B17" s="32">
        <f>IF(A17="","","日")</f>
        <v/>
      </c>
      <c r="C17" s="31" t="str">
        <f>IF(A17="","","("&amp;CHOOSE(WEEKDAY(A17,2),"月","火","水","木","金","土","日")&amp;"）")</f>
        <v>(日）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46307</v>
      </c>
      <c r="B18" s="32">
        <f>IF(A18="","","日")</f>
        <v/>
      </c>
      <c r="C18" s="31" t="str">
        <f>IF(A18="","","("&amp;CHOOSE(WEEKDAY(A18,2),"月","火","水","木","金","土","日")&amp;"）")</f>
        <v>(月）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 t="str">
        <f>IF($A18="","",IFERROR(VLOOKUP($A18,祝日リスト!$A$2:$C$40,3,0),""))</f>
        <v>スポーツの日</v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46308</v>
      </c>
      <c r="B19" s="32">
        <f>IF(A19="","","日")</f>
        <v/>
      </c>
      <c r="C19" s="31" t="str">
        <f>IF(A19="","","("&amp;CHOOSE(WEEKDAY(A19,2),"月","火","水","木","金","土","日")&amp;"）")</f>
        <v>(火）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46309</v>
      </c>
      <c r="B20" s="32">
        <f>IF(A20="","","日")</f>
        <v/>
      </c>
      <c r="C20" s="31" t="str">
        <f>IF(A20="","","("&amp;CHOOSE(WEEKDAY(A20,2),"月","火","水","木","金","土","日")&amp;"）")</f>
        <v>(水）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46310</v>
      </c>
      <c r="B21" s="32">
        <f>IF(A21="","","日")</f>
        <v/>
      </c>
      <c r="C21" s="31" t="str">
        <f>IF(A21="","","("&amp;CHOOSE(WEEKDAY(A21,2),"月","火","水","木","金","土","日")&amp;"）")</f>
        <v>(木）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46311</v>
      </c>
      <c r="B22" s="32">
        <f>IF(A22="","","日")</f>
        <v/>
      </c>
      <c r="C22" s="31" t="str">
        <f>IF(A22="","","("&amp;CHOOSE(WEEKDAY(A22,2),"月","火","水","木","金","土","日")&amp;"）")</f>
        <v>(金）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46312</v>
      </c>
      <c r="B23" s="32">
        <f>IF(A23="","","日")</f>
        <v/>
      </c>
      <c r="C23" s="31" t="str">
        <f>IF(A23="","","("&amp;CHOOSE(WEEKDAY(A23,2),"月","火","水","木","金","土","日")&amp;"）")</f>
        <v>(土）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46313</v>
      </c>
      <c r="B24" s="32">
        <f>IF(A24="","","日")</f>
        <v/>
      </c>
      <c r="C24" s="31" t="str">
        <f>IF(A24="","","("&amp;CHOOSE(WEEKDAY(A24,2),"月","火","水","木","金","土","日")&amp;"）")</f>
        <v>(日）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46314</v>
      </c>
      <c r="B25" s="32">
        <f>IF(A25="","","日")</f>
        <v/>
      </c>
      <c r="C25" s="31" t="str">
        <f>IF(A25="","","("&amp;CHOOSE(WEEKDAY(A25,2),"月","火","水","木","金","土","日")&amp;"）")</f>
        <v>(月）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46315</v>
      </c>
      <c r="B26" s="32">
        <f>IF(A26="","","日")</f>
        <v/>
      </c>
      <c r="C26" s="31" t="str">
        <f>IF(A26="","","("&amp;CHOOSE(WEEKDAY(A26,2),"月","火","水","木","金","土","日")&amp;"）")</f>
        <v>(火）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46316</v>
      </c>
      <c r="B27" s="32">
        <f>IF(A27="","","日")</f>
        <v/>
      </c>
      <c r="C27" s="31" t="str">
        <f>IF(A27="","","("&amp;CHOOSE(WEEKDAY(A27,2),"月","火","水","木","金","土","日")&amp;"）")</f>
        <v>(水）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46317</v>
      </c>
      <c r="B28" s="32">
        <f>IF(A28="","","日")</f>
        <v/>
      </c>
      <c r="C28" s="31" t="str">
        <f>IF(A28="","","("&amp;CHOOSE(WEEKDAY(A28,2),"月","火","水","木","金","土","日")&amp;"）")</f>
        <v>(木）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46318</v>
      </c>
      <c r="B29" s="32">
        <f>IF(A29="","","日")</f>
        <v/>
      </c>
      <c r="C29" s="31" t="str">
        <f>IF(A29="","","("&amp;CHOOSE(WEEKDAY(A29,2),"月","火","水","木","金","土","日")&amp;"）")</f>
        <v>(金）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46319</v>
      </c>
      <c r="B30" s="32">
        <f>IF(A30="","","日")</f>
        <v/>
      </c>
      <c r="C30" s="31" t="str">
        <f>IF(A30="","","("&amp;CHOOSE(WEEKDAY(A30,2),"月","火","水","木","金","土","日")&amp;"）")</f>
        <v>(土）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46320</v>
      </c>
      <c r="B31" s="32">
        <f>IF(A31="","","日")</f>
        <v/>
      </c>
      <c r="C31" s="31" t="str">
        <f>IF(A31="","","("&amp;CHOOSE(WEEKDAY(A31,2),"月","火","水","木","金","土","日")&amp;"）")</f>
        <v>(日）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46321</v>
      </c>
      <c r="B32" s="32">
        <f>IF(A32="","","日")</f>
        <v/>
      </c>
      <c r="C32" s="31" t="str">
        <f>IF(A32="","","("&amp;CHOOSE(WEEKDAY(A32,2),"月","火","水","木","金","土","日")&amp;"）")</f>
        <v>(月）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46322</v>
      </c>
      <c r="B33" s="32">
        <f>IF(A33="","","日")</f>
        <v/>
      </c>
      <c r="C33" s="31" t="str">
        <f>IF(A33="","","("&amp;CHOOSE(WEEKDAY(A33,2),"月","火","水","木","金","土","日")&amp;"）")</f>
        <v>(火）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46323</v>
      </c>
      <c r="B34" s="32">
        <f>IF(A34="","","日")</f>
        <v/>
      </c>
      <c r="C34" s="31" t="str">
        <f>IF(A34="","","("&amp;CHOOSE(WEEKDAY(A34,2),"月","火","水","木","金","土","日")&amp;"）")</f>
        <v>(水）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46324</v>
      </c>
      <c r="B35" s="32">
        <f>IF(A35="","","日")</f>
        <v/>
      </c>
      <c r="C35" s="31" t="str">
        <f>IF(A35="","","("&amp;CHOOSE(WEEKDAY(A35,2),"月","火","水","木","金","土","日")&amp;"）")</f>
        <v>(木）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46325</v>
      </c>
      <c r="B36" s="32">
        <f>IF(A36="","","日")</f>
        <v/>
      </c>
      <c r="C36" s="31" t="str">
        <f>IF(A36="","","("&amp;CHOOSE(WEEKDAY(A36,2),"月","火","水","木","金","土","日")&amp;"）")</f>
        <v>(金）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46326</v>
      </c>
      <c r="B37" s="33">
        <f>IF(A37="","","日")</f>
        <v/>
      </c>
      <c r="C37" s="34" t="str">
        <f>IF(A37="","","("&amp;CHOOSE(WEEKDAY(A37,2),"月","火","水","木","金","土","日")&amp;"）")</f>
        <v>(土）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11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46327</v>
      </c>
      <c r="B7" s="30">
        <f>IF(A7="","","日")</f>
        <v/>
      </c>
      <c r="C7" s="31" t="str">
        <f>IF(A7="","","("&amp;CHOOSE(WEEKDAY(A7,2),"月","火","水","木","金","土","日")&amp;"）")</f>
        <v>(日）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46328</v>
      </c>
      <c r="B8" s="32">
        <f>IF(A8="","","日")</f>
        <v/>
      </c>
      <c r="C8" s="31" t="str">
        <f>IF(A8="","","("&amp;CHOOSE(WEEKDAY(A8,2),"月","火","水","木","金","土","日")&amp;"）")</f>
        <v>(月）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46329</v>
      </c>
      <c r="B9" s="32">
        <f>IF(A9="","","日")</f>
        <v/>
      </c>
      <c r="C9" s="31" t="str">
        <f>IF(A9="","","("&amp;CHOOSE(WEEKDAY(A9,2),"月","火","水","木","金","土","日")&amp;"）")</f>
        <v>(火）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 t="str">
        <f>IF($A9="","",IFERROR(VLOOKUP($A9,祝日リスト!$A$2:$C$40,3,0),""))</f>
        <v>文化の日</v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46330</v>
      </c>
      <c r="B10" s="32">
        <f>IF(A10="","","日")</f>
        <v/>
      </c>
      <c r="C10" s="31" t="str">
        <f>IF(A10="","","("&amp;CHOOSE(WEEKDAY(A10,2),"月","火","水","木","金","土","日")&amp;"）")</f>
        <v>(水）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46331</v>
      </c>
      <c r="B11" s="32">
        <f>IF(A11="","","日")</f>
        <v/>
      </c>
      <c r="C11" s="31" t="str">
        <f>IF(A11="","","("&amp;CHOOSE(WEEKDAY(A11,2),"月","火","水","木","金","土","日")&amp;"）")</f>
        <v>(木）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46332</v>
      </c>
      <c r="B12" s="32">
        <f>IF(A12="","","日")</f>
        <v/>
      </c>
      <c r="C12" s="31" t="str">
        <f>IF(A12="","","("&amp;CHOOSE(WEEKDAY(A12,2),"月","火","水","木","金","土","日")&amp;"）")</f>
        <v>(金）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46333</v>
      </c>
      <c r="B13" s="32">
        <f>IF(A13="","","日")</f>
        <v/>
      </c>
      <c r="C13" s="31" t="str">
        <f>IF(A13="","","("&amp;CHOOSE(WEEKDAY(A13,2),"月","火","水","木","金","土","日")&amp;"）")</f>
        <v>(土）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46334</v>
      </c>
      <c r="B14" s="32">
        <f>IF(A14="","","日")</f>
        <v/>
      </c>
      <c r="C14" s="31" t="str">
        <f>IF(A14="","","("&amp;CHOOSE(WEEKDAY(A14,2),"月","火","水","木","金","土","日")&amp;"）")</f>
        <v>(日）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46335</v>
      </c>
      <c r="B15" s="32">
        <f>IF(A15="","","日")</f>
        <v/>
      </c>
      <c r="C15" s="31" t="str">
        <f>IF(A15="","","("&amp;CHOOSE(WEEKDAY(A15,2),"月","火","水","木","金","土","日")&amp;"）")</f>
        <v>(月）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46336</v>
      </c>
      <c r="B16" s="32">
        <f>IF(A16="","","日")</f>
        <v/>
      </c>
      <c r="C16" s="31" t="str">
        <f>IF(A16="","","("&amp;CHOOSE(WEEKDAY(A16,2),"月","火","水","木","金","土","日")&amp;"）")</f>
        <v>(火）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46337</v>
      </c>
      <c r="B17" s="32">
        <f>IF(A17="","","日")</f>
        <v/>
      </c>
      <c r="C17" s="31" t="str">
        <f>IF(A17="","","("&amp;CHOOSE(WEEKDAY(A17,2),"月","火","水","木","金","土","日")&amp;"）")</f>
        <v>(水）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46338</v>
      </c>
      <c r="B18" s="32">
        <f>IF(A18="","","日")</f>
        <v/>
      </c>
      <c r="C18" s="31" t="str">
        <f>IF(A18="","","("&amp;CHOOSE(WEEKDAY(A18,2),"月","火","水","木","金","土","日")&amp;"）")</f>
        <v>(木）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46339</v>
      </c>
      <c r="B19" s="32">
        <f>IF(A19="","","日")</f>
        <v/>
      </c>
      <c r="C19" s="31" t="str">
        <f>IF(A19="","","("&amp;CHOOSE(WEEKDAY(A19,2),"月","火","水","木","金","土","日")&amp;"）")</f>
        <v>(金）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46340</v>
      </c>
      <c r="B20" s="32">
        <f>IF(A20="","","日")</f>
        <v/>
      </c>
      <c r="C20" s="31" t="str">
        <f>IF(A20="","","("&amp;CHOOSE(WEEKDAY(A20,2),"月","火","水","木","金","土","日")&amp;"）")</f>
        <v>(土）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46341</v>
      </c>
      <c r="B21" s="32">
        <f>IF(A21="","","日")</f>
        <v/>
      </c>
      <c r="C21" s="31" t="str">
        <f>IF(A21="","","("&amp;CHOOSE(WEEKDAY(A21,2),"月","火","水","木","金","土","日")&amp;"）")</f>
        <v>(日）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46342</v>
      </c>
      <c r="B22" s="32">
        <f>IF(A22="","","日")</f>
        <v/>
      </c>
      <c r="C22" s="31" t="str">
        <f>IF(A22="","","("&amp;CHOOSE(WEEKDAY(A22,2),"月","火","水","木","金","土","日")&amp;"）")</f>
        <v>(月）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46343</v>
      </c>
      <c r="B23" s="32">
        <f>IF(A23="","","日")</f>
        <v/>
      </c>
      <c r="C23" s="31" t="str">
        <f>IF(A23="","","("&amp;CHOOSE(WEEKDAY(A23,2),"月","火","水","木","金","土","日")&amp;"）")</f>
        <v>(火）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46344</v>
      </c>
      <c r="B24" s="32">
        <f>IF(A24="","","日")</f>
        <v/>
      </c>
      <c r="C24" s="31" t="str">
        <f>IF(A24="","","("&amp;CHOOSE(WEEKDAY(A24,2),"月","火","水","木","金","土","日")&amp;"）")</f>
        <v>(水）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46345</v>
      </c>
      <c r="B25" s="32">
        <f>IF(A25="","","日")</f>
        <v/>
      </c>
      <c r="C25" s="31" t="str">
        <f>IF(A25="","","("&amp;CHOOSE(WEEKDAY(A25,2),"月","火","水","木","金","土","日")&amp;"）")</f>
        <v>(木）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46346</v>
      </c>
      <c r="B26" s="32">
        <f>IF(A26="","","日")</f>
        <v/>
      </c>
      <c r="C26" s="31" t="str">
        <f>IF(A26="","","("&amp;CHOOSE(WEEKDAY(A26,2),"月","火","水","木","金","土","日")&amp;"）")</f>
        <v>(金）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46347</v>
      </c>
      <c r="B27" s="32">
        <f>IF(A27="","","日")</f>
        <v/>
      </c>
      <c r="C27" s="31" t="str">
        <f>IF(A27="","","("&amp;CHOOSE(WEEKDAY(A27,2),"月","火","水","木","金","土","日")&amp;"）")</f>
        <v>(土）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46348</v>
      </c>
      <c r="B28" s="32">
        <f>IF(A28="","","日")</f>
        <v/>
      </c>
      <c r="C28" s="31" t="str">
        <f>IF(A28="","","("&amp;CHOOSE(WEEKDAY(A28,2),"月","火","水","木","金","土","日")&amp;"）")</f>
        <v>(日）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46349</v>
      </c>
      <c r="B29" s="32">
        <f>IF(A29="","","日")</f>
        <v/>
      </c>
      <c r="C29" s="31" t="str">
        <f>IF(A29="","","("&amp;CHOOSE(WEEKDAY(A29,2),"月","火","水","木","金","土","日")&amp;"）")</f>
        <v>(月）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 t="str">
        <f>IF($A29="","",IFERROR(VLOOKUP($A29,祝日リスト!$A$2:$C$40,3,0),""))</f>
        <v>勤労感謝の日</v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46350</v>
      </c>
      <c r="B30" s="32">
        <f>IF(A30="","","日")</f>
        <v/>
      </c>
      <c r="C30" s="31" t="str">
        <f>IF(A30="","","("&amp;CHOOSE(WEEKDAY(A30,2),"月","火","水","木","金","土","日")&amp;"）")</f>
        <v>(火）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46351</v>
      </c>
      <c r="B31" s="32">
        <f>IF(A31="","","日")</f>
        <v/>
      </c>
      <c r="C31" s="31" t="str">
        <f>IF(A31="","","("&amp;CHOOSE(WEEKDAY(A31,2),"月","火","水","木","金","土","日")&amp;"）")</f>
        <v>(水）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46352</v>
      </c>
      <c r="B32" s="32">
        <f>IF(A32="","","日")</f>
        <v/>
      </c>
      <c r="C32" s="31" t="str">
        <f>IF(A32="","","("&amp;CHOOSE(WEEKDAY(A32,2),"月","火","水","木","金","土","日")&amp;"）")</f>
        <v>(木）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46353</v>
      </c>
      <c r="B33" s="32">
        <f>IF(A33="","","日")</f>
        <v/>
      </c>
      <c r="C33" s="31" t="str">
        <f>IF(A33="","","("&amp;CHOOSE(WEEKDAY(A33,2),"月","火","水","木","金","土","日")&amp;"）")</f>
        <v>(金）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46354</v>
      </c>
      <c r="B34" s="32">
        <f>IF(A34="","","日")</f>
        <v/>
      </c>
      <c r="C34" s="31" t="str">
        <f>IF(A34="","","("&amp;CHOOSE(WEEKDAY(A34,2),"月","火","水","木","金","土","日")&amp;"）")</f>
        <v>(土）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46355</v>
      </c>
      <c r="B35" s="32">
        <f>IF(A35="","","日")</f>
        <v/>
      </c>
      <c r="C35" s="31" t="str">
        <f>IF(A35="","","("&amp;CHOOSE(WEEKDAY(A35,2),"月","火","水","木","金","土","日")&amp;"）")</f>
        <v>(日）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46356</v>
      </c>
      <c r="B36" s="32">
        <f>IF(A36="","","日")</f>
        <v/>
      </c>
      <c r="C36" s="31" t="str">
        <f>IF(A36="","","("&amp;CHOOSE(WEEKDAY(A36,2),"月","火","水","木","金","土","日")&amp;"）")</f>
        <v>(月）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/>
      </c>
      <c r="B37" s="33">
        <f>IF(A37="","","日")</f>
        <v/>
      </c>
      <c r="C37" s="34">
        <f>IF(A37="","","("&amp;CHOOSE(WEEKDAY(A37,2),"月","火","水","木","金","土","日")&amp;"）")</f>
        <v/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C1000"/>
  <sheetViews>
    <sheetView workbookViewId="0">
      <selection activeCell="A1" sqref="A1"/>
    </sheetView>
  </sheetViews>
  <sheetFormatPr baseColWidth="8" defaultColWidth="12.5703125" defaultRowHeight="15" customHeight="1"/>
  <cols>
    <col width="7.42578125" customWidth="1" min="1" max="1"/>
    <col width="3" customWidth="1" min="2" max="2"/>
    <col width="5.5703125" customWidth="1" min="3" max="3"/>
    <col width="10.140625" customWidth="1" min="4" max="4"/>
    <col width="3.42578125" customWidth="1" min="5" max="5"/>
    <col width="10.85546875" customWidth="1" min="6" max="6"/>
    <col width="9.42578125" customWidth="1" min="7" max="7"/>
    <col width="10" customWidth="1" min="8" max="8"/>
    <col width="10.140625" customWidth="1" min="9" max="9"/>
    <col width="10.42578125" customWidth="1" min="10" max="10"/>
    <col width="20.85546875" customWidth="1" min="11" max="11"/>
    <col width="8" customWidth="1" min="12" max="14"/>
    <col hidden="1" width="13" customWidth="1" min="14" max="14"/>
    <col hidden="1" width="18.7109375" customWidth="1" min="15" max="15"/>
    <col hidden="1" width="8" customWidth="1" min="16" max="27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12.75" customHeight="1">
      <c r="A1" s="73" t="n"/>
      <c r="B1" s="8" t="n"/>
      <c r="C1" s="8" t="n"/>
      <c r="D1" s="1" t="n"/>
      <c r="E1" s="1" t="n"/>
      <c r="F1" s="1" t="n"/>
      <c r="G1" s="1" t="n"/>
      <c r="H1" s="1" t="n"/>
      <c r="I1" s="1" t="n"/>
      <c r="J1" s="1" t="n"/>
    </row>
    <row r="2" ht="16.5" customFormat="1" customHeight="1" s="28" thickBot="1">
      <c r="A2" s="48" t="n">
        <v>2026</v>
      </c>
      <c r="B2" s="46" t="inlineStr">
        <is>
          <t>年</t>
        </is>
      </c>
      <c r="C2" s="47" t="n">
        <v>12</v>
      </c>
      <c r="D2" s="47" t="inlineStr">
        <is>
          <t>月度出勤簿</t>
        </is>
      </c>
      <c r="E2" s="46" t="n"/>
      <c r="G2" s="4" t="n"/>
      <c r="H2" s="4" t="n"/>
      <c r="I2" s="4" t="n"/>
      <c r="J2" s="25" t="inlineStr">
        <is>
          <t>氏　名</t>
        </is>
      </c>
      <c r="K2" s="27" t="inlineStr">
        <is>
          <t>盛田　裕一</t>
        </is>
      </c>
    </row>
    <row r="3" ht="16.5" customHeight="1" thickTop="1">
      <c r="A3" s="74" t="n"/>
      <c r="B3" s="10" t="n"/>
      <c r="C3" s="10" t="n"/>
      <c r="D3" s="3" t="n"/>
      <c r="E3" s="3" t="n"/>
      <c r="F3" s="1" t="n"/>
      <c r="G3" s="1" t="n"/>
      <c r="H3" s="1" t="n"/>
      <c r="I3" s="1" t="n"/>
      <c r="J3" s="2" t="n"/>
      <c r="K3" s="2" t="n"/>
    </row>
    <row r="4" ht="9" customHeight="1">
      <c r="A4" s="74" t="n"/>
      <c r="B4" s="10" t="n"/>
      <c r="C4" s="10" t="n"/>
      <c r="D4" s="3" t="n"/>
      <c r="E4" s="3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</row>
    <row r="5" ht="13.5" customHeight="1" thickBot="1">
      <c r="A5" s="73" t="n"/>
      <c r="B5" s="8" t="n"/>
      <c r="C5" s="8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20.25" customFormat="1" customHeight="1" s="49" thickBot="1" thickTop="1">
      <c r="A6" s="75" t="inlineStr">
        <is>
          <t>日付</t>
        </is>
      </c>
      <c r="B6" s="76" t="n"/>
      <c r="C6" s="77" t="n"/>
      <c r="D6" s="78" t="inlineStr">
        <is>
          <t>勤務時間</t>
        </is>
      </c>
      <c r="E6" s="79" t="n"/>
      <c r="F6" s="80" t="n"/>
      <c r="G6" s="12" t="inlineStr">
        <is>
          <t>通常残業</t>
        </is>
      </c>
      <c r="H6" s="12" t="inlineStr">
        <is>
          <t>深夜残業</t>
        </is>
      </c>
      <c r="I6" s="12" t="inlineStr">
        <is>
          <t>早朝残業</t>
        </is>
      </c>
      <c r="J6" s="13" t="inlineStr">
        <is>
          <t>遅刻・早退</t>
        </is>
      </c>
      <c r="K6" s="14" t="inlineStr">
        <is>
          <t>理由</t>
        </is>
      </c>
      <c r="L6" s="26" t="n"/>
      <c r="M6" s="26" t="n"/>
      <c r="N6" s="26" t="n"/>
      <c r="O6" s="26" t="n"/>
      <c r="P6" s="26" t="n"/>
      <c r="Q6" s="26" t="n"/>
      <c r="R6" s="26" t="n"/>
      <c r="S6" s="26" t="n"/>
      <c r="T6" s="26" t="n"/>
      <c r="U6" s="26" t="n"/>
      <c r="V6" s="26" t="n"/>
      <c r="W6" s="26" t="n"/>
      <c r="X6" s="26" t="n"/>
      <c r="Y6" s="26" t="n"/>
      <c r="Z6" s="26" t="n"/>
      <c r="AA6" s="26" t="n"/>
    </row>
    <row r="7" ht="20.25" customFormat="1" customHeight="1" s="28" thickTop="1">
      <c r="A7" s="81">
        <f>DATE($A$2,$C$2,1)</f>
        <v>46357</v>
      </c>
      <c r="B7" s="30">
        <f>IF(A7="","","日")</f>
        <v/>
      </c>
      <c r="C7" s="31" t="str">
        <f>IF(A7="","","("&amp;CHOOSE(WEEKDAY(A7,2),"月","火","水","木","金","土","日")&amp;"）")</f>
        <v>(火）</v>
      </c>
      <c r="D7" s="82" t="n"/>
      <c r="E7" s="69" t="inlineStr">
        <is>
          <t>～</t>
        </is>
      </c>
      <c r="F7" s="82" t="n"/>
      <c r="G7" s="83" t="n"/>
      <c r="H7" s="83" t="n"/>
      <c r="I7" s="83" t="n"/>
      <c r="J7" s="83" t="n"/>
      <c r="K7" s="16">
        <f>IF($A7="","",IFERROR(VLOOKUP($A7,祝日リスト!$A$2:$C$40,3,0),""))</f>
        <v/>
      </c>
      <c r="N7">
        <f>IF(NOT(ISNUMBER($D7)),"",IF($D7&lt;1,$D7,(INT($D7/100)*60+MOD($D7,100))/1440))</f>
        <v/>
      </c>
      <c r="O7">
        <f>IF(NOT(ISNUMBER($F7)),"",IF($F7&lt;1,$F7,(INT($F7/100)*60+MOD($F7,100))/1440))</f>
        <v/>
      </c>
      <c r="P7">
        <f>IF(NOT(ISNUMBER($G7)),"",IF($G7&lt;1,$G7,(INT($G7/100)*60+MOD($G7,100))/1440))</f>
        <v/>
      </c>
      <c r="Q7">
        <f>IF(NOT(ISNUMBER($H7)),"",IF($H7&lt;1,$H7,(INT($H7/100)*60+MOD($H7,100))/1440))</f>
        <v/>
      </c>
      <c r="R7">
        <f>IF(NOT(ISNUMBER($I7)),"",IF($I7&lt;1,$I7,(INT($I7/100)*60+MOD($I7,100))/1440))</f>
        <v/>
      </c>
      <c r="S7">
        <f>IF(NOT(ISNUMBER($J7)),"",IF($J7&lt;1,$J7,(INT($J7/100)*60+MOD($J7,100))/1440))</f>
        <v/>
      </c>
      <c r="T7">
        <f>IF(OR($N7="",$O7=""),"",MOD($O7-$N7,1))</f>
        <v/>
      </c>
      <c r="U7">
        <f>IF($A7="","",IF($K7&lt;&gt;"","祝",IF(WEEKDAY($A7,2)=6,"土",IF(WEEKDAY($A7,2)=7,"日","平"))))</f>
        <v/>
      </c>
    </row>
    <row r="8" ht="20.25" customFormat="1" customHeight="1" s="28">
      <c r="A8" s="84">
        <f>IF(A7="","",IF(MONTH(A7+1)=$C$2,A7+1,""))</f>
        <v>46358</v>
      </c>
      <c r="B8" s="32">
        <f>IF(A8="","","日")</f>
        <v/>
      </c>
      <c r="C8" s="31" t="str">
        <f>IF(A8="","","("&amp;CHOOSE(WEEKDAY(A8,2),"月","火","水","木","金","土","日")&amp;"）")</f>
        <v>(水）</v>
      </c>
      <c r="D8" s="85" t="n"/>
      <c r="E8" s="36" t="inlineStr">
        <is>
          <t>～</t>
        </is>
      </c>
      <c r="F8" s="85" t="n"/>
      <c r="G8" s="86" t="n"/>
      <c r="H8" s="86" t="n"/>
      <c r="I8" s="86" t="n"/>
      <c r="J8" s="86" t="n"/>
      <c r="K8" s="16">
        <f>IF($A8="","",IFERROR(VLOOKUP($A8,祝日リスト!$A$2:$C$40,3,0),""))</f>
        <v/>
      </c>
      <c r="N8">
        <f>IF(NOT(ISNUMBER($D8)),"",IF($D8&lt;1,$D8,(INT($D8/100)*60+MOD($D8,100))/1440))</f>
        <v/>
      </c>
      <c r="O8" s="35">
        <f>IF(NOT(ISNUMBER($F8)),"",IF($F8&lt;1,$F8,(INT($F8/100)*60+MOD($F8,100))/1440))</f>
        <v/>
      </c>
      <c r="P8">
        <f>IF(NOT(ISNUMBER($G8)),"",IF($G8&lt;1,$G8,(INT($G8/100)*60+MOD($G8,100))/1440))</f>
        <v/>
      </c>
      <c r="Q8">
        <f>IF(NOT(ISNUMBER($H8)),"",IF($H8&lt;1,$H8,(INT($H8/100)*60+MOD($H8,100))/1440))</f>
        <v/>
      </c>
      <c r="R8">
        <f>IF(NOT(ISNUMBER($I8)),"",IF($I8&lt;1,$I8,(INT($I8/100)*60+MOD($I8,100))/1440))</f>
        <v/>
      </c>
      <c r="S8">
        <f>IF(NOT(ISNUMBER($J8)),"",IF($J8&lt;1,$J8,(INT($J8/100)*60+MOD($J8,100))/1440))</f>
        <v/>
      </c>
      <c r="T8">
        <f>IF(OR($N8="",$O8=""),"",MOD($O8-$N8,1))</f>
        <v/>
      </c>
      <c r="U8">
        <f>IF($A8="","",IF($K8&lt;&gt;"","祝",IF(WEEKDAY($A8,2)=6,"土",IF(WEEKDAY($A8,2)=7,"日","平"))))</f>
        <v/>
      </c>
    </row>
    <row r="9" ht="20.25" customFormat="1" customHeight="1" s="28">
      <c r="A9" s="84">
        <f>IF(A8="","",IF(MONTH(A8+1)=$C$2,A8+1,""))</f>
        <v>46359</v>
      </c>
      <c r="B9" s="32">
        <f>IF(A9="","","日")</f>
        <v/>
      </c>
      <c r="C9" s="31" t="str">
        <f>IF(A9="","","("&amp;CHOOSE(WEEKDAY(A9,2),"月","火","水","木","金","土","日")&amp;"）")</f>
        <v>(木）</v>
      </c>
      <c r="D9" s="85" t="n"/>
      <c r="E9" s="36" t="inlineStr">
        <is>
          <t>～</t>
        </is>
      </c>
      <c r="F9" s="85" t="n"/>
      <c r="G9" s="86" t="n"/>
      <c r="H9" s="86" t="n"/>
      <c r="I9" s="86" t="n"/>
      <c r="J9" s="86" t="n"/>
      <c r="K9" s="16">
        <f>IF($A9="","",IFERROR(VLOOKUP($A9,祝日リスト!$A$2:$C$40,3,0),""))</f>
        <v/>
      </c>
      <c r="N9">
        <f>IF(NOT(ISNUMBER($D9)),"",IF($D9&lt;1,$D9,(INT($D9/100)*60+MOD($D9,100))/1440))</f>
        <v/>
      </c>
      <c r="O9" s="35">
        <f>IF(NOT(ISNUMBER($F9)),"",IF($F9&lt;1,$F9,(INT($F9/100)*60+MOD($F9,100))/1440))</f>
        <v/>
      </c>
      <c r="P9">
        <f>IF(NOT(ISNUMBER($G9)),"",IF($G9&lt;1,$G9,(INT($G9/100)*60+MOD($G9,100))/1440))</f>
        <v/>
      </c>
      <c r="Q9">
        <f>IF(NOT(ISNUMBER($H9)),"",IF($H9&lt;1,$H9,(INT($H9/100)*60+MOD($H9,100))/1440))</f>
        <v/>
      </c>
      <c r="R9">
        <f>IF(NOT(ISNUMBER($I9)),"",IF($I9&lt;1,$I9,(INT($I9/100)*60+MOD($I9,100))/1440))</f>
        <v/>
      </c>
      <c r="S9">
        <f>IF(NOT(ISNUMBER($J9)),"",IF($J9&lt;1,$J9,(INT($J9/100)*60+MOD($J9,100))/1440))</f>
        <v/>
      </c>
      <c r="T9">
        <f>IF(OR($N9="",$O9=""),"",MOD($O9-$N9,1))</f>
        <v/>
      </c>
      <c r="U9">
        <f>IF($A9="","",IF($K9&lt;&gt;"","祝",IF(WEEKDAY($A9,2)=6,"土",IF(WEEKDAY($A9,2)=7,"日","平"))))</f>
        <v/>
      </c>
    </row>
    <row r="10" ht="20.25" customFormat="1" customHeight="1" s="28">
      <c r="A10" s="84">
        <f>IF(A9="","",IF(MONTH(A9+1)=$C$2,A9+1,""))</f>
        <v>46360</v>
      </c>
      <c r="B10" s="32">
        <f>IF(A10="","","日")</f>
        <v/>
      </c>
      <c r="C10" s="31" t="str">
        <f>IF(A10="","","("&amp;CHOOSE(WEEKDAY(A10,2),"月","火","水","木","金","土","日")&amp;"）")</f>
        <v>(金）</v>
      </c>
      <c r="D10" s="85" t="n"/>
      <c r="E10" s="36" t="inlineStr">
        <is>
          <t>～</t>
        </is>
      </c>
      <c r="F10" s="85" t="n"/>
      <c r="G10" s="86" t="n"/>
      <c r="H10" s="86" t="n"/>
      <c r="I10" s="86" t="n"/>
      <c r="J10" s="86" t="n"/>
      <c r="K10" s="16">
        <f>IF($A10="","",IFERROR(VLOOKUP($A10,祝日リスト!$A$2:$C$40,3,0),""))</f>
        <v/>
      </c>
      <c r="N10">
        <f>IF(NOT(ISNUMBER($D10)),"",IF($D10&lt;1,$D10,(INT($D10/100)*60+MOD($D10,100))/1440))</f>
        <v/>
      </c>
      <c r="O10" s="35">
        <f>IF(NOT(ISNUMBER($F10)),"",IF($F10&lt;1,$F10,(INT($F10/100)*60+MOD($F10,100))/1440))</f>
        <v/>
      </c>
      <c r="P10">
        <f>IF(NOT(ISNUMBER($G10)),"",IF($G10&lt;1,$G10,(INT($G10/100)*60+MOD($G10,100))/1440))</f>
        <v/>
      </c>
      <c r="Q10">
        <f>IF(NOT(ISNUMBER($H10)),"",IF($H10&lt;1,$H10,(INT($H10/100)*60+MOD($H10,100))/1440))</f>
        <v/>
      </c>
      <c r="R10">
        <f>IF(NOT(ISNUMBER($I10)),"",IF($I10&lt;1,$I10,(INT($I10/100)*60+MOD($I10,100))/1440))</f>
        <v/>
      </c>
      <c r="S10">
        <f>IF(NOT(ISNUMBER($J10)),"",IF($J10&lt;1,$J10,(INT($J10/100)*60+MOD($J10,100))/1440))</f>
        <v/>
      </c>
      <c r="T10">
        <f>IF(OR($N10="",$O10=""),"",MOD($O10-$N10,1))</f>
        <v/>
      </c>
      <c r="U10">
        <f>IF($A10="","",IF($K10&lt;&gt;"","祝",IF(WEEKDAY($A10,2)=6,"土",IF(WEEKDAY($A10,2)=7,"日","平"))))</f>
        <v/>
      </c>
    </row>
    <row r="11" ht="20.25" customFormat="1" customHeight="1" s="28">
      <c r="A11" s="84">
        <f>IF(A10="","",IF(MONTH(A10+1)=$C$2,A10+1,""))</f>
        <v>46361</v>
      </c>
      <c r="B11" s="32">
        <f>IF(A11="","","日")</f>
        <v/>
      </c>
      <c r="C11" s="31" t="str">
        <f>IF(A11="","","("&amp;CHOOSE(WEEKDAY(A11,2),"月","火","水","木","金","土","日")&amp;"）")</f>
        <v>(土）</v>
      </c>
      <c r="D11" s="85" t="n"/>
      <c r="E11" s="36" t="inlineStr">
        <is>
          <t>～</t>
        </is>
      </c>
      <c r="F11" s="85" t="n"/>
      <c r="G11" s="86" t="n"/>
      <c r="H11" s="86" t="n"/>
      <c r="I11" s="86" t="n"/>
      <c r="J11" s="86" t="n"/>
      <c r="K11" s="16">
        <f>IF($A11="","",IFERROR(VLOOKUP($A11,祝日リスト!$A$2:$C$40,3,0),""))</f>
        <v/>
      </c>
      <c r="N11">
        <f>IF(NOT(ISNUMBER($D11)),"",IF($D11&lt;1,$D11,(INT($D11/100)*60+MOD($D11,100))/1440))</f>
        <v/>
      </c>
      <c r="O11" s="35">
        <f>IF(NOT(ISNUMBER($F11)),"",IF($F11&lt;1,$F11,(INT($F11/100)*60+MOD($F11,100))/1440))</f>
        <v/>
      </c>
      <c r="P11">
        <f>IF(NOT(ISNUMBER($G11)),"",IF($G11&lt;1,$G11,(INT($G11/100)*60+MOD($G11,100))/1440))</f>
        <v/>
      </c>
      <c r="Q11">
        <f>IF(NOT(ISNUMBER($H11)),"",IF($H11&lt;1,$H11,(INT($H11/100)*60+MOD($H11,100))/1440))</f>
        <v/>
      </c>
      <c r="R11">
        <f>IF(NOT(ISNUMBER($I11)),"",IF($I11&lt;1,$I11,(INT($I11/100)*60+MOD($I11,100))/1440))</f>
        <v/>
      </c>
      <c r="S11">
        <f>IF(NOT(ISNUMBER($J11)),"",IF($J11&lt;1,$J11,(INT($J11/100)*60+MOD($J11,100))/1440))</f>
        <v/>
      </c>
      <c r="T11">
        <f>IF(OR($N11="",$O11=""),"",MOD($O11-$N11,1))</f>
        <v/>
      </c>
      <c r="U11">
        <f>IF($A11="","",IF($K11&lt;&gt;"","祝",IF(WEEKDAY($A11,2)=6,"土",IF(WEEKDAY($A11,2)=7,"日","平"))))</f>
        <v/>
      </c>
    </row>
    <row r="12" ht="20.25" customFormat="1" customHeight="1" s="28">
      <c r="A12" s="84">
        <f>IF(A11="","",IF(MONTH(A11+1)=$C$2,A11+1,""))</f>
        <v>46362</v>
      </c>
      <c r="B12" s="32">
        <f>IF(A12="","","日")</f>
        <v/>
      </c>
      <c r="C12" s="31" t="str">
        <f>IF(A12="","","("&amp;CHOOSE(WEEKDAY(A12,2),"月","火","水","木","金","土","日")&amp;"）")</f>
        <v>(日）</v>
      </c>
      <c r="D12" s="85" t="n"/>
      <c r="E12" s="36" t="inlineStr">
        <is>
          <t>～</t>
        </is>
      </c>
      <c r="F12" s="85" t="n"/>
      <c r="G12" s="86" t="n"/>
      <c r="H12" s="86" t="n"/>
      <c r="I12" s="86" t="n"/>
      <c r="J12" s="86" t="n"/>
      <c r="K12" s="16">
        <f>IF($A12="","",IFERROR(VLOOKUP($A12,祝日リスト!$A$2:$C$40,3,0),""))</f>
        <v/>
      </c>
      <c r="N12">
        <f>IF(NOT(ISNUMBER($D12)),"",IF($D12&lt;1,$D12,(INT($D12/100)*60+MOD($D12,100))/1440))</f>
        <v/>
      </c>
      <c r="O12" s="35">
        <f>IF(NOT(ISNUMBER($F12)),"",IF($F12&lt;1,$F12,(INT($F12/100)*60+MOD($F12,100))/1440))</f>
        <v/>
      </c>
      <c r="P12">
        <f>IF(NOT(ISNUMBER($G12)),"",IF($G12&lt;1,$G12,(INT($G12/100)*60+MOD($G12,100))/1440))</f>
        <v/>
      </c>
      <c r="Q12">
        <f>IF(NOT(ISNUMBER($H12)),"",IF($H12&lt;1,$H12,(INT($H12/100)*60+MOD($H12,100))/1440))</f>
        <v/>
      </c>
      <c r="R12">
        <f>IF(NOT(ISNUMBER($I12)),"",IF($I12&lt;1,$I12,(INT($I12/100)*60+MOD($I12,100))/1440))</f>
        <v/>
      </c>
      <c r="S12">
        <f>IF(NOT(ISNUMBER($J12)),"",IF($J12&lt;1,$J12,(INT($J12/100)*60+MOD($J12,100))/1440))</f>
        <v/>
      </c>
      <c r="T12">
        <f>IF(OR($N12="",$O12=""),"",MOD($O12-$N12,1))</f>
        <v/>
      </c>
      <c r="U12">
        <f>IF($A12="","",IF($K12&lt;&gt;"","祝",IF(WEEKDAY($A12,2)=6,"土",IF(WEEKDAY($A12,2)=7,"日","平"))))</f>
        <v/>
      </c>
    </row>
    <row r="13" ht="20.25" customFormat="1" customHeight="1" s="28">
      <c r="A13" s="84">
        <f>IF(A12="","",IF(MONTH(A12+1)=$C$2,A12+1,""))</f>
        <v>46363</v>
      </c>
      <c r="B13" s="32">
        <f>IF(A13="","","日")</f>
        <v/>
      </c>
      <c r="C13" s="31" t="str">
        <f>IF(A13="","","("&amp;CHOOSE(WEEKDAY(A13,2),"月","火","水","木","金","土","日")&amp;"）")</f>
        <v>(月）</v>
      </c>
      <c r="D13" s="85" t="n"/>
      <c r="E13" s="36" t="inlineStr">
        <is>
          <t>～</t>
        </is>
      </c>
      <c r="F13" s="85" t="n"/>
      <c r="G13" s="86" t="n"/>
      <c r="H13" s="86" t="n"/>
      <c r="I13" s="86" t="n"/>
      <c r="J13" s="86" t="n"/>
      <c r="K13" s="16">
        <f>IF($A13="","",IFERROR(VLOOKUP($A13,祝日リスト!$A$2:$C$40,3,0),""))</f>
        <v/>
      </c>
      <c r="N13">
        <f>IF(NOT(ISNUMBER($D13)),"",IF($D13&lt;1,$D13,(INT($D13/100)*60+MOD($D13,100))/1440))</f>
        <v/>
      </c>
      <c r="O13" s="35">
        <f>IF(NOT(ISNUMBER($F13)),"",IF($F13&lt;1,$F13,(INT($F13/100)*60+MOD($F13,100))/1440))</f>
        <v/>
      </c>
      <c r="P13">
        <f>IF(NOT(ISNUMBER($G13)),"",IF($G13&lt;1,$G13,(INT($G13/100)*60+MOD($G13,100))/1440))</f>
        <v/>
      </c>
      <c r="Q13">
        <f>IF(NOT(ISNUMBER($H13)),"",IF($H13&lt;1,$H13,(INT($H13/100)*60+MOD($H13,100))/1440))</f>
        <v/>
      </c>
      <c r="R13">
        <f>IF(NOT(ISNUMBER($I13)),"",IF($I13&lt;1,$I13,(INT($I13/100)*60+MOD($I13,100))/1440))</f>
        <v/>
      </c>
      <c r="S13">
        <f>IF(NOT(ISNUMBER($J13)),"",IF($J13&lt;1,$J13,(INT($J13/100)*60+MOD($J13,100))/1440))</f>
        <v/>
      </c>
      <c r="T13">
        <f>IF(OR($N13="",$O13=""),"",MOD($O13-$N13,1))</f>
        <v/>
      </c>
      <c r="U13">
        <f>IF($A13="","",IF($K13&lt;&gt;"","祝",IF(WEEKDAY($A13,2)=6,"土",IF(WEEKDAY($A13,2)=7,"日","平"))))</f>
        <v/>
      </c>
    </row>
    <row r="14" ht="20.25" customFormat="1" customHeight="1" s="28">
      <c r="A14" s="84">
        <f>IF(A13="","",IF(MONTH(A13+1)=$C$2,A13+1,""))</f>
        <v>46364</v>
      </c>
      <c r="B14" s="32">
        <f>IF(A14="","","日")</f>
        <v/>
      </c>
      <c r="C14" s="31" t="str">
        <f>IF(A14="","","("&amp;CHOOSE(WEEKDAY(A14,2),"月","火","水","木","金","土","日")&amp;"）")</f>
        <v>(火）</v>
      </c>
      <c r="D14" s="85" t="n"/>
      <c r="E14" s="36" t="inlineStr">
        <is>
          <t>～</t>
        </is>
      </c>
      <c r="F14" s="85" t="n"/>
      <c r="G14" s="86" t="n"/>
      <c r="H14" s="86" t="n"/>
      <c r="I14" s="86" t="n"/>
      <c r="J14" s="86" t="n"/>
      <c r="K14" s="16">
        <f>IF($A14="","",IFERROR(VLOOKUP($A14,祝日リスト!$A$2:$C$40,3,0),""))</f>
        <v/>
      </c>
      <c r="N14">
        <f>IF(NOT(ISNUMBER($D14)),"",IF($D14&lt;1,$D14,(INT($D14/100)*60+MOD($D14,100))/1440))</f>
        <v/>
      </c>
      <c r="O14" s="35">
        <f>IF(NOT(ISNUMBER($F14)),"",IF($F14&lt;1,$F14,(INT($F14/100)*60+MOD($F14,100))/1440))</f>
        <v/>
      </c>
      <c r="P14">
        <f>IF(NOT(ISNUMBER($G14)),"",IF($G14&lt;1,$G14,(INT($G14/100)*60+MOD($G14,100))/1440))</f>
        <v/>
      </c>
      <c r="Q14">
        <f>IF(NOT(ISNUMBER($H14)),"",IF($H14&lt;1,$H14,(INT($H14/100)*60+MOD($H14,100))/1440))</f>
        <v/>
      </c>
      <c r="R14">
        <f>IF(NOT(ISNUMBER($I14)),"",IF($I14&lt;1,$I14,(INT($I14/100)*60+MOD($I14,100))/1440))</f>
        <v/>
      </c>
      <c r="S14">
        <f>IF(NOT(ISNUMBER($J14)),"",IF($J14&lt;1,$J14,(INT($J14/100)*60+MOD($J14,100))/1440))</f>
        <v/>
      </c>
      <c r="T14">
        <f>IF(OR($N14="",$O14=""),"",MOD($O14-$N14,1))</f>
        <v/>
      </c>
      <c r="U14">
        <f>IF($A14="","",IF($K14&lt;&gt;"","祝",IF(WEEKDAY($A14,2)=6,"土",IF(WEEKDAY($A14,2)=7,"日","平"))))</f>
        <v/>
      </c>
    </row>
    <row r="15" ht="20.25" customFormat="1" customHeight="1" s="28">
      <c r="A15" s="84">
        <f>IF(A14="","",IF(MONTH(A14+1)=$C$2,A14+1,""))</f>
        <v>46365</v>
      </c>
      <c r="B15" s="32">
        <f>IF(A15="","","日")</f>
        <v/>
      </c>
      <c r="C15" s="31" t="str">
        <f>IF(A15="","","("&amp;CHOOSE(WEEKDAY(A15,2),"月","火","水","木","金","土","日")&amp;"）")</f>
        <v>(水）</v>
      </c>
      <c r="D15" s="85" t="n"/>
      <c r="E15" s="36" t="inlineStr">
        <is>
          <t>～</t>
        </is>
      </c>
      <c r="F15" s="85" t="n"/>
      <c r="G15" s="86" t="n"/>
      <c r="H15" s="86" t="n"/>
      <c r="I15" s="86" t="n"/>
      <c r="J15" s="86" t="n"/>
      <c r="K15" s="16">
        <f>IF($A15="","",IFERROR(VLOOKUP($A15,祝日リスト!$A$2:$C$40,3,0),""))</f>
        <v/>
      </c>
      <c r="N15">
        <f>IF(NOT(ISNUMBER($D15)),"",IF($D15&lt;1,$D15,(INT($D15/100)*60+MOD($D15,100))/1440))</f>
        <v/>
      </c>
      <c r="O15" s="35">
        <f>IF(NOT(ISNUMBER($F15)),"",IF($F15&lt;1,$F15,(INT($F15/100)*60+MOD($F15,100))/1440))</f>
        <v/>
      </c>
      <c r="P15">
        <f>IF(NOT(ISNUMBER($G15)),"",IF($G15&lt;1,$G15,(INT($G15/100)*60+MOD($G15,100))/1440))</f>
        <v/>
      </c>
      <c r="Q15">
        <f>IF(NOT(ISNUMBER($H15)),"",IF($H15&lt;1,$H15,(INT($H15/100)*60+MOD($H15,100))/1440))</f>
        <v/>
      </c>
      <c r="R15">
        <f>IF(NOT(ISNUMBER($I15)),"",IF($I15&lt;1,$I15,(INT($I15/100)*60+MOD($I15,100))/1440))</f>
        <v/>
      </c>
      <c r="S15">
        <f>IF(NOT(ISNUMBER($J15)),"",IF($J15&lt;1,$J15,(INT($J15/100)*60+MOD($J15,100))/1440))</f>
        <v/>
      </c>
      <c r="T15">
        <f>IF(OR($N15="",$O15=""),"",MOD($O15-$N15,1))</f>
        <v/>
      </c>
      <c r="U15">
        <f>IF($A15="","",IF($K15&lt;&gt;"","祝",IF(WEEKDAY($A15,2)=6,"土",IF(WEEKDAY($A15,2)=7,"日","平"))))</f>
        <v/>
      </c>
    </row>
    <row r="16" ht="20.25" customFormat="1" customHeight="1" s="28">
      <c r="A16" s="84">
        <f>IF(A15="","",IF(MONTH(A15+1)=$C$2,A15+1,""))</f>
        <v>46366</v>
      </c>
      <c r="B16" s="32">
        <f>IF(A16="","","日")</f>
        <v/>
      </c>
      <c r="C16" s="31" t="str">
        <f>IF(A16="","","("&amp;CHOOSE(WEEKDAY(A16,2),"月","火","水","木","金","土","日")&amp;"）")</f>
        <v>(木）</v>
      </c>
      <c r="D16" s="85" t="n"/>
      <c r="E16" s="36" t="inlineStr">
        <is>
          <t>～</t>
        </is>
      </c>
      <c r="F16" s="85" t="n"/>
      <c r="G16" s="86" t="n"/>
      <c r="H16" s="86" t="n"/>
      <c r="I16" s="86" t="n"/>
      <c r="J16" s="86" t="n"/>
      <c r="K16" s="16">
        <f>IF($A16="","",IFERROR(VLOOKUP($A16,祝日リスト!$A$2:$C$40,3,0),""))</f>
        <v/>
      </c>
      <c r="N16">
        <f>IF(NOT(ISNUMBER($D16)),"",IF($D16&lt;1,$D16,(INT($D16/100)*60+MOD($D16,100))/1440))</f>
        <v/>
      </c>
      <c r="O16" s="35">
        <f>IF(NOT(ISNUMBER($F16)),"",IF($F16&lt;1,$F16,(INT($F16/100)*60+MOD($F16,100))/1440))</f>
        <v/>
      </c>
      <c r="P16">
        <f>IF(NOT(ISNUMBER($G16)),"",IF($G16&lt;1,$G16,(INT($G16/100)*60+MOD($G16,100))/1440))</f>
        <v/>
      </c>
      <c r="Q16">
        <f>IF(NOT(ISNUMBER($H16)),"",IF($H16&lt;1,$H16,(INT($H16/100)*60+MOD($H16,100))/1440))</f>
        <v/>
      </c>
      <c r="R16">
        <f>IF(NOT(ISNUMBER($I16)),"",IF($I16&lt;1,$I16,(INT($I16/100)*60+MOD($I16,100))/1440))</f>
        <v/>
      </c>
      <c r="S16">
        <f>IF(NOT(ISNUMBER($J16)),"",IF($J16&lt;1,$J16,(INT($J16/100)*60+MOD($J16,100))/1440))</f>
        <v/>
      </c>
      <c r="T16">
        <f>IF(OR($N16="",$O16=""),"",MOD($O16-$N16,1))</f>
        <v/>
      </c>
      <c r="U16">
        <f>IF($A16="","",IF($K16&lt;&gt;"","祝",IF(WEEKDAY($A16,2)=6,"土",IF(WEEKDAY($A16,2)=7,"日","平"))))</f>
        <v/>
      </c>
    </row>
    <row r="17" ht="20.25" customFormat="1" customHeight="1" s="28">
      <c r="A17" s="84">
        <f>IF(A16="","",IF(MONTH(A16+1)=$C$2,A16+1,""))</f>
        <v>46367</v>
      </c>
      <c r="B17" s="32">
        <f>IF(A17="","","日")</f>
        <v/>
      </c>
      <c r="C17" s="31" t="str">
        <f>IF(A17="","","("&amp;CHOOSE(WEEKDAY(A17,2),"月","火","水","木","金","土","日")&amp;"）")</f>
        <v>(金）</v>
      </c>
      <c r="D17" s="85" t="n"/>
      <c r="E17" s="36" t="inlineStr">
        <is>
          <t>～</t>
        </is>
      </c>
      <c r="F17" s="85" t="n"/>
      <c r="G17" s="86" t="n"/>
      <c r="H17" s="86" t="n"/>
      <c r="I17" s="86" t="n"/>
      <c r="J17" s="86" t="n"/>
      <c r="K17" s="16">
        <f>IF($A17="","",IFERROR(VLOOKUP($A17,祝日リスト!$A$2:$C$40,3,0),""))</f>
        <v/>
      </c>
      <c r="N17">
        <f>IF(NOT(ISNUMBER($D17)),"",IF($D17&lt;1,$D17,(INT($D17/100)*60+MOD($D17,100))/1440))</f>
        <v/>
      </c>
      <c r="O17" s="35">
        <f>IF(NOT(ISNUMBER($F17)),"",IF($F17&lt;1,$F17,(INT($F17/100)*60+MOD($F17,100))/1440))</f>
        <v/>
      </c>
      <c r="P17">
        <f>IF(NOT(ISNUMBER($G17)),"",IF($G17&lt;1,$G17,(INT($G17/100)*60+MOD($G17,100))/1440))</f>
        <v/>
      </c>
      <c r="Q17">
        <f>IF(NOT(ISNUMBER($H17)),"",IF($H17&lt;1,$H17,(INT($H17/100)*60+MOD($H17,100))/1440))</f>
        <v/>
      </c>
      <c r="R17">
        <f>IF(NOT(ISNUMBER($I17)),"",IF($I17&lt;1,$I17,(INT($I17/100)*60+MOD($I17,100))/1440))</f>
        <v/>
      </c>
      <c r="S17">
        <f>IF(NOT(ISNUMBER($J17)),"",IF($J17&lt;1,$J17,(INT($J17/100)*60+MOD($J17,100))/1440))</f>
        <v/>
      </c>
      <c r="T17">
        <f>IF(OR($N17="",$O17=""),"",MOD($O17-$N17,1))</f>
        <v/>
      </c>
      <c r="U17">
        <f>IF($A17="","",IF($K17&lt;&gt;"","祝",IF(WEEKDAY($A17,2)=6,"土",IF(WEEKDAY($A17,2)=7,"日","平"))))</f>
        <v/>
      </c>
    </row>
    <row r="18" ht="20.25" customFormat="1" customHeight="1" s="28">
      <c r="A18" s="84">
        <f>IF(A17="","",IF(MONTH(A17+1)=$C$2,A17+1,""))</f>
        <v>46368</v>
      </c>
      <c r="B18" s="32">
        <f>IF(A18="","","日")</f>
        <v/>
      </c>
      <c r="C18" s="31" t="str">
        <f>IF(A18="","","("&amp;CHOOSE(WEEKDAY(A18,2),"月","火","水","木","金","土","日")&amp;"）")</f>
        <v>(土）</v>
      </c>
      <c r="D18" s="85" t="n"/>
      <c r="E18" s="36" t="inlineStr">
        <is>
          <t>～</t>
        </is>
      </c>
      <c r="F18" s="85" t="n"/>
      <c r="G18" s="86" t="n"/>
      <c r="H18" s="86" t="n"/>
      <c r="I18" s="86" t="n"/>
      <c r="J18" s="86" t="n"/>
      <c r="K18" s="16">
        <f>IF($A18="","",IFERROR(VLOOKUP($A18,祝日リスト!$A$2:$C$40,3,0),""))</f>
        <v/>
      </c>
      <c r="N18">
        <f>IF(NOT(ISNUMBER($D18)),"",IF($D18&lt;1,$D18,(INT($D18/100)*60+MOD($D18,100))/1440))</f>
        <v/>
      </c>
      <c r="O18" s="35">
        <f>IF(NOT(ISNUMBER($F18)),"",IF($F18&lt;1,$F18,(INT($F18/100)*60+MOD($F18,100))/1440))</f>
        <v/>
      </c>
      <c r="P18">
        <f>IF(NOT(ISNUMBER($G18)),"",IF($G18&lt;1,$G18,(INT($G18/100)*60+MOD($G18,100))/1440))</f>
        <v/>
      </c>
      <c r="Q18">
        <f>IF(NOT(ISNUMBER($H18)),"",IF($H18&lt;1,$H18,(INT($H18/100)*60+MOD($H18,100))/1440))</f>
        <v/>
      </c>
      <c r="R18">
        <f>IF(NOT(ISNUMBER($I18)),"",IF($I18&lt;1,$I18,(INT($I18/100)*60+MOD($I18,100))/1440))</f>
        <v/>
      </c>
      <c r="S18">
        <f>IF(NOT(ISNUMBER($J18)),"",IF($J18&lt;1,$J18,(INT($J18/100)*60+MOD($J18,100))/1440))</f>
        <v/>
      </c>
      <c r="T18">
        <f>IF(OR($N18="",$O18=""),"",MOD($O18-$N18,1))</f>
        <v/>
      </c>
      <c r="U18">
        <f>IF($A18="","",IF($K18&lt;&gt;"","祝",IF(WEEKDAY($A18,2)=6,"土",IF(WEEKDAY($A18,2)=7,"日","平"))))</f>
        <v/>
      </c>
    </row>
    <row r="19" ht="20.25" customFormat="1" customHeight="1" s="28">
      <c r="A19" s="84">
        <f>IF(A18="","",IF(MONTH(A18+1)=$C$2,A18+1,""))</f>
        <v>46369</v>
      </c>
      <c r="B19" s="32">
        <f>IF(A19="","","日")</f>
        <v/>
      </c>
      <c r="C19" s="31" t="str">
        <f>IF(A19="","","("&amp;CHOOSE(WEEKDAY(A19,2),"月","火","水","木","金","土","日")&amp;"）")</f>
        <v>(日）</v>
      </c>
      <c r="D19" s="85" t="n"/>
      <c r="E19" s="36" t="inlineStr">
        <is>
          <t>～</t>
        </is>
      </c>
      <c r="F19" s="85" t="n"/>
      <c r="G19" s="86" t="n"/>
      <c r="H19" s="86" t="n"/>
      <c r="I19" s="86" t="n"/>
      <c r="J19" s="86" t="n"/>
      <c r="K19" s="16">
        <f>IF($A19="","",IFERROR(VLOOKUP($A19,祝日リスト!$A$2:$C$40,3,0),""))</f>
        <v/>
      </c>
      <c r="N19">
        <f>IF(NOT(ISNUMBER($D19)),"",IF($D19&lt;1,$D19,(INT($D19/100)*60+MOD($D19,100))/1440))</f>
        <v/>
      </c>
      <c r="O19" s="35">
        <f>IF(NOT(ISNUMBER($F19)),"",IF($F19&lt;1,$F19,(INT($F19/100)*60+MOD($F19,100))/1440))</f>
        <v/>
      </c>
      <c r="P19">
        <f>IF(NOT(ISNUMBER($G19)),"",IF($G19&lt;1,$G19,(INT($G19/100)*60+MOD($G19,100))/1440))</f>
        <v/>
      </c>
      <c r="Q19">
        <f>IF(NOT(ISNUMBER($H19)),"",IF($H19&lt;1,$H19,(INT($H19/100)*60+MOD($H19,100))/1440))</f>
        <v/>
      </c>
      <c r="R19">
        <f>IF(NOT(ISNUMBER($I19)),"",IF($I19&lt;1,$I19,(INT($I19/100)*60+MOD($I19,100))/1440))</f>
        <v/>
      </c>
      <c r="S19">
        <f>IF(NOT(ISNUMBER($J19)),"",IF($J19&lt;1,$J19,(INT($J19/100)*60+MOD($J19,100))/1440))</f>
        <v/>
      </c>
      <c r="T19">
        <f>IF(OR($N19="",$O19=""),"",MOD($O19-$N19,1))</f>
        <v/>
      </c>
      <c r="U19">
        <f>IF($A19="","",IF($K19&lt;&gt;"","祝",IF(WEEKDAY($A19,2)=6,"土",IF(WEEKDAY($A19,2)=7,"日","平"))))</f>
        <v/>
      </c>
    </row>
    <row r="20" ht="20.25" customFormat="1" customHeight="1" s="28">
      <c r="A20" s="84">
        <f>IF(A19="","",IF(MONTH(A19+1)=$C$2,A19+1,""))</f>
        <v>46370</v>
      </c>
      <c r="B20" s="32">
        <f>IF(A20="","","日")</f>
        <v/>
      </c>
      <c r="C20" s="31" t="str">
        <f>IF(A20="","","("&amp;CHOOSE(WEEKDAY(A20,2),"月","火","水","木","金","土","日")&amp;"）")</f>
        <v>(月）</v>
      </c>
      <c r="D20" s="85" t="n"/>
      <c r="E20" s="36" t="inlineStr">
        <is>
          <t>～</t>
        </is>
      </c>
      <c r="F20" s="85" t="n"/>
      <c r="G20" s="86" t="n"/>
      <c r="H20" s="86" t="n"/>
      <c r="I20" s="86" t="n"/>
      <c r="J20" s="86" t="n"/>
      <c r="K20" s="16">
        <f>IF($A20="","",IFERROR(VLOOKUP($A20,祝日リスト!$A$2:$C$40,3,0),""))</f>
        <v/>
      </c>
      <c r="N20">
        <f>IF(NOT(ISNUMBER($D20)),"",IF($D20&lt;1,$D20,(INT($D20/100)*60+MOD($D20,100))/1440))</f>
        <v/>
      </c>
      <c r="O20" s="35">
        <f>IF(NOT(ISNUMBER($F20)),"",IF($F20&lt;1,$F20,(INT($F20/100)*60+MOD($F20,100))/1440))</f>
        <v/>
      </c>
      <c r="P20">
        <f>IF(NOT(ISNUMBER($G20)),"",IF($G20&lt;1,$G20,(INT($G20/100)*60+MOD($G20,100))/1440))</f>
        <v/>
      </c>
      <c r="Q20">
        <f>IF(NOT(ISNUMBER($H20)),"",IF($H20&lt;1,$H20,(INT($H20/100)*60+MOD($H20,100))/1440))</f>
        <v/>
      </c>
      <c r="R20">
        <f>IF(NOT(ISNUMBER($I20)),"",IF($I20&lt;1,$I20,(INT($I20/100)*60+MOD($I20,100))/1440))</f>
        <v/>
      </c>
      <c r="S20">
        <f>IF(NOT(ISNUMBER($J20)),"",IF($J20&lt;1,$J20,(INT($J20/100)*60+MOD($J20,100))/1440))</f>
        <v/>
      </c>
      <c r="T20">
        <f>IF(OR($N20="",$O20=""),"",MOD($O20-$N20,1))</f>
        <v/>
      </c>
      <c r="U20">
        <f>IF($A20="","",IF($K20&lt;&gt;"","祝",IF(WEEKDAY($A20,2)=6,"土",IF(WEEKDAY($A20,2)=7,"日","平"))))</f>
        <v/>
      </c>
    </row>
    <row r="21" ht="20.25" customFormat="1" customHeight="1" s="28">
      <c r="A21" s="84">
        <f>IF(A20="","",IF(MONTH(A20+1)=$C$2,A20+1,""))</f>
        <v>46371</v>
      </c>
      <c r="B21" s="32">
        <f>IF(A21="","","日")</f>
        <v/>
      </c>
      <c r="C21" s="31" t="str">
        <f>IF(A21="","","("&amp;CHOOSE(WEEKDAY(A21,2),"月","火","水","木","金","土","日")&amp;"）")</f>
        <v>(火）</v>
      </c>
      <c r="D21" s="85" t="n"/>
      <c r="E21" s="36" t="inlineStr">
        <is>
          <t>～</t>
        </is>
      </c>
      <c r="F21" s="85" t="n"/>
      <c r="G21" s="86" t="n"/>
      <c r="H21" s="86" t="n"/>
      <c r="I21" s="86" t="n"/>
      <c r="J21" s="86" t="n"/>
      <c r="K21" s="16">
        <f>IF($A21="","",IFERROR(VLOOKUP($A21,祝日リスト!$A$2:$C$40,3,0),""))</f>
        <v/>
      </c>
      <c r="N21">
        <f>IF(NOT(ISNUMBER($D21)),"",IF($D21&lt;1,$D21,(INT($D21/100)*60+MOD($D21,100))/1440))</f>
        <v/>
      </c>
      <c r="O21" s="35">
        <f>IF(NOT(ISNUMBER($F21)),"",IF($F21&lt;1,$F21,(INT($F21/100)*60+MOD($F21,100))/1440))</f>
        <v/>
      </c>
      <c r="P21">
        <f>IF(NOT(ISNUMBER($G21)),"",IF($G21&lt;1,$G21,(INT($G21/100)*60+MOD($G21,100))/1440))</f>
        <v/>
      </c>
      <c r="Q21">
        <f>IF(NOT(ISNUMBER($H21)),"",IF($H21&lt;1,$H21,(INT($H21/100)*60+MOD($H21,100))/1440))</f>
        <v/>
      </c>
      <c r="R21">
        <f>IF(NOT(ISNUMBER($I21)),"",IF($I21&lt;1,$I21,(INT($I21/100)*60+MOD($I21,100))/1440))</f>
        <v/>
      </c>
      <c r="S21">
        <f>IF(NOT(ISNUMBER($J21)),"",IF($J21&lt;1,$J21,(INT($J21/100)*60+MOD($J21,100))/1440))</f>
        <v/>
      </c>
      <c r="T21">
        <f>IF(OR($N21="",$O21=""),"",MOD($O21-$N21,1))</f>
        <v/>
      </c>
      <c r="U21">
        <f>IF($A21="","",IF($K21&lt;&gt;"","祝",IF(WEEKDAY($A21,2)=6,"土",IF(WEEKDAY($A21,2)=7,"日","平"))))</f>
        <v/>
      </c>
    </row>
    <row r="22" ht="20.25" customFormat="1" customHeight="1" s="28">
      <c r="A22" s="84">
        <f>IF(A21="","",IF(MONTH(A21+1)=$C$2,A21+1,""))</f>
        <v>46372</v>
      </c>
      <c r="B22" s="32">
        <f>IF(A22="","","日")</f>
        <v/>
      </c>
      <c r="C22" s="31" t="str">
        <f>IF(A22="","","("&amp;CHOOSE(WEEKDAY(A22,2),"月","火","水","木","金","土","日")&amp;"）")</f>
        <v>(水）</v>
      </c>
      <c r="D22" s="85" t="n"/>
      <c r="E22" s="36" t="inlineStr">
        <is>
          <t>～</t>
        </is>
      </c>
      <c r="F22" s="85" t="n"/>
      <c r="G22" s="86" t="n"/>
      <c r="H22" s="86" t="n"/>
      <c r="I22" s="86" t="n"/>
      <c r="J22" s="86" t="n"/>
      <c r="K22" s="16">
        <f>IF($A22="","",IFERROR(VLOOKUP($A22,祝日リスト!$A$2:$C$40,3,0),""))</f>
        <v/>
      </c>
      <c r="L22" s="4" t="n"/>
      <c r="M22" s="4" t="n"/>
      <c r="N22" s="4">
        <f>IF(NOT(ISNUMBER($D22)),"",IF($D22&lt;1,$D22,(INT($D22/100)*60+MOD($D22,100))/1440))</f>
        <v/>
      </c>
      <c r="O22" s="35">
        <f>IF(NOT(ISNUMBER($F22)),"",IF($F22&lt;1,$F22,(INT($F22/100)*60+MOD($F22,100))/1440))</f>
        <v/>
      </c>
      <c r="P22" s="4">
        <f>IF(NOT(ISNUMBER($G22)),"",IF($G22&lt;1,$G22,(INT($G22/100)*60+MOD($G22,100))/1440))</f>
        <v/>
      </c>
      <c r="Q22" s="4">
        <f>IF(NOT(ISNUMBER($H22)),"",IF($H22&lt;1,$H22,(INT($H22/100)*60+MOD($H22,100))/1440))</f>
        <v/>
      </c>
      <c r="R22" s="4">
        <f>IF(NOT(ISNUMBER($I22)),"",IF($I22&lt;1,$I22,(INT($I22/100)*60+MOD($I22,100))/1440))</f>
        <v/>
      </c>
      <c r="S22" s="4">
        <f>IF(NOT(ISNUMBER($J22)),"",IF($J22&lt;1,$J22,(INT($J22/100)*60+MOD($J22,100))/1440))</f>
        <v/>
      </c>
      <c r="T22" s="4">
        <f>IF(OR($N22="",$O22=""),"",MOD($O22-$N22,1))</f>
        <v/>
      </c>
      <c r="U22" s="4">
        <f>IF($A22="","",IF($K22&lt;&gt;"","祝",IF(WEEKDAY($A22,2)=6,"土",IF(WEEKDAY($A22,2)=7,"日","平"))))</f>
        <v/>
      </c>
      <c r="V22" s="4" t="n"/>
      <c r="W22" s="4" t="n"/>
      <c r="X22" s="4" t="n"/>
      <c r="Y22" s="4" t="n"/>
      <c r="Z22" s="4" t="n"/>
      <c r="AA22" s="4" t="n"/>
    </row>
    <row r="23" ht="20.25" customFormat="1" customHeight="1" s="28">
      <c r="A23" s="84">
        <f>IF(A22="","",IF(MONTH(A22+1)=$C$2,A22+1,""))</f>
        <v>46373</v>
      </c>
      <c r="B23" s="32">
        <f>IF(A23="","","日")</f>
        <v/>
      </c>
      <c r="C23" s="31" t="str">
        <f>IF(A23="","","("&amp;CHOOSE(WEEKDAY(A23,2),"月","火","水","木","金","土","日")&amp;"）")</f>
        <v>(木）</v>
      </c>
      <c r="D23" s="85" t="n"/>
      <c r="E23" s="36" t="inlineStr">
        <is>
          <t>～</t>
        </is>
      </c>
      <c r="F23" s="85" t="n"/>
      <c r="G23" s="86" t="n"/>
      <c r="H23" s="86" t="n"/>
      <c r="I23" s="86" t="n"/>
      <c r="J23" s="86" t="n"/>
      <c r="K23" s="16">
        <f>IF($A23="","",IFERROR(VLOOKUP($A23,祝日リスト!$A$2:$C$40,3,0),""))</f>
        <v/>
      </c>
      <c r="N23">
        <f>IF(NOT(ISNUMBER($D23)),"",IF($D23&lt;1,$D23,(INT($D23/100)*60+MOD($D23,100))/1440))</f>
        <v/>
      </c>
      <c r="O23" s="35">
        <f>IF(NOT(ISNUMBER($F23)),"",IF($F23&lt;1,$F23,(INT($F23/100)*60+MOD($F23,100))/1440))</f>
        <v/>
      </c>
      <c r="P23">
        <f>IF(NOT(ISNUMBER($G23)),"",IF($G23&lt;1,$G23,(INT($G23/100)*60+MOD($G23,100))/1440))</f>
        <v/>
      </c>
      <c r="Q23">
        <f>IF(NOT(ISNUMBER($H23)),"",IF($H23&lt;1,$H23,(INT($H23/100)*60+MOD($H23,100))/1440))</f>
        <v/>
      </c>
      <c r="R23">
        <f>IF(NOT(ISNUMBER($I23)),"",IF($I23&lt;1,$I23,(INT($I23/100)*60+MOD($I23,100))/1440))</f>
        <v/>
      </c>
      <c r="S23">
        <f>IF(NOT(ISNUMBER($J23)),"",IF($J23&lt;1,$J23,(INT($J23/100)*60+MOD($J23,100))/1440))</f>
        <v/>
      </c>
      <c r="T23">
        <f>IF(OR($N23="",$O23=""),"",MOD($O23-$N23,1))</f>
        <v/>
      </c>
      <c r="U23">
        <f>IF($A23="","",IF($K23&lt;&gt;"","祝",IF(WEEKDAY($A23,2)=6,"土",IF(WEEKDAY($A23,2)=7,"日","平"))))</f>
        <v/>
      </c>
    </row>
    <row r="24" ht="20.25" customFormat="1" customHeight="1" s="28">
      <c r="A24" s="84">
        <f>IF(A23="","",IF(MONTH(A23+1)=$C$2,A23+1,""))</f>
        <v>46374</v>
      </c>
      <c r="B24" s="32">
        <f>IF(A24="","","日")</f>
        <v/>
      </c>
      <c r="C24" s="31" t="str">
        <f>IF(A24="","","("&amp;CHOOSE(WEEKDAY(A24,2),"月","火","水","木","金","土","日")&amp;"）")</f>
        <v>(金）</v>
      </c>
      <c r="D24" s="85" t="n"/>
      <c r="E24" s="36" t="inlineStr">
        <is>
          <t>～</t>
        </is>
      </c>
      <c r="F24" s="85" t="n"/>
      <c r="G24" s="86" t="n"/>
      <c r="H24" s="86" t="n"/>
      <c r="I24" s="86" t="n"/>
      <c r="J24" s="86" t="n"/>
      <c r="K24" s="16">
        <f>IF($A24="","",IFERROR(VLOOKUP($A24,祝日リスト!$A$2:$C$40,3,0),""))</f>
        <v/>
      </c>
      <c r="N24">
        <f>IF(NOT(ISNUMBER($D24)),"",IF($D24&lt;1,$D24,(INT($D24/100)*60+MOD($D24,100))/1440))</f>
        <v/>
      </c>
      <c r="O24" s="35">
        <f>IF(NOT(ISNUMBER($F24)),"",IF($F24&lt;1,$F24,(INT($F24/100)*60+MOD($F24,100))/1440))</f>
        <v/>
      </c>
      <c r="P24">
        <f>IF(NOT(ISNUMBER($G24)),"",IF($G24&lt;1,$G24,(INT($G24/100)*60+MOD($G24,100))/1440))</f>
        <v/>
      </c>
      <c r="Q24">
        <f>IF(NOT(ISNUMBER($H24)),"",IF($H24&lt;1,$H24,(INT($H24/100)*60+MOD($H24,100))/1440))</f>
        <v/>
      </c>
      <c r="R24">
        <f>IF(NOT(ISNUMBER($I24)),"",IF($I24&lt;1,$I24,(INT($I24/100)*60+MOD($I24,100))/1440))</f>
        <v/>
      </c>
      <c r="S24">
        <f>IF(NOT(ISNUMBER($J24)),"",IF($J24&lt;1,$J24,(INT($J24/100)*60+MOD($J24,100))/1440))</f>
        <v/>
      </c>
      <c r="T24">
        <f>IF(OR($N24="",$O24=""),"",MOD($O24-$N24,1))</f>
        <v/>
      </c>
      <c r="U24">
        <f>IF($A24="","",IF($K24&lt;&gt;"","祝",IF(WEEKDAY($A24,2)=6,"土",IF(WEEKDAY($A24,2)=7,"日","平"))))</f>
        <v/>
      </c>
    </row>
    <row r="25" ht="20.25" customFormat="1" customHeight="1" s="28">
      <c r="A25" s="84">
        <f>IF(A24="","",IF(MONTH(A24+1)=$C$2,A24+1,""))</f>
        <v>46375</v>
      </c>
      <c r="B25" s="32">
        <f>IF(A25="","","日")</f>
        <v/>
      </c>
      <c r="C25" s="31" t="str">
        <f>IF(A25="","","("&amp;CHOOSE(WEEKDAY(A25,2),"月","火","水","木","金","土","日")&amp;"）")</f>
        <v>(土）</v>
      </c>
      <c r="D25" s="85" t="n"/>
      <c r="E25" s="36" t="inlineStr">
        <is>
          <t>～</t>
        </is>
      </c>
      <c r="F25" s="85" t="n"/>
      <c r="G25" s="86" t="n"/>
      <c r="H25" s="86" t="n"/>
      <c r="I25" s="86" t="n"/>
      <c r="J25" s="86" t="n"/>
      <c r="K25" s="16">
        <f>IF($A25="","",IFERROR(VLOOKUP($A25,祝日リスト!$A$2:$C$40,3,0),""))</f>
        <v/>
      </c>
      <c r="N25">
        <f>IF(NOT(ISNUMBER($D25)),"",IF($D25&lt;1,$D25,(INT($D25/100)*60+MOD($D25,100))/1440))</f>
        <v/>
      </c>
      <c r="O25" s="35">
        <f>IF(NOT(ISNUMBER($F25)),"",IF($F25&lt;1,$F25,(INT($F25/100)*60+MOD($F25,100))/1440))</f>
        <v/>
      </c>
      <c r="P25">
        <f>IF(NOT(ISNUMBER($G25)),"",IF($G25&lt;1,$G25,(INT($G25/100)*60+MOD($G25,100))/1440))</f>
        <v/>
      </c>
      <c r="Q25">
        <f>IF(NOT(ISNUMBER($H25)),"",IF($H25&lt;1,$H25,(INT($H25/100)*60+MOD($H25,100))/1440))</f>
        <v/>
      </c>
      <c r="R25">
        <f>IF(NOT(ISNUMBER($I25)),"",IF($I25&lt;1,$I25,(INT($I25/100)*60+MOD($I25,100))/1440))</f>
        <v/>
      </c>
      <c r="S25">
        <f>IF(NOT(ISNUMBER($J25)),"",IF($J25&lt;1,$J25,(INT($J25/100)*60+MOD($J25,100))/1440))</f>
        <v/>
      </c>
      <c r="T25">
        <f>IF(OR($N25="",$O25=""),"",MOD($O25-$N25,1))</f>
        <v/>
      </c>
      <c r="U25">
        <f>IF($A25="","",IF($K25&lt;&gt;"","祝",IF(WEEKDAY($A25,2)=6,"土",IF(WEEKDAY($A25,2)=7,"日","平"))))</f>
        <v/>
      </c>
    </row>
    <row r="26" ht="20.25" customFormat="1" customHeight="1" s="28">
      <c r="A26" s="84">
        <f>IF(A25="","",IF(MONTH(A25+1)=$C$2,A25+1,""))</f>
        <v>46376</v>
      </c>
      <c r="B26" s="32">
        <f>IF(A26="","","日")</f>
        <v/>
      </c>
      <c r="C26" s="31" t="str">
        <f>IF(A26="","","("&amp;CHOOSE(WEEKDAY(A26,2),"月","火","水","木","金","土","日")&amp;"）")</f>
        <v>(日）</v>
      </c>
      <c r="D26" s="85" t="n"/>
      <c r="E26" s="36" t="inlineStr">
        <is>
          <t>～</t>
        </is>
      </c>
      <c r="F26" s="85" t="n"/>
      <c r="G26" s="86" t="n"/>
      <c r="H26" s="86" t="n"/>
      <c r="I26" s="86" t="n"/>
      <c r="J26" s="86" t="n"/>
      <c r="K26" s="16">
        <f>IF($A26="","",IFERROR(VLOOKUP($A26,祝日リスト!$A$2:$C$40,3,0),""))</f>
        <v/>
      </c>
      <c r="L26" s="4" t="n"/>
      <c r="M26" s="4" t="n"/>
      <c r="N26" s="4">
        <f>IF(NOT(ISNUMBER($D26)),"",IF($D26&lt;1,$D26,(INT($D26/100)*60+MOD($D26,100))/1440))</f>
        <v/>
      </c>
      <c r="O26" s="35">
        <f>IF(NOT(ISNUMBER($F26)),"",IF($F26&lt;1,$F26,(INT($F26/100)*60+MOD($F26,100))/1440))</f>
        <v/>
      </c>
      <c r="P26" s="4">
        <f>IF(NOT(ISNUMBER($G26)),"",IF($G26&lt;1,$G26,(INT($G26/100)*60+MOD($G26,100))/1440))</f>
        <v/>
      </c>
      <c r="Q26" s="4">
        <f>IF(NOT(ISNUMBER($H26)),"",IF($H26&lt;1,$H26,(INT($H26/100)*60+MOD($H26,100))/1440))</f>
        <v/>
      </c>
      <c r="R26" s="4">
        <f>IF(NOT(ISNUMBER($I26)),"",IF($I26&lt;1,$I26,(INT($I26/100)*60+MOD($I26,100))/1440))</f>
        <v/>
      </c>
      <c r="S26" s="4">
        <f>IF(NOT(ISNUMBER($J26)),"",IF($J26&lt;1,$J26,(INT($J26/100)*60+MOD($J26,100))/1440))</f>
        <v/>
      </c>
      <c r="T26" s="4">
        <f>IF(OR($N26="",$O26=""),"",MOD($O26-$N26,1))</f>
        <v/>
      </c>
      <c r="U26" s="4">
        <f>IF($A26="","",IF($K26&lt;&gt;"","祝",IF(WEEKDAY($A26,2)=6,"土",IF(WEEKDAY($A26,2)=7,"日","平"))))</f>
        <v/>
      </c>
      <c r="V26" s="4" t="n"/>
      <c r="W26" s="4" t="n"/>
      <c r="X26" s="4" t="n"/>
      <c r="Y26" s="4" t="n"/>
      <c r="Z26" s="4" t="n"/>
      <c r="AA26" s="4" t="n"/>
    </row>
    <row r="27" ht="20.25" customFormat="1" customHeight="1" s="28">
      <c r="A27" s="84">
        <f>IF(A26="","",IF(MONTH(A26+1)=$C$2,A26+1,""))</f>
        <v>46377</v>
      </c>
      <c r="B27" s="32">
        <f>IF(A27="","","日")</f>
        <v/>
      </c>
      <c r="C27" s="31" t="str">
        <f>IF(A27="","","("&amp;CHOOSE(WEEKDAY(A27,2),"月","火","水","木","金","土","日")&amp;"）")</f>
        <v>(月）</v>
      </c>
      <c r="D27" s="85" t="n"/>
      <c r="E27" s="36" t="inlineStr">
        <is>
          <t>～</t>
        </is>
      </c>
      <c r="F27" s="85" t="n"/>
      <c r="G27" s="86" t="n"/>
      <c r="H27" s="86" t="n"/>
      <c r="I27" s="86" t="n"/>
      <c r="J27" s="86" t="n"/>
      <c r="K27" s="16">
        <f>IF($A27="","",IFERROR(VLOOKUP($A27,祝日リスト!$A$2:$C$40,3,0),""))</f>
        <v/>
      </c>
      <c r="N27">
        <f>IF(NOT(ISNUMBER($D27)),"",IF($D27&lt;1,$D27,(INT($D27/100)*60+MOD($D27,100))/1440))</f>
        <v/>
      </c>
      <c r="O27" s="35">
        <f>IF(NOT(ISNUMBER($F27)),"",IF($F27&lt;1,$F27,(INT($F27/100)*60+MOD($F27,100))/1440))</f>
        <v/>
      </c>
      <c r="P27">
        <f>IF(NOT(ISNUMBER($G27)),"",IF($G27&lt;1,$G27,(INT($G27/100)*60+MOD($G27,100))/1440))</f>
        <v/>
      </c>
      <c r="Q27">
        <f>IF(NOT(ISNUMBER($H27)),"",IF($H27&lt;1,$H27,(INT($H27/100)*60+MOD($H27,100))/1440))</f>
        <v/>
      </c>
      <c r="R27">
        <f>IF(NOT(ISNUMBER($I27)),"",IF($I27&lt;1,$I27,(INT($I27/100)*60+MOD($I27,100))/1440))</f>
        <v/>
      </c>
      <c r="S27">
        <f>IF(NOT(ISNUMBER($J27)),"",IF($J27&lt;1,$J27,(INT($J27/100)*60+MOD($J27,100))/1440))</f>
        <v/>
      </c>
      <c r="T27">
        <f>IF(OR($N27="",$O27=""),"",MOD($O27-$N27,1))</f>
        <v/>
      </c>
      <c r="U27">
        <f>IF($A27="","",IF($K27&lt;&gt;"","祝",IF(WEEKDAY($A27,2)=6,"土",IF(WEEKDAY($A27,2)=7,"日","平"))))</f>
        <v/>
      </c>
    </row>
    <row r="28" ht="20.25" customFormat="1" customHeight="1" s="28">
      <c r="A28" s="84">
        <f>IF(A27="","",IF(MONTH(A27+1)=$C$2,A27+1,""))</f>
        <v>46378</v>
      </c>
      <c r="B28" s="32">
        <f>IF(A28="","","日")</f>
        <v/>
      </c>
      <c r="C28" s="31" t="str">
        <f>IF(A28="","","("&amp;CHOOSE(WEEKDAY(A28,2),"月","火","水","木","金","土","日")&amp;"）")</f>
        <v>(火）</v>
      </c>
      <c r="D28" s="85" t="n"/>
      <c r="E28" s="36" t="inlineStr">
        <is>
          <t>～</t>
        </is>
      </c>
      <c r="F28" s="85" t="n"/>
      <c r="G28" s="86" t="n"/>
      <c r="H28" s="86" t="n"/>
      <c r="I28" s="86" t="n"/>
      <c r="J28" s="86" t="n"/>
      <c r="K28" s="16">
        <f>IF($A28="","",IFERROR(VLOOKUP($A28,祝日リスト!$A$2:$C$40,3,0),""))</f>
        <v/>
      </c>
      <c r="N28">
        <f>IF(NOT(ISNUMBER($D28)),"",IF($D28&lt;1,$D28,(INT($D28/100)*60+MOD($D28,100))/1440))</f>
        <v/>
      </c>
      <c r="O28" s="35">
        <f>IF(NOT(ISNUMBER($F28)),"",IF($F28&lt;1,$F28,(INT($F28/100)*60+MOD($F28,100))/1440))</f>
        <v/>
      </c>
      <c r="P28">
        <f>IF(NOT(ISNUMBER($G28)),"",IF($G28&lt;1,$G28,(INT($G28/100)*60+MOD($G28,100))/1440))</f>
        <v/>
      </c>
      <c r="Q28">
        <f>IF(NOT(ISNUMBER($H28)),"",IF($H28&lt;1,$H28,(INT($H28/100)*60+MOD($H28,100))/1440))</f>
        <v/>
      </c>
      <c r="R28">
        <f>IF(NOT(ISNUMBER($I28)),"",IF($I28&lt;1,$I28,(INT($I28/100)*60+MOD($I28,100))/1440))</f>
        <v/>
      </c>
      <c r="S28">
        <f>IF(NOT(ISNUMBER($J28)),"",IF($J28&lt;1,$J28,(INT($J28/100)*60+MOD($J28,100))/1440))</f>
        <v/>
      </c>
      <c r="T28">
        <f>IF(OR($N28="",$O28=""),"",MOD($O28-$N28,1))</f>
        <v/>
      </c>
      <c r="U28">
        <f>IF($A28="","",IF($K28&lt;&gt;"","祝",IF(WEEKDAY($A28,2)=6,"土",IF(WEEKDAY($A28,2)=7,"日","平"))))</f>
        <v/>
      </c>
    </row>
    <row r="29" ht="20.25" customFormat="1" customHeight="1" s="28">
      <c r="A29" s="84">
        <f>IF(A28="","",IF(MONTH(A28+1)=$C$2,A28+1,""))</f>
        <v>46379</v>
      </c>
      <c r="B29" s="32">
        <f>IF(A29="","","日")</f>
        <v/>
      </c>
      <c r="C29" s="31" t="str">
        <f>IF(A29="","","("&amp;CHOOSE(WEEKDAY(A29,2),"月","火","水","木","金","土","日")&amp;"）")</f>
        <v>(水）</v>
      </c>
      <c r="D29" s="85" t="n"/>
      <c r="E29" s="36" t="inlineStr">
        <is>
          <t>～</t>
        </is>
      </c>
      <c r="F29" s="85" t="n"/>
      <c r="G29" s="86" t="n"/>
      <c r="H29" s="86" t="n"/>
      <c r="I29" s="86" t="n"/>
      <c r="J29" s="86" t="n"/>
      <c r="K29" s="16">
        <f>IF($A29="","",IFERROR(VLOOKUP($A29,祝日リスト!$A$2:$C$40,3,0),""))</f>
        <v/>
      </c>
      <c r="N29">
        <f>IF(NOT(ISNUMBER($D29)),"",IF($D29&lt;1,$D29,(INT($D29/100)*60+MOD($D29,100))/1440))</f>
        <v/>
      </c>
      <c r="O29" s="35">
        <f>IF(NOT(ISNUMBER($F29)),"",IF($F29&lt;1,$F29,(INT($F29/100)*60+MOD($F29,100))/1440))</f>
        <v/>
      </c>
      <c r="P29">
        <f>IF(NOT(ISNUMBER($G29)),"",IF($G29&lt;1,$G29,(INT($G29/100)*60+MOD($G29,100))/1440))</f>
        <v/>
      </c>
      <c r="Q29">
        <f>IF(NOT(ISNUMBER($H29)),"",IF($H29&lt;1,$H29,(INT($H29/100)*60+MOD($H29,100))/1440))</f>
        <v/>
      </c>
      <c r="R29">
        <f>IF(NOT(ISNUMBER($I29)),"",IF($I29&lt;1,$I29,(INT($I29/100)*60+MOD($I29,100))/1440))</f>
        <v/>
      </c>
      <c r="S29">
        <f>IF(NOT(ISNUMBER($J29)),"",IF($J29&lt;1,$J29,(INT($J29/100)*60+MOD($J29,100))/1440))</f>
        <v/>
      </c>
      <c r="T29">
        <f>IF(OR($N29="",$O29=""),"",MOD($O29-$N29,1))</f>
        <v/>
      </c>
      <c r="U29">
        <f>IF($A29="","",IF($K29&lt;&gt;"","祝",IF(WEEKDAY($A29,2)=6,"土",IF(WEEKDAY($A29,2)=7,"日","平"))))</f>
        <v/>
      </c>
    </row>
    <row r="30" ht="20.25" customFormat="1" customHeight="1" s="28">
      <c r="A30" s="84">
        <f>IF(A29="","",IF(MONTH(A29+1)=$C$2,A29+1,""))</f>
        <v>46380</v>
      </c>
      <c r="B30" s="32">
        <f>IF(A30="","","日")</f>
        <v/>
      </c>
      <c r="C30" s="31" t="str">
        <f>IF(A30="","","("&amp;CHOOSE(WEEKDAY(A30,2),"月","火","水","木","金","土","日")&amp;"）")</f>
        <v>(木）</v>
      </c>
      <c r="D30" s="85" t="n"/>
      <c r="E30" s="36" t="inlineStr">
        <is>
          <t>～</t>
        </is>
      </c>
      <c r="F30" s="85" t="n"/>
      <c r="G30" s="86" t="n"/>
      <c r="H30" s="86" t="n"/>
      <c r="I30" s="86" t="n"/>
      <c r="J30" s="86" t="n"/>
      <c r="K30" s="16">
        <f>IF($A30="","",IFERROR(VLOOKUP($A30,祝日リスト!$A$2:$C$40,3,0),""))</f>
        <v/>
      </c>
      <c r="N30">
        <f>IF(NOT(ISNUMBER($D30)),"",IF($D30&lt;1,$D30,(INT($D30/100)*60+MOD($D30,100))/1440))</f>
        <v/>
      </c>
      <c r="O30" s="35">
        <f>IF(NOT(ISNUMBER($F30)),"",IF($F30&lt;1,$F30,(INT($F30/100)*60+MOD($F30,100))/1440))</f>
        <v/>
      </c>
      <c r="P30">
        <f>IF(NOT(ISNUMBER($G30)),"",IF($G30&lt;1,$G30,(INT($G30/100)*60+MOD($G30,100))/1440))</f>
        <v/>
      </c>
      <c r="Q30">
        <f>IF(NOT(ISNUMBER($H30)),"",IF($H30&lt;1,$H30,(INT($H30/100)*60+MOD($H30,100))/1440))</f>
        <v/>
      </c>
      <c r="R30">
        <f>IF(NOT(ISNUMBER($I30)),"",IF($I30&lt;1,$I30,(INT($I30/100)*60+MOD($I30,100))/1440))</f>
        <v/>
      </c>
      <c r="S30">
        <f>IF(NOT(ISNUMBER($J30)),"",IF($J30&lt;1,$J30,(INT($J30/100)*60+MOD($J30,100))/1440))</f>
        <v/>
      </c>
      <c r="T30">
        <f>IF(OR($N30="",$O30=""),"",MOD($O30-$N30,1))</f>
        <v/>
      </c>
      <c r="U30">
        <f>IF($A30="","",IF($K30&lt;&gt;"","祝",IF(WEEKDAY($A30,2)=6,"土",IF(WEEKDAY($A30,2)=7,"日","平"))))</f>
        <v/>
      </c>
    </row>
    <row r="31" ht="20.25" customFormat="1" customHeight="1" s="28">
      <c r="A31" s="84">
        <f>IF(A30="","",IF(MONTH(A30+1)=$C$2,A30+1,""))</f>
        <v>46381</v>
      </c>
      <c r="B31" s="32">
        <f>IF(A31="","","日")</f>
        <v/>
      </c>
      <c r="C31" s="31" t="str">
        <f>IF(A31="","","("&amp;CHOOSE(WEEKDAY(A31,2),"月","火","水","木","金","土","日")&amp;"）")</f>
        <v>(金）</v>
      </c>
      <c r="D31" s="85" t="n"/>
      <c r="E31" s="36" t="inlineStr">
        <is>
          <t>～</t>
        </is>
      </c>
      <c r="F31" s="85" t="n"/>
      <c r="G31" s="86" t="n"/>
      <c r="H31" s="86" t="n"/>
      <c r="I31" s="86" t="n"/>
      <c r="J31" s="86" t="n"/>
      <c r="K31" s="16">
        <f>IF($A31="","",IFERROR(VLOOKUP($A31,祝日リスト!$A$2:$C$40,3,0),""))</f>
        <v/>
      </c>
      <c r="N31">
        <f>IF(NOT(ISNUMBER($D31)),"",IF($D31&lt;1,$D31,(INT($D31/100)*60+MOD($D31,100))/1440))</f>
        <v/>
      </c>
      <c r="O31" s="35">
        <f>IF(NOT(ISNUMBER($F31)),"",IF($F31&lt;1,$F31,(INT($F31/100)*60+MOD($F31,100))/1440))</f>
        <v/>
      </c>
      <c r="P31">
        <f>IF(NOT(ISNUMBER($G31)),"",IF($G31&lt;1,$G31,(INT($G31/100)*60+MOD($G31,100))/1440))</f>
        <v/>
      </c>
      <c r="Q31">
        <f>IF(NOT(ISNUMBER($H31)),"",IF($H31&lt;1,$H31,(INT($H31/100)*60+MOD($H31,100))/1440))</f>
        <v/>
      </c>
      <c r="R31">
        <f>IF(NOT(ISNUMBER($I31)),"",IF($I31&lt;1,$I31,(INT($I31/100)*60+MOD($I31,100))/1440))</f>
        <v/>
      </c>
      <c r="S31">
        <f>IF(NOT(ISNUMBER($J31)),"",IF($J31&lt;1,$J31,(INT($J31/100)*60+MOD($J31,100))/1440))</f>
        <v/>
      </c>
      <c r="T31">
        <f>IF(OR($N31="",$O31=""),"",MOD($O31-$N31,1))</f>
        <v/>
      </c>
      <c r="U31">
        <f>IF($A31="","",IF($K31&lt;&gt;"","祝",IF(WEEKDAY($A31,2)=6,"土",IF(WEEKDAY($A31,2)=7,"日","平"))))</f>
        <v/>
      </c>
    </row>
    <row r="32" ht="20.25" customFormat="1" customHeight="1" s="28">
      <c r="A32" s="84">
        <f>IF(A31="","",IF(MONTH(A31+1)=$C$2,A31+1,""))</f>
        <v>46382</v>
      </c>
      <c r="B32" s="32">
        <f>IF(A32="","","日")</f>
        <v/>
      </c>
      <c r="C32" s="31" t="str">
        <f>IF(A32="","","("&amp;CHOOSE(WEEKDAY(A32,2),"月","火","水","木","金","土","日")&amp;"）")</f>
        <v>(土）</v>
      </c>
      <c r="D32" s="85" t="n"/>
      <c r="E32" s="36" t="inlineStr">
        <is>
          <t>～</t>
        </is>
      </c>
      <c r="F32" s="85" t="n"/>
      <c r="G32" s="86" t="n"/>
      <c r="H32" s="86" t="n"/>
      <c r="I32" s="86" t="n"/>
      <c r="J32" s="86" t="n"/>
      <c r="K32" s="16">
        <f>IF($A32="","",IFERROR(VLOOKUP($A32,祝日リスト!$A$2:$C$40,3,0),""))</f>
        <v/>
      </c>
      <c r="N32">
        <f>IF(NOT(ISNUMBER($D32)),"",IF($D32&lt;1,$D32,(INT($D32/100)*60+MOD($D32,100))/1440))</f>
        <v/>
      </c>
      <c r="O32" s="35">
        <f>IF(NOT(ISNUMBER($F32)),"",IF($F32&lt;1,$F32,(INT($F32/100)*60+MOD($F32,100))/1440))</f>
        <v/>
      </c>
      <c r="P32">
        <f>IF(NOT(ISNUMBER($G32)),"",IF($G32&lt;1,$G32,(INT($G32/100)*60+MOD($G32,100))/1440))</f>
        <v/>
      </c>
      <c r="Q32">
        <f>IF(NOT(ISNUMBER($H32)),"",IF($H32&lt;1,$H32,(INT($H32/100)*60+MOD($H32,100))/1440))</f>
        <v/>
      </c>
      <c r="R32">
        <f>IF(NOT(ISNUMBER($I32)),"",IF($I32&lt;1,$I32,(INT($I32/100)*60+MOD($I32,100))/1440))</f>
        <v/>
      </c>
      <c r="S32">
        <f>IF(NOT(ISNUMBER($J32)),"",IF($J32&lt;1,$J32,(INT($J32/100)*60+MOD($J32,100))/1440))</f>
        <v/>
      </c>
      <c r="T32">
        <f>IF(OR($N32="",$O32=""),"",MOD($O32-$N32,1))</f>
        <v/>
      </c>
      <c r="U32">
        <f>IF($A32="","",IF($K32&lt;&gt;"","祝",IF(WEEKDAY($A32,2)=6,"土",IF(WEEKDAY($A32,2)=7,"日","平"))))</f>
        <v/>
      </c>
    </row>
    <row r="33" ht="20.25" customFormat="1" customHeight="1" s="28">
      <c r="A33" s="84">
        <f>IF(A32="","",IF(MONTH(A32+1)=$C$2,A32+1,""))</f>
        <v>46383</v>
      </c>
      <c r="B33" s="32">
        <f>IF(A33="","","日")</f>
        <v/>
      </c>
      <c r="C33" s="31" t="str">
        <f>IF(A33="","","("&amp;CHOOSE(WEEKDAY(A33,2),"月","火","水","木","金","土","日")&amp;"）")</f>
        <v>(日）</v>
      </c>
      <c r="D33" s="85" t="n"/>
      <c r="E33" s="36" t="inlineStr">
        <is>
          <t>～</t>
        </is>
      </c>
      <c r="F33" s="85" t="n"/>
      <c r="G33" s="86" t="n"/>
      <c r="H33" s="86" t="n"/>
      <c r="I33" s="86" t="n"/>
      <c r="J33" s="86" t="n"/>
      <c r="K33" s="16">
        <f>IF($A33="","",IFERROR(VLOOKUP($A33,祝日リスト!$A$2:$C$40,3,0),""))</f>
        <v/>
      </c>
      <c r="N33">
        <f>IF(NOT(ISNUMBER($D33)),"",IF($D33&lt;1,$D33,(INT($D33/100)*60+MOD($D33,100))/1440))</f>
        <v/>
      </c>
      <c r="O33" s="35">
        <f>IF(NOT(ISNUMBER($F33)),"",IF($F33&lt;1,$F33,(INT($F33/100)*60+MOD($F33,100))/1440))</f>
        <v/>
      </c>
      <c r="P33">
        <f>IF(NOT(ISNUMBER($G33)),"",IF($G33&lt;1,$G33,(INT($G33/100)*60+MOD($G33,100))/1440))</f>
        <v/>
      </c>
      <c r="Q33">
        <f>IF(NOT(ISNUMBER($H33)),"",IF($H33&lt;1,$H33,(INT($H33/100)*60+MOD($H33,100))/1440))</f>
        <v/>
      </c>
      <c r="R33">
        <f>IF(NOT(ISNUMBER($I33)),"",IF($I33&lt;1,$I33,(INT($I33/100)*60+MOD($I33,100))/1440))</f>
        <v/>
      </c>
      <c r="S33">
        <f>IF(NOT(ISNUMBER($J33)),"",IF($J33&lt;1,$J33,(INT($J33/100)*60+MOD($J33,100))/1440))</f>
        <v/>
      </c>
      <c r="T33">
        <f>IF(OR($N33="",$O33=""),"",MOD($O33-$N33,1))</f>
        <v/>
      </c>
      <c r="U33">
        <f>IF($A33="","",IF($K33&lt;&gt;"","祝",IF(WEEKDAY($A33,2)=6,"土",IF(WEEKDAY($A33,2)=7,"日","平"))))</f>
        <v/>
      </c>
    </row>
    <row r="34" ht="20.25" customFormat="1" customHeight="1" s="28">
      <c r="A34" s="84">
        <f>IF(A33="","",IF(MONTH(A33+1)=$C$2,A33+1,""))</f>
        <v>46384</v>
      </c>
      <c r="B34" s="32">
        <f>IF(A34="","","日")</f>
        <v/>
      </c>
      <c r="C34" s="31" t="str">
        <f>IF(A34="","","("&amp;CHOOSE(WEEKDAY(A34,2),"月","火","水","木","金","土","日")&amp;"）")</f>
        <v>(月）</v>
      </c>
      <c r="D34" s="85" t="n"/>
      <c r="E34" s="36" t="inlineStr">
        <is>
          <t>～</t>
        </is>
      </c>
      <c r="F34" s="85" t="n"/>
      <c r="G34" s="86" t="n"/>
      <c r="H34" s="86" t="n"/>
      <c r="I34" s="86" t="n"/>
      <c r="J34" s="86" t="n"/>
      <c r="K34" s="16">
        <f>IF($A34="","",IFERROR(VLOOKUP($A34,祝日リスト!$A$2:$C$40,3,0),""))</f>
        <v/>
      </c>
      <c r="N34">
        <f>IF(NOT(ISNUMBER($D34)),"",IF($D34&lt;1,$D34,(INT($D34/100)*60+MOD($D34,100))/1440))</f>
        <v/>
      </c>
      <c r="O34" s="35">
        <f>IF(NOT(ISNUMBER($F34)),"",IF($F34&lt;1,$F34,(INT($F34/100)*60+MOD($F34,100))/1440))</f>
        <v/>
      </c>
      <c r="P34">
        <f>IF(NOT(ISNUMBER($G34)),"",IF($G34&lt;1,$G34,(INT($G34/100)*60+MOD($G34,100))/1440))</f>
        <v/>
      </c>
      <c r="Q34">
        <f>IF(NOT(ISNUMBER($H34)),"",IF($H34&lt;1,$H34,(INT($H34/100)*60+MOD($H34,100))/1440))</f>
        <v/>
      </c>
      <c r="R34">
        <f>IF(NOT(ISNUMBER($I34)),"",IF($I34&lt;1,$I34,(INT($I34/100)*60+MOD($I34,100))/1440))</f>
        <v/>
      </c>
      <c r="S34">
        <f>IF(NOT(ISNUMBER($J34)),"",IF($J34&lt;1,$J34,(INT($J34/100)*60+MOD($J34,100))/1440))</f>
        <v/>
      </c>
      <c r="T34">
        <f>IF(OR($N34="",$O34=""),"",MOD($O34-$N34,1))</f>
        <v/>
      </c>
      <c r="U34">
        <f>IF($A34="","",IF($K34&lt;&gt;"","祝",IF(WEEKDAY($A34,2)=6,"土",IF(WEEKDAY($A34,2)=7,"日","平"))))</f>
        <v/>
      </c>
    </row>
    <row r="35" ht="20.25" customFormat="1" customHeight="1" s="28">
      <c r="A35" s="84">
        <f>IF(A34="","",IF(MONTH(A34+1)=$C$2,A34+1,""))</f>
        <v>46385</v>
      </c>
      <c r="B35" s="32">
        <f>IF(A35="","","日")</f>
        <v/>
      </c>
      <c r="C35" s="31" t="str">
        <f>IF(A35="","","("&amp;CHOOSE(WEEKDAY(A35,2),"月","火","水","木","金","土","日")&amp;"）")</f>
        <v>(火）</v>
      </c>
      <c r="D35" s="85" t="n"/>
      <c r="E35" s="36" t="inlineStr">
        <is>
          <t>～</t>
        </is>
      </c>
      <c r="F35" s="85" t="n"/>
      <c r="G35" s="86" t="n"/>
      <c r="H35" s="86" t="n"/>
      <c r="I35" s="86" t="n"/>
      <c r="J35" s="86" t="n"/>
      <c r="K35" s="16">
        <f>IF($A35="","",IFERROR(VLOOKUP($A35,祝日リスト!$A$2:$C$40,3,0),""))</f>
        <v/>
      </c>
      <c r="N35">
        <f>IF(NOT(ISNUMBER($D35)),"",IF($D35&lt;1,$D35,(INT($D35/100)*60+MOD($D35,100))/1440))</f>
        <v/>
      </c>
      <c r="O35" s="35">
        <f>IF(NOT(ISNUMBER($F35)),"",IF($F35&lt;1,$F35,(INT($F35/100)*60+MOD($F35,100))/1440))</f>
        <v/>
      </c>
      <c r="P35">
        <f>IF(NOT(ISNUMBER($G35)),"",IF($G35&lt;1,$G35,(INT($G35/100)*60+MOD($G35,100))/1440))</f>
        <v/>
      </c>
      <c r="Q35">
        <f>IF(NOT(ISNUMBER($H35)),"",IF($H35&lt;1,$H35,(INT($H35/100)*60+MOD($H35,100))/1440))</f>
        <v/>
      </c>
      <c r="R35">
        <f>IF(NOT(ISNUMBER($I35)),"",IF($I35&lt;1,$I35,(INT($I35/100)*60+MOD($I35,100))/1440))</f>
        <v/>
      </c>
      <c r="S35">
        <f>IF(NOT(ISNUMBER($J35)),"",IF($J35&lt;1,$J35,(INT($J35/100)*60+MOD($J35,100))/1440))</f>
        <v/>
      </c>
      <c r="T35">
        <f>IF(OR($N35="",$O35=""),"",MOD($O35-$N35,1))</f>
        <v/>
      </c>
      <c r="U35">
        <f>IF($A35="","",IF($K35&lt;&gt;"","祝",IF(WEEKDAY($A35,2)=6,"土",IF(WEEKDAY($A35,2)=7,"日","平"))))</f>
        <v/>
      </c>
    </row>
    <row r="36" ht="20.25" customFormat="1" customHeight="1" s="28">
      <c r="A36" s="84">
        <f>IF(A35="","",IF(MONTH(A35+1)=$C$2,A35+1,""))</f>
        <v>46386</v>
      </c>
      <c r="B36" s="32">
        <f>IF(A36="","","日")</f>
        <v/>
      </c>
      <c r="C36" s="31" t="str">
        <f>IF(A36="","","("&amp;CHOOSE(WEEKDAY(A36,2),"月","火","水","木","金","土","日")&amp;"）")</f>
        <v>(水）</v>
      </c>
      <c r="D36" s="85" t="n"/>
      <c r="E36" s="36" t="inlineStr">
        <is>
          <t>～</t>
        </is>
      </c>
      <c r="F36" s="85" t="n"/>
      <c r="G36" s="86" t="n"/>
      <c r="H36" s="86" t="n"/>
      <c r="I36" s="86" t="n"/>
      <c r="J36" s="86" t="n"/>
      <c r="K36" s="16">
        <f>IF($A36="","",IFERROR(VLOOKUP($A36,祝日リスト!$A$2:$C$40,3,0),""))</f>
        <v/>
      </c>
      <c r="N36">
        <f>IF(NOT(ISNUMBER($D36)),"",IF($D36&lt;1,$D36,(INT($D36/100)*60+MOD($D36,100))/1440))</f>
        <v/>
      </c>
      <c r="O36" s="35">
        <f>IF(NOT(ISNUMBER($F36)),"",IF($F36&lt;1,$F36,(INT($F36/100)*60+MOD($F36,100))/1440))</f>
        <v/>
      </c>
      <c r="P36">
        <f>IF(NOT(ISNUMBER($G36)),"",IF($G36&lt;1,$G36,(INT($G36/100)*60+MOD($G36,100))/1440))</f>
        <v/>
      </c>
      <c r="Q36">
        <f>IF(NOT(ISNUMBER($H36)),"",IF($H36&lt;1,$H36,(INT($H36/100)*60+MOD($H36,100))/1440))</f>
        <v/>
      </c>
      <c r="R36">
        <f>IF(NOT(ISNUMBER($I36)),"",IF($I36&lt;1,$I36,(INT($I36/100)*60+MOD($I36,100))/1440))</f>
        <v/>
      </c>
      <c r="S36">
        <f>IF(NOT(ISNUMBER($J36)),"",IF($J36&lt;1,$J36,(INT($J36/100)*60+MOD($J36,100))/1440))</f>
        <v/>
      </c>
      <c r="T36">
        <f>IF(OR($N36="",$O36=""),"",MOD($O36-$N36,1))</f>
        <v/>
      </c>
      <c r="U36">
        <f>IF($A36="","",IF($K36&lt;&gt;"","祝",IF(WEEKDAY($A36,2)=6,"土",IF(WEEKDAY($A36,2)=7,"日","平"))))</f>
        <v/>
      </c>
    </row>
    <row r="37" ht="20.25" customFormat="1" customHeight="1" s="28" thickBot="1">
      <c r="A37" s="87">
        <f>IF(A36="","",IF(MONTH(A36+1)=$C$2,A36+1,""))</f>
        <v>46387</v>
      </c>
      <c r="B37" s="33">
        <f>IF(A37="","","日")</f>
        <v/>
      </c>
      <c r="C37" s="34" t="str">
        <f>IF(A37="","","("&amp;CHOOSE(WEEKDAY(A37,2),"月","火","水","木","金","土","日")&amp;"）")</f>
        <v>(木）</v>
      </c>
      <c r="D37" s="88" t="n"/>
      <c r="E37" s="37" t="inlineStr">
        <is>
          <t>～</t>
        </is>
      </c>
      <c r="F37" s="88" t="n"/>
      <c r="G37" s="89" t="n"/>
      <c r="H37" s="89" t="n"/>
      <c r="I37" s="89" t="n"/>
      <c r="J37" s="89" t="n"/>
      <c r="K37" s="58">
        <f>IF($A37="","",IFERROR(VLOOKUP($A37,祝日リスト!$A$2:$C$40,3,0),""))</f>
        <v/>
      </c>
      <c r="N37">
        <f>IF(NOT(ISNUMBER($D37)),"",IF($D37&lt;1,$D37,(INT($D37/100)*60+MOD($D37,100))/1440))</f>
        <v/>
      </c>
      <c r="O37">
        <f>IF(NOT(ISNUMBER($F37)),"",IF($F37&lt;1,$F37,(INT($F37/100)*60+MOD($F37,100))/1440))</f>
        <v/>
      </c>
      <c r="P37">
        <f>IF(NOT(ISNUMBER($G37)),"",IF($G37&lt;1,$G37,(INT($G37/100)*60+MOD($G37,100))/1440))</f>
        <v/>
      </c>
      <c r="Q37">
        <f>IF(NOT(ISNUMBER($H37)),"",IF($H37&lt;1,$H37,(INT($H37/100)*60+MOD($H37,100))/1440))</f>
        <v/>
      </c>
      <c r="R37">
        <f>IF(NOT(ISNUMBER($I37)),"",IF($I37&lt;1,$I37,(INT($I37/100)*60+MOD($I37,100))/1440))</f>
        <v/>
      </c>
      <c r="S37">
        <f>IF(NOT(ISNUMBER($J37)),"",IF($J37&lt;1,$J37,(INT($J37/100)*60+MOD($J37,100))/1440))</f>
        <v/>
      </c>
      <c r="T37">
        <f>IF(OR($N37="",$O37=""),"",MOD($O37-$N37,1))</f>
        <v/>
      </c>
      <c r="U37">
        <f>IF($A37="","",IF($K37&lt;&gt;"","祝",IF(WEEKDAY($A37,2)=6,"土",IF(WEEKDAY($A37,2)=7,"日","平"))))</f>
        <v/>
      </c>
    </row>
    <row r="38" ht="8.25" customHeight="1" thickTop="1">
      <c r="A38" s="90" t="n"/>
      <c r="B38" s="6" t="n"/>
      <c r="C38" s="6" t="n"/>
      <c r="D38" s="5" t="n"/>
      <c r="E38" s="5" t="n"/>
      <c r="F38" s="5" t="n"/>
      <c r="G38" s="5" t="n"/>
      <c r="H38" s="5" t="n"/>
      <c r="I38" s="5" t="n"/>
      <c r="J38" s="5" t="n"/>
      <c r="K38" s="41" t="n"/>
    </row>
    <row r="39" ht="21" customFormat="1" customHeight="1" s="28">
      <c r="A39" s="91" t="n"/>
      <c r="B39" s="24" t="n"/>
      <c r="C39" s="25" t="inlineStr">
        <is>
          <t>出勤日数</t>
        </is>
      </c>
      <c r="D39" s="92">
        <f>COUNT($N$7:$N$37)</f>
        <v>0</v>
      </c>
      <c r="E39" s="26" t="n"/>
      <c r="F39" s="24" t="inlineStr">
        <is>
          <t>日</t>
        </is>
      </c>
      <c r="G39" s="27" t="n"/>
      <c r="H39" s="27" t="n"/>
      <c r="I39" s="27" t="n"/>
      <c r="J39" s="27" t="n"/>
      <c r="K39" s="22" t="n"/>
      <c r="L39" s="4" t="n"/>
    </row>
    <row r="40" ht="21" customFormat="1" customHeight="1" s="28">
      <c r="A40" s="91" t="n"/>
      <c r="B40" s="24" t="n"/>
      <c r="C40" s="25" t="inlineStr">
        <is>
          <t>普通出勤時間</t>
        </is>
      </c>
      <c r="D40" s="93">
        <f>SUM($T$7:$T$37)-SUMIF($U$7:$U$37,"土",$T$7:$T$37)</f>
        <v>0</v>
      </c>
      <c r="E40" s="26" t="n"/>
      <c r="F40" s="24" t="inlineStr">
        <is>
          <t>時間</t>
        </is>
      </c>
      <c r="G40" s="27" t="n"/>
      <c r="H40" s="27" t="n"/>
      <c r="I40" s="27" t="n"/>
      <c r="J40" s="27" t="n"/>
      <c r="K40" s="22" t="n"/>
      <c r="L40" s="4" t="n"/>
    </row>
    <row r="41" ht="21" customFormat="1" customHeight="1" s="28">
      <c r="A41" s="91" t="n"/>
      <c r="B41" s="24" t="n"/>
      <c r="C41" s="25" t="inlineStr">
        <is>
          <t>残業</t>
        </is>
      </c>
      <c r="D41" s="93">
        <f>SUM($P$7:$P$37)+SUM($Q$7:$Q$37)+SUM($R$7:$R$37)</f>
        <v>0</v>
      </c>
      <c r="E41" s="26" t="n"/>
      <c r="F41" s="24" t="inlineStr">
        <is>
          <t>時間</t>
        </is>
      </c>
      <c r="G41" s="27" t="n"/>
      <c r="H41" s="27" t="n"/>
      <c r="I41" s="27" t="n"/>
      <c r="J41" s="27" t="n"/>
      <c r="K41" s="22" t="n"/>
      <c r="L41" s="4" t="n"/>
    </row>
    <row r="42" ht="21" customFormat="1" customHeight="1" s="28">
      <c r="A42" s="91" t="n"/>
      <c r="B42" s="24" t="n"/>
      <c r="C42" s="25" t="inlineStr">
        <is>
          <t>土曜出勤</t>
        </is>
      </c>
      <c r="D42" s="93">
        <f>SUMIF($U$7:$U$37,"土",$T$7:$T$37)</f>
        <v>0</v>
      </c>
      <c r="E42" s="26" t="n"/>
      <c r="F42" s="24" t="inlineStr">
        <is>
          <t>時間</t>
        </is>
      </c>
      <c r="G42" s="27" t="n"/>
      <c r="H42" s="27" t="n"/>
      <c r="I42" s="24" t="inlineStr">
        <is>
          <t>合計</t>
        </is>
      </c>
      <c r="J42" s="94">
        <f>SUM($T$7:$T$37)</f>
        <v>0</v>
      </c>
      <c r="K42" s="22" t="inlineStr">
        <is>
          <t>時間</t>
        </is>
      </c>
      <c r="L42" s="4" t="n"/>
    </row>
    <row r="43" ht="15.75" customHeight="1">
      <c r="A43" s="90" t="n"/>
      <c r="B43" s="6" t="n"/>
      <c r="C43" s="6" t="n"/>
      <c r="D43" s="5" t="n"/>
      <c r="E43" s="5" t="n"/>
      <c r="F43" s="5" t="n"/>
      <c r="G43" s="5" t="n"/>
      <c r="H43" s="5" t="n"/>
      <c r="I43" s="5" t="n"/>
      <c r="J43" s="5" t="n"/>
      <c r="K43" s="1" t="n"/>
      <c r="L43" s="1" t="n"/>
    </row>
    <row r="44" ht="14.25" customHeight="1">
      <c r="A44" s="90" t="n"/>
      <c r="B44" s="6" t="n"/>
      <c r="C44" s="6" t="n"/>
      <c r="D44" s="5" t="n"/>
      <c r="E44" s="5" t="n"/>
      <c r="F44" s="5" t="n"/>
      <c r="G44" s="5" t="n"/>
      <c r="H44" s="5" t="n"/>
      <c r="I44" s="5" t="n"/>
      <c r="J44" s="5" t="n"/>
      <c r="K44" s="1" t="n"/>
      <c r="L44" s="1" t="n"/>
    </row>
    <row r="45" ht="14.25" customHeight="1">
      <c r="A45" s="90" t="n"/>
      <c r="B45" s="6" t="n"/>
      <c r="C45" s="6" t="n"/>
      <c r="D45" s="5" t="n"/>
      <c r="E45" s="5" t="n"/>
      <c r="F45" s="5" t="n"/>
      <c r="G45" s="5" t="n"/>
      <c r="H45" s="5" t="n"/>
      <c r="I45" s="5" t="n"/>
      <c r="J45" s="5" t="n"/>
      <c r="K45" s="1" t="n"/>
      <c r="L45" s="1" t="n"/>
    </row>
    <row r="46" ht="14.25" customHeight="1">
      <c r="A46" s="90" t="n"/>
      <c r="B46" s="6" t="n"/>
      <c r="C46" s="6" t="n"/>
      <c r="D46" s="5" t="n"/>
      <c r="E46" s="5" t="n"/>
      <c r="F46" s="5" t="n"/>
      <c r="G46" s="5" t="n"/>
      <c r="H46" s="5" t="n"/>
      <c r="I46" s="5" t="n"/>
      <c r="J46" s="5" t="n"/>
      <c r="K46" s="1" t="n"/>
      <c r="L46" s="1" t="n"/>
    </row>
    <row r="47" ht="14.25" customHeight="1">
      <c r="A47" s="90" t="n"/>
      <c r="B47" s="6" t="n"/>
      <c r="C47" s="6" t="n"/>
      <c r="D47" s="5" t="n"/>
      <c r="E47" s="5" t="n"/>
      <c r="F47" s="5" t="n"/>
      <c r="G47" s="5" t="n"/>
      <c r="H47" s="5" t="n"/>
      <c r="I47" s="5" t="n"/>
      <c r="J47" s="5" t="n"/>
      <c r="K47" s="1" t="n"/>
      <c r="L47" s="1" t="n"/>
    </row>
    <row r="48" ht="14.25" customHeight="1">
      <c r="A48" s="90" t="n"/>
      <c r="B48" s="6" t="n"/>
      <c r="C48" s="6" t="n"/>
      <c r="D48" s="5" t="n"/>
      <c r="E48" s="5" t="n"/>
      <c r="F48" s="5" t="n"/>
      <c r="G48" s="5" t="n"/>
      <c r="H48" s="5" t="n"/>
      <c r="I48" s="5" t="n"/>
      <c r="J48" s="5" t="n"/>
      <c r="K48" s="1" t="n"/>
      <c r="L48" s="1" t="n"/>
    </row>
    <row r="49" ht="12.75" customHeight="1">
      <c r="A49" s="73" t="n"/>
      <c r="B49" s="8" t="n"/>
      <c r="C49" s="8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  <row r="50" ht="12.75" customHeight="1">
      <c r="A50" s="73" t="n"/>
      <c r="B50" s="8" t="n"/>
      <c r="C50" s="8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 ht="12.75" customHeight="1">
      <c r="A51" s="73" t="n"/>
      <c r="B51" s="8" t="n"/>
      <c r="C51" s="8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  <row r="52" ht="12.75" customHeight="1">
      <c r="A52" s="73" t="n"/>
      <c r="B52" s="8" t="n"/>
      <c r="C52" s="8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 ht="12.75" customHeight="1">
      <c r="A53" s="73" t="n"/>
      <c r="B53" s="8" t="n"/>
      <c r="C53" s="8" t="n"/>
      <c r="D53" s="1" t="n"/>
      <c r="E53" s="1" t="n"/>
      <c r="F53" s="1" t="n"/>
      <c r="G53" s="1" t="n"/>
      <c r="H53" s="1" t="n"/>
      <c r="I53" s="1" t="n"/>
      <c r="J53" s="1" t="n"/>
    </row>
    <row r="54" ht="12.75" customHeight="1">
      <c r="A54" s="73" t="n"/>
      <c r="B54" s="8" t="n"/>
      <c r="C54" s="8" t="n"/>
      <c r="D54" s="1" t="n"/>
      <c r="E54" s="1" t="n"/>
      <c r="F54" s="1" t="n"/>
      <c r="G54" s="1" t="n"/>
      <c r="H54" s="1" t="n"/>
      <c r="I54" s="1" t="n"/>
      <c r="J54" s="1" t="n"/>
    </row>
    <row r="55" ht="12.75" customHeight="1">
      <c r="A55" s="73" t="n"/>
      <c r="B55" s="8" t="n"/>
      <c r="C55" s="8" t="n"/>
      <c r="D55" s="1" t="n"/>
      <c r="E55" s="1" t="n"/>
      <c r="F55" s="1" t="n"/>
      <c r="G55" s="1" t="n"/>
      <c r="H55" s="1" t="n"/>
      <c r="I55" s="1" t="n"/>
      <c r="J55" s="1" t="n"/>
    </row>
    <row r="56" ht="12.75" customHeight="1">
      <c r="A56" s="73" t="n"/>
      <c r="B56" s="8" t="n"/>
      <c r="C56" s="8" t="n"/>
      <c r="D56" s="1" t="n"/>
      <c r="E56" s="1" t="n"/>
      <c r="F56" s="1" t="n"/>
      <c r="G56" s="1" t="n"/>
      <c r="H56" s="1" t="n"/>
      <c r="I56" s="1" t="n"/>
      <c r="J56" s="1" t="n"/>
    </row>
    <row r="57" ht="12.75" customHeight="1">
      <c r="A57" s="73" t="n"/>
      <c r="B57" s="8" t="n"/>
      <c r="C57" s="8" t="n"/>
      <c r="D57" s="1" t="n"/>
      <c r="E57" s="1" t="n"/>
      <c r="F57" s="1" t="n"/>
      <c r="G57" s="1" t="n"/>
      <c r="H57" s="1" t="n"/>
      <c r="I57" s="1" t="n"/>
      <c r="J57" s="1" t="n"/>
    </row>
    <row r="58" ht="12.75" customHeight="1">
      <c r="A58" s="73" t="n"/>
      <c r="B58" s="8" t="n"/>
      <c r="C58" s="8" t="n"/>
      <c r="D58" s="1" t="n"/>
      <c r="E58" s="1" t="n"/>
      <c r="F58" s="1" t="n"/>
      <c r="G58" s="1" t="n"/>
      <c r="H58" s="1" t="n"/>
      <c r="I58" s="1" t="n"/>
      <c r="J58" s="1" t="n"/>
    </row>
    <row r="59" ht="12.75" customHeight="1">
      <c r="A59" s="73" t="n"/>
      <c r="B59" s="8" t="n"/>
      <c r="C59" s="8" t="n"/>
      <c r="D59" s="1" t="n"/>
      <c r="E59" s="1" t="n"/>
      <c r="F59" s="1" t="n"/>
      <c r="G59" s="1" t="n"/>
      <c r="H59" s="1" t="n"/>
      <c r="I59" s="1" t="n"/>
      <c r="J59" s="1" t="n"/>
    </row>
    <row r="60" ht="12.75" customHeight="1">
      <c r="A60" s="73" t="n"/>
      <c r="B60" s="8" t="n"/>
      <c r="C60" s="8" t="n"/>
      <c r="D60" s="1" t="n"/>
      <c r="E60" s="1" t="n"/>
      <c r="F60" s="1" t="n"/>
      <c r="G60" s="1" t="n"/>
      <c r="H60" s="1" t="n"/>
      <c r="I60" s="1" t="n"/>
      <c r="J60" s="1" t="n"/>
    </row>
    <row r="61" ht="12.75" customHeight="1">
      <c r="A61" s="73" t="n"/>
      <c r="B61" s="8" t="n"/>
      <c r="C61" s="8" t="n"/>
      <c r="D61" s="1" t="n"/>
      <c r="E61" s="1" t="n"/>
      <c r="F61" s="1" t="n"/>
      <c r="G61" s="1" t="n"/>
      <c r="H61" s="1" t="n"/>
      <c r="I61" s="1" t="n"/>
      <c r="J61" s="1" t="n"/>
    </row>
    <row r="62" ht="12.75" customHeight="1">
      <c r="A62" s="73" t="n"/>
      <c r="B62" s="8" t="n"/>
      <c r="C62" s="8" t="n"/>
      <c r="D62" s="1" t="n"/>
      <c r="E62" s="1" t="n"/>
      <c r="F62" s="1" t="n"/>
      <c r="G62" s="1" t="n"/>
      <c r="H62" s="1" t="n"/>
      <c r="I62" s="1" t="n"/>
      <c r="J62" s="1" t="n"/>
    </row>
    <row r="63" ht="12.75" customHeight="1">
      <c r="A63" s="73" t="n"/>
      <c r="B63" s="8" t="n"/>
      <c r="C63" s="8" t="n"/>
      <c r="D63" s="1" t="n"/>
      <c r="E63" s="1" t="n"/>
      <c r="F63" s="1" t="n"/>
      <c r="G63" s="1" t="n"/>
      <c r="H63" s="1" t="n"/>
      <c r="I63" s="1" t="n"/>
      <c r="J63" s="1" t="n"/>
    </row>
    <row r="64" ht="12.75" customHeight="1">
      <c r="A64" s="73" t="n"/>
      <c r="B64" s="8" t="n"/>
      <c r="C64" s="8" t="n"/>
      <c r="D64" s="1" t="n"/>
      <c r="E64" s="1" t="n"/>
      <c r="F64" s="1" t="n"/>
      <c r="G64" s="1" t="n"/>
      <c r="H64" s="1" t="n"/>
      <c r="I64" s="1" t="n"/>
      <c r="J64" s="1" t="n"/>
    </row>
    <row r="65" ht="12.75" customHeight="1">
      <c r="A65" s="73" t="n"/>
      <c r="B65" s="8" t="n"/>
      <c r="C65" s="8" t="n"/>
      <c r="D65" s="1" t="n"/>
      <c r="E65" s="1" t="n"/>
      <c r="F65" s="1" t="n"/>
      <c r="G65" s="1" t="n"/>
      <c r="H65" s="1" t="n"/>
      <c r="I65" s="1" t="n"/>
      <c r="J65" s="1" t="n"/>
    </row>
    <row r="66" ht="12.75" customHeight="1">
      <c r="A66" s="73" t="n"/>
      <c r="B66" s="8" t="n"/>
      <c r="C66" s="8" t="n"/>
      <c r="D66" s="1" t="n"/>
      <c r="E66" s="1" t="n"/>
      <c r="F66" s="1" t="n"/>
      <c r="G66" s="1" t="n"/>
      <c r="H66" s="1" t="n"/>
      <c r="I66" s="1" t="n"/>
      <c r="J66" s="1" t="n"/>
    </row>
    <row r="67" ht="12.75" customHeight="1">
      <c r="A67" s="95" t="n"/>
      <c r="B67" s="21" t="n"/>
      <c r="C67" s="21" t="n"/>
    </row>
    <row r="68" ht="12.75" customHeight="1">
      <c r="A68" s="95" t="n"/>
      <c r="B68" s="21" t="n"/>
      <c r="C68" s="21" t="n"/>
    </row>
    <row r="69" ht="12.75" customHeight="1">
      <c r="A69" s="95" t="n"/>
      <c r="B69" s="21" t="n"/>
      <c r="C69" s="21" t="n"/>
    </row>
    <row r="70" ht="12.75" customHeight="1">
      <c r="A70" s="95" t="n"/>
      <c r="B70" s="21" t="n"/>
      <c r="C70" s="21" t="n"/>
    </row>
    <row r="71" ht="12.75" customHeight="1">
      <c r="A71" s="95" t="n"/>
      <c r="B71" s="21" t="n"/>
      <c r="C71" s="21" t="n"/>
    </row>
    <row r="72" ht="12.75" customHeight="1">
      <c r="A72" s="95" t="n"/>
      <c r="B72" s="21" t="n"/>
      <c r="C72" s="21" t="n"/>
    </row>
    <row r="73" ht="12.75" customHeight="1">
      <c r="A73" s="95" t="n"/>
      <c r="B73" s="21" t="n"/>
      <c r="C73" s="21" t="n"/>
    </row>
    <row r="74" ht="12.75" customHeight="1">
      <c r="A74" s="95" t="n"/>
      <c r="B74" s="21" t="n"/>
      <c r="C74" s="21" t="n"/>
    </row>
    <row r="75" ht="12.75" customHeight="1">
      <c r="A75" s="95" t="n"/>
      <c r="B75" s="21" t="n"/>
      <c r="C75" s="21" t="n"/>
    </row>
    <row r="76" ht="12.75" customHeight="1">
      <c r="A76" s="95" t="n"/>
      <c r="B76" s="21" t="n"/>
      <c r="C76" s="21" t="n"/>
    </row>
    <row r="77" ht="12.75" customHeight="1">
      <c r="A77" s="95" t="n"/>
      <c r="B77" s="21" t="n"/>
      <c r="C77" s="21" t="n"/>
    </row>
    <row r="78" ht="12.75" customHeight="1">
      <c r="A78" s="95" t="n"/>
      <c r="B78" s="21" t="n"/>
      <c r="C78" s="21" t="n"/>
    </row>
    <row r="79" ht="12.75" customHeight="1">
      <c r="A79" s="95" t="n"/>
      <c r="B79" s="21" t="n"/>
      <c r="C79" s="21" t="n"/>
    </row>
    <row r="80" ht="12.75" customHeight="1">
      <c r="A80" s="95" t="n"/>
      <c r="B80" s="21" t="n"/>
      <c r="C80" s="21" t="n"/>
    </row>
    <row r="81" ht="12.75" customHeight="1">
      <c r="A81" s="95" t="n"/>
      <c r="B81" s="21" t="n"/>
      <c r="C81" s="21" t="n"/>
    </row>
    <row r="82" ht="12.75" customHeight="1">
      <c r="A82" s="95" t="n"/>
      <c r="B82" s="21" t="n"/>
      <c r="C82" s="21" t="n"/>
    </row>
    <row r="83" ht="12.75" customHeight="1">
      <c r="A83" s="95" t="n"/>
      <c r="B83" s="21" t="n"/>
      <c r="C83" s="21" t="n"/>
    </row>
    <row r="84" ht="12.75" customHeight="1">
      <c r="A84" s="95" t="n"/>
      <c r="B84" s="21" t="n"/>
      <c r="C84" s="21" t="n"/>
    </row>
    <row r="85" ht="12.75" customHeight="1">
      <c r="A85" s="95" t="n"/>
      <c r="B85" s="21" t="n"/>
      <c r="C85" s="21" t="n"/>
    </row>
    <row r="86" ht="12.75" customHeight="1">
      <c r="A86" s="95" t="n"/>
      <c r="B86" s="21" t="n"/>
      <c r="C86" s="21" t="n"/>
    </row>
    <row r="87" ht="12.75" customHeight="1">
      <c r="A87" s="95" t="n"/>
      <c r="B87" s="21" t="n"/>
      <c r="C87" s="21" t="n"/>
    </row>
    <row r="88" ht="12.75" customHeight="1">
      <c r="A88" s="95" t="n"/>
      <c r="B88" s="21" t="n"/>
      <c r="C88" s="21" t="n"/>
    </row>
    <row r="89" ht="12.75" customHeight="1">
      <c r="A89" s="95" t="n"/>
      <c r="B89" s="21" t="n"/>
      <c r="C89" s="21" t="n"/>
    </row>
    <row r="90" ht="12.75" customHeight="1">
      <c r="A90" s="95" t="n"/>
      <c r="B90" s="21" t="n"/>
      <c r="C90" s="21" t="n"/>
    </row>
    <row r="91" ht="12.75" customHeight="1">
      <c r="A91" s="95" t="n"/>
      <c r="B91" s="21" t="n"/>
      <c r="C91" s="21" t="n"/>
    </row>
    <row r="92" ht="12.75" customHeight="1">
      <c r="A92" s="95" t="n"/>
      <c r="B92" s="21" t="n"/>
      <c r="C92" s="21" t="n"/>
    </row>
    <row r="93" ht="12.75" customHeight="1">
      <c r="A93" s="95" t="n"/>
      <c r="B93" s="21" t="n"/>
      <c r="C93" s="21" t="n"/>
    </row>
    <row r="94" ht="12.75" customHeight="1">
      <c r="A94" s="95" t="n"/>
      <c r="B94" s="21" t="n"/>
      <c r="C94" s="21" t="n"/>
    </row>
    <row r="95" ht="12.75" customHeight="1">
      <c r="A95" s="95" t="n"/>
      <c r="B95" s="21" t="n"/>
      <c r="C95" s="21" t="n"/>
    </row>
    <row r="96" ht="12.75" customHeight="1">
      <c r="A96" s="95" t="n"/>
      <c r="B96" s="21" t="n"/>
      <c r="C96" s="21" t="n"/>
    </row>
    <row r="97" ht="12.75" customHeight="1">
      <c r="A97" s="95" t="n"/>
      <c r="B97" s="21" t="n"/>
      <c r="C97" s="21" t="n"/>
    </row>
    <row r="98" ht="12.75" customHeight="1">
      <c r="A98" s="95" t="n"/>
      <c r="B98" s="21" t="n"/>
      <c r="C98" s="21" t="n"/>
    </row>
    <row r="99" ht="12.75" customHeight="1">
      <c r="A99" s="95" t="n"/>
      <c r="B99" s="21" t="n"/>
      <c r="C99" s="21" t="n"/>
    </row>
    <row r="100" ht="12.75" customHeight="1">
      <c r="A100" s="95" t="n"/>
      <c r="B100" s="21" t="n"/>
      <c r="C100" s="21" t="n"/>
    </row>
    <row r="101" ht="12.75" customHeight="1">
      <c r="A101" s="95" t="n"/>
      <c r="B101" s="21" t="n"/>
      <c r="C101" s="21" t="n"/>
    </row>
    <row r="102" ht="12.75" customHeight="1">
      <c r="A102" s="95" t="n"/>
      <c r="B102" s="21" t="n"/>
      <c r="C102" s="21" t="n"/>
    </row>
    <row r="103" ht="12.75" customHeight="1">
      <c r="A103" s="95" t="n"/>
      <c r="B103" s="21" t="n"/>
      <c r="C103" s="21" t="n"/>
    </row>
    <row r="104" ht="12.75" customHeight="1">
      <c r="A104" s="95" t="n"/>
      <c r="B104" s="21" t="n"/>
      <c r="C104" s="21" t="n"/>
    </row>
    <row r="105" ht="12.75" customHeight="1">
      <c r="A105" s="95" t="n"/>
      <c r="B105" s="21" t="n"/>
      <c r="C105" s="21" t="n"/>
    </row>
    <row r="106" ht="12.75" customHeight="1">
      <c r="A106" s="95" t="n"/>
      <c r="B106" s="21" t="n"/>
      <c r="C106" s="21" t="n"/>
    </row>
    <row r="107" ht="12.75" customHeight="1">
      <c r="A107" s="95" t="n"/>
      <c r="B107" s="21" t="n"/>
      <c r="C107" s="21" t="n"/>
    </row>
    <row r="108" ht="12.75" customHeight="1">
      <c r="A108" s="95" t="n"/>
      <c r="B108" s="21" t="n"/>
      <c r="C108" s="21" t="n"/>
    </row>
    <row r="109" ht="12.75" customHeight="1">
      <c r="A109" s="95" t="n"/>
      <c r="B109" s="21" t="n"/>
      <c r="C109" s="21" t="n"/>
    </row>
    <row r="110" ht="12.75" customHeight="1">
      <c r="A110" s="95" t="n"/>
      <c r="B110" s="21" t="n"/>
      <c r="C110" s="21" t="n"/>
    </row>
    <row r="111" ht="12.75" customHeight="1">
      <c r="A111" s="95" t="n"/>
      <c r="B111" s="21" t="n"/>
      <c r="C111" s="21" t="n"/>
    </row>
    <row r="112" ht="12.75" customHeight="1">
      <c r="A112" s="95" t="n"/>
      <c r="B112" s="21" t="n"/>
      <c r="C112" s="21" t="n"/>
    </row>
    <row r="113" ht="12.75" customHeight="1">
      <c r="A113" s="95" t="n"/>
      <c r="B113" s="21" t="n"/>
      <c r="C113" s="21" t="n"/>
    </row>
    <row r="114" ht="12.75" customHeight="1">
      <c r="A114" s="95" t="n"/>
      <c r="B114" s="21" t="n"/>
      <c r="C114" s="21" t="n"/>
    </row>
    <row r="115" ht="12.75" customHeight="1">
      <c r="A115" s="95" t="n"/>
      <c r="B115" s="21" t="n"/>
      <c r="C115" s="21" t="n"/>
    </row>
    <row r="116" ht="12.75" customHeight="1">
      <c r="A116" s="95" t="n"/>
      <c r="B116" s="21" t="n"/>
      <c r="C116" s="21" t="n"/>
    </row>
    <row r="117" ht="12.75" customHeight="1">
      <c r="A117" s="95" t="n"/>
      <c r="B117" s="21" t="n"/>
      <c r="C117" s="21" t="n"/>
    </row>
    <row r="118" ht="12.75" customHeight="1">
      <c r="A118" s="95" t="n"/>
      <c r="B118" s="21" t="n"/>
      <c r="C118" s="21" t="n"/>
    </row>
    <row r="119" ht="12.75" customHeight="1">
      <c r="A119" s="95" t="n"/>
      <c r="B119" s="21" t="n"/>
      <c r="C119" s="21" t="n"/>
    </row>
    <row r="120" ht="12.75" customHeight="1">
      <c r="A120" s="95" t="n"/>
      <c r="B120" s="21" t="n"/>
      <c r="C120" s="21" t="n"/>
    </row>
    <row r="121" ht="12.75" customHeight="1">
      <c r="A121" s="95" t="n"/>
      <c r="B121" s="21" t="n"/>
      <c r="C121" s="21" t="n"/>
    </row>
    <row r="122" ht="12.75" customHeight="1">
      <c r="A122" s="95" t="n"/>
      <c r="B122" s="21" t="n"/>
      <c r="C122" s="21" t="n"/>
    </row>
    <row r="123" ht="12.75" customHeight="1">
      <c r="A123" s="95" t="n"/>
      <c r="B123" s="21" t="n"/>
      <c r="C123" s="21" t="n"/>
    </row>
    <row r="124" ht="12.75" customHeight="1">
      <c r="A124" s="95" t="n"/>
      <c r="B124" s="21" t="n"/>
      <c r="C124" s="21" t="n"/>
    </row>
    <row r="125" ht="12.75" customHeight="1">
      <c r="A125" s="95" t="n"/>
      <c r="B125" s="21" t="n"/>
      <c r="C125" s="21" t="n"/>
    </row>
    <row r="126" ht="12.75" customHeight="1">
      <c r="A126" s="95" t="n"/>
      <c r="B126" s="21" t="n"/>
      <c r="C126" s="21" t="n"/>
    </row>
    <row r="127" ht="12.75" customHeight="1">
      <c r="A127" s="95" t="n"/>
      <c r="B127" s="21" t="n"/>
      <c r="C127" s="21" t="n"/>
    </row>
    <row r="128" ht="12.75" customHeight="1">
      <c r="A128" s="95" t="n"/>
      <c r="B128" s="21" t="n"/>
      <c r="C128" s="21" t="n"/>
    </row>
    <row r="129" ht="12.75" customHeight="1">
      <c r="A129" s="95" t="n"/>
      <c r="B129" s="21" t="n"/>
      <c r="C129" s="21" t="n"/>
    </row>
    <row r="130" ht="12.75" customHeight="1">
      <c r="A130" s="95" t="n"/>
      <c r="B130" s="21" t="n"/>
      <c r="C130" s="21" t="n"/>
    </row>
    <row r="131" ht="12.75" customHeight="1">
      <c r="A131" s="95" t="n"/>
      <c r="B131" s="21" t="n"/>
      <c r="C131" s="21" t="n"/>
    </row>
    <row r="132" ht="12.75" customHeight="1">
      <c r="A132" s="95" t="n"/>
      <c r="B132" s="21" t="n"/>
      <c r="C132" s="21" t="n"/>
    </row>
    <row r="133" ht="12.75" customHeight="1">
      <c r="A133" s="95" t="n"/>
      <c r="B133" s="21" t="n"/>
      <c r="C133" s="21" t="n"/>
    </row>
    <row r="134" ht="12.75" customHeight="1">
      <c r="A134" s="95" t="n"/>
      <c r="B134" s="21" t="n"/>
      <c r="C134" s="21" t="n"/>
    </row>
    <row r="135" ht="12.75" customHeight="1">
      <c r="A135" s="95" t="n"/>
      <c r="B135" s="21" t="n"/>
      <c r="C135" s="21" t="n"/>
    </row>
    <row r="136" ht="12.75" customHeight="1">
      <c r="A136" s="95" t="n"/>
      <c r="B136" s="21" t="n"/>
      <c r="C136" s="21" t="n"/>
    </row>
    <row r="137" ht="12.75" customHeight="1">
      <c r="A137" s="95" t="n"/>
      <c r="B137" s="21" t="n"/>
      <c r="C137" s="21" t="n"/>
    </row>
    <row r="138" ht="12.75" customHeight="1">
      <c r="A138" s="95" t="n"/>
      <c r="B138" s="21" t="n"/>
      <c r="C138" s="21" t="n"/>
    </row>
    <row r="139" ht="12.75" customHeight="1">
      <c r="A139" s="95" t="n"/>
      <c r="B139" s="21" t="n"/>
      <c r="C139" s="21" t="n"/>
    </row>
    <row r="140" ht="12.75" customHeight="1">
      <c r="A140" s="95" t="n"/>
      <c r="B140" s="21" t="n"/>
      <c r="C140" s="21" t="n"/>
    </row>
    <row r="141" ht="12.75" customHeight="1">
      <c r="A141" s="95" t="n"/>
      <c r="B141" s="21" t="n"/>
      <c r="C141" s="21" t="n"/>
    </row>
    <row r="142" ht="12.75" customHeight="1">
      <c r="A142" s="95" t="n"/>
      <c r="B142" s="21" t="n"/>
      <c r="C142" s="21" t="n"/>
    </row>
    <row r="143" ht="12.75" customHeight="1">
      <c r="A143" s="95" t="n"/>
      <c r="B143" s="21" t="n"/>
      <c r="C143" s="21" t="n"/>
    </row>
    <row r="144" ht="12.75" customHeight="1">
      <c r="A144" s="95" t="n"/>
      <c r="B144" s="21" t="n"/>
      <c r="C144" s="21" t="n"/>
    </row>
    <row r="145" ht="12.75" customHeight="1">
      <c r="A145" s="95" t="n"/>
      <c r="B145" s="21" t="n"/>
      <c r="C145" s="21" t="n"/>
    </row>
    <row r="146" ht="12.75" customHeight="1">
      <c r="A146" s="95" t="n"/>
      <c r="B146" s="21" t="n"/>
      <c r="C146" s="21" t="n"/>
    </row>
    <row r="147" ht="12.75" customHeight="1">
      <c r="A147" s="95" t="n"/>
      <c r="B147" s="21" t="n"/>
      <c r="C147" s="21" t="n"/>
    </row>
    <row r="148" ht="12.75" customHeight="1">
      <c r="A148" s="95" t="n"/>
      <c r="B148" s="21" t="n"/>
      <c r="C148" s="21" t="n"/>
    </row>
    <row r="149" ht="12.75" customHeight="1">
      <c r="A149" s="95" t="n"/>
      <c r="B149" s="21" t="n"/>
      <c r="C149" s="21" t="n"/>
    </row>
    <row r="150" ht="12.75" customHeight="1">
      <c r="A150" s="95" t="n"/>
      <c r="B150" s="21" t="n"/>
      <c r="C150" s="21" t="n"/>
    </row>
    <row r="151" ht="12.75" customHeight="1">
      <c r="A151" s="95" t="n"/>
      <c r="B151" s="21" t="n"/>
      <c r="C151" s="21" t="n"/>
    </row>
    <row r="152" ht="12.75" customHeight="1">
      <c r="A152" s="95" t="n"/>
      <c r="B152" s="21" t="n"/>
      <c r="C152" s="21" t="n"/>
    </row>
    <row r="153" ht="12.75" customHeight="1">
      <c r="A153" s="95" t="n"/>
      <c r="B153" s="21" t="n"/>
      <c r="C153" s="21" t="n"/>
    </row>
    <row r="154" ht="12.75" customHeight="1">
      <c r="A154" s="95" t="n"/>
      <c r="B154" s="21" t="n"/>
      <c r="C154" s="21" t="n"/>
    </row>
    <row r="155" ht="12.75" customHeight="1">
      <c r="A155" s="95" t="n"/>
      <c r="B155" s="21" t="n"/>
      <c r="C155" s="21" t="n"/>
    </row>
    <row r="156" ht="12.75" customHeight="1">
      <c r="A156" s="95" t="n"/>
      <c r="B156" s="21" t="n"/>
      <c r="C156" s="21" t="n"/>
    </row>
    <row r="157" ht="12.75" customHeight="1">
      <c r="A157" s="95" t="n"/>
      <c r="B157" s="21" t="n"/>
      <c r="C157" s="21" t="n"/>
    </row>
    <row r="158" ht="12.75" customHeight="1">
      <c r="A158" s="95" t="n"/>
      <c r="B158" s="21" t="n"/>
      <c r="C158" s="21" t="n"/>
    </row>
    <row r="159" ht="12.75" customHeight="1">
      <c r="A159" s="95" t="n"/>
      <c r="B159" s="21" t="n"/>
      <c r="C159" s="21" t="n"/>
    </row>
    <row r="160" ht="12.75" customHeight="1">
      <c r="A160" s="95" t="n"/>
      <c r="B160" s="21" t="n"/>
      <c r="C160" s="21" t="n"/>
    </row>
    <row r="161" ht="12.75" customHeight="1">
      <c r="A161" s="95" t="n"/>
      <c r="B161" s="21" t="n"/>
      <c r="C161" s="21" t="n"/>
    </row>
    <row r="162" ht="12.75" customHeight="1">
      <c r="A162" s="95" t="n"/>
      <c r="B162" s="21" t="n"/>
      <c r="C162" s="21" t="n"/>
    </row>
    <row r="163" ht="12.75" customHeight="1">
      <c r="A163" s="95" t="n"/>
      <c r="B163" s="21" t="n"/>
      <c r="C163" s="21" t="n"/>
    </row>
    <row r="164" ht="12.75" customHeight="1">
      <c r="A164" s="95" t="n"/>
      <c r="B164" s="21" t="n"/>
      <c r="C164" s="21" t="n"/>
    </row>
    <row r="165" ht="12.75" customHeight="1">
      <c r="A165" s="95" t="n"/>
      <c r="B165" s="21" t="n"/>
      <c r="C165" s="21" t="n"/>
    </row>
    <row r="166" ht="12.75" customHeight="1">
      <c r="A166" s="95" t="n"/>
      <c r="B166" s="21" t="n"/>
      <c r="C166" s="21" t="n"/>
    </row>
    <row r="167" ht="12.75" customHeight="1">
      <c r="A167" s="95" t="n"/>
      <c r="B167" s="21" t="n"/>
      <c r="C167" s="21" t="n"/>
    </row>
    <row r="168" ht="12.75" customHeight="1">
      <c r="A168" s="95" t="n"/>
      <c r="B168" s="21" t="n"/>
      <c r="C168" s="21" t="n"/>
    </row>
    <row r="169" ht="12.75" customHeight="1">
      <c r="A169" s="95" t="n"/>
      <c r="B169" s="21" t="n"/>
      <c r="C169" s="21" t="n"/>
    </row>
    <row r="170" ht="12.75" customHeight="1">
      <c r="A170" s="95" t="n"/>
      <c r="B170" s="21" t="n"/>
      <c r="C170" s="21" t="n"/>
    </row>
    <row r="171" ht="12.75" customHeight="1">
      <c r="A171" s="95" t="n"/>
      <c r="B171" s="21" t="n"/>
      <c r="C171" s="21" t="n"/>
    </row>
    <row r="172" ht="12.75" customHeight="1">
      <c r="A172" s="95" t="n"/>
      <c r="B172" s="21" t="n"/>
      <c r="C172" s="21" t="n"/>
    </row>
    <row r="173" ht="12.75" customHeight="1">
      <c r="A173" s="95" t="n"/>
      <c r="B173" s="21" t="n"/>
      <c r="C173" s="21" t="n"/>
    </row>
    <row r="174" ht="12.75" customHeight="1">
      <c r="A174" s="95" t="n"/>
      <c r="B174" s="21" t="n"/>
      <c r="C174" s="21" t="n"/>
    </row>
    <row r="175" ht="12.75" customHeight="1">
      <c r="A175" s="95" t="n"/>
      <c r="B175" s="21" t="n"/>
      <c r="C175" s="21" t="n"/>
    </row>
    <row r="176" ht="12.75" customHeight="1">
      <c r="A176" s="95" t="n"/>
      <c r="B176" s="21" t="n"/>
      <c r="C176" s="21" t="n"/>
    </row>
    <row r="177" ht="12.75" customHeight="1">
      <c r="A177" s="95" t="n"/>
      <c r="B177" s="21" t="n"/>
      <c r="C177" s="21" t="n"/>
    </row>
    <row r="178" ht="12.75" customHeight="1">
      <c r="A178" s="95" t="n"/>
      <c r="B178" s="21" t="n"/>
      <c r="C178" s="21" t="n"/>
    </row>
    <row r="179" ht="12.75" customHeight="1">
      <c r="A179" s="95" t="n"/>
      <c r="B179" s="21" t="n"/>
      <c r="C179" s="21" t="n"/>
    </row>
    <row r="180" ht="12.75" customHeight="1">
      <c r="A180" s="95" t="n"/>
      <c r="B180" s="21" t="n"/>
      <c r="C180" s="21" t="n"/>
    </row>
    <row r="181" ht="12.75" customHeight="1">
      <c r="A181" s="95" t="n"/>
      <c r="B181" s="21" t="n"/>
      <c r="C181" s="21" t="n"/>
    </row>
    <row r="182" ht="12.75" customHeight="1">
      <c r="A182" s="95" t="n"/>
      <c r="B182" s="21" t="n"/>
      <c r="C182" s="21" t="n"/>
    </row>
    <row r="183" ht="12.75" customHeight="1">
      <c r="A183" s="95" t="n"/>
      <c r="B183" s="21" t="n"/>
      <c r="C183" s="21" t="n"/>
    </row>
    <row r="184" ht="12.75" customHeight="1">
      <c r="A184" s="95" t="n"/>
      <c r="B184" s="21" t="n"/>
      <c r="C184" s="21" t="n"/>
    </row>
    <row r="185" ht="12.75" customHeight="1">
      <c r="A185" s="95" t="n"/>
      <c r="B185" s="21" t="n"/>
      <c r="C185" s="21" t="n"/>
    </row>
    <row r="186" ht="12.75" customHeight="1">
      <c r="A186" s="95" t="n"/>
      <c r="B186" s="21" t="n"/>
      <c r="C186" s="21" t="n"/>
    </row>
    <row r="187" ht="12.75" customHeight="1">
      <c r="A187" s="95" t="n"/>
      <c r="B187" s="21" t="n"/>
      <c r="C187" s="21" t="n"/>
    </row>
    <row r="188" ht="12.75" customHeight="1">
      <c r="A188" s="95" t="n"/>
      <c r="B188" s="21" t="n"/>
      <c r="C188" s="21" t="n"/>
    </row>
    <row r="189" ht="12.75" customHeight="1">
      <c r="A189" s="95" t="n"/>
      <c r="B189" s="21" t="n"/>
      <c r="C189" s="21" t="n"/>
    </row>
    <row r="190" ht="12.75" customHeight="1">
      <c r="A190" s="95" t="n"/>
      <c r="B190" s="21" t="n"/>
      <c r="C190" s="21" t="n"/>
    </row>
    <row r="191" ht="12.75" customHeight="1">
      <c r="A191" s="95" t="n"/>
      <c r="B191" s="21" t="n"/>
      <c r="C191" s="21" t="n"/>
    </row>
    <row r="192" ht="12.75" customHeight="1">
      <c r="A192" s="95" t="n"/>
      <c r="B192" s="21" t="n"/>
      <c r="C192" s="21" t="n"/>
    </row>
    <row r="193" ht="12.75" customHeight="1">
      <c r="A193" s="95" t="n"/>
      <c r="B193" s="21" t="n"/>
      <c r="C193" s="21" t="n"/>
    </row>
    <row r="194" ht="12.75" customHeight="1">
      <c r="A194" s="95" t="n"/>
      <c r="B194" s="21" t="n"/>
      <c r="C194" s="21" t="n"/>
    </row>
    <row r="195" ht="12.75" customHeight="1">
      <c r="A195" s="95" t="n"/>
      <c r="B195" s="21" t="n"/>
      <c r="C195" s="21" t="n"/>
    </row>
    <row r="196" ht="12.75" customHeight="1">
      <c r="A196" s="95" t="n"/>
      <c r="B196" s="21" t="n"/>
      <c r="C196" s="21" t="n"/>
    </row>
    <row r="197" ht="12.75" customHeight="1">
      <c r="A197" s="95" t="n"/>
      <c r="B197" s="21" t="n"/>
      <c r="C197" s="21" t="n"/>
    </row>
    <row r="198" ht="12.75" customHeight="1">
      <c r="A198" s="95" t="n"/>
      <c r="B198" s="21" t="n"/>
      <c r="C198" s="21" t="n"/>
    </row>
    <row r="199" ht="12.75" customHeight="1">
      <c r="A199" s="95" t="n"/>
      <c r="B199" s="21" t="n"/>
      <c r="C199" s="21" t="n"/>
    </row>
    <row r="200" ht="12.75" customHeight="1">
      <c r="A200" s="95" t="n"/>
      <c r="B200" s="21" t="n"/>
      <c r="C200" s="21" t="n"/>
    </row>
    <row r="201" ht="12.75" customHeight="1">
      <c r="A201" s="95" t="n"/>
      <c r="B201" s="21" t="n"/>
      <c r="C201" s="21" t="n"/>
    </row>
    <row r="202" ht="12.75" customHeight="1">
      <c r="A202" s="95" t="n"/>
      <c r="B202" s="21" t="n"/>
      <c r="C202" s="21" t="n"/>
    </row>
    <row r="203" ht="12.75" customHeight="1">
      <c r="A203" s="95" t="n"/>
      <c r="B203" s="21" t="n"/>
      <c r="C203" s="21" t="n"/>
    </row>
    <row r="204" ht="12.75" customHeight="1">
      <c r="A204" s="95" t="n"/>
      <c r="B204" s="21" t="n"/>
      <c r="C204" s="21" t="n"/>
    </row>
    <row r="205" ht="12.75" customHeight="1">
      <c r="A205" s="95" t="n"/>
      <c r="B205" s="21" t="n"/>
      <c r="C205" s="21" t="n"/>
    </row>
    <row r="206" ht="12.75" customHeight="1">
      <c r="A206" s="95" t="n"/>
      <c r="B206" s="21" t="n"/>
      <c r="C206" s="21" t="n"/>
    </row>
    <row r="207" ht="12.75" customHeight="1">
      <c r="A207" s="95" t="n"/>
      <c r="B207" s="21" t="n"/>
      <c r="C207" s="21" t="n"/>
    </row>
    <row r="208" ht="12.75" customHeight="1">
      <c r="A208" s="95" t="n"/>
      <c r="B208" s="21" t="n"/>
      <c r="C208" s="21" t="n"/>
    </row>
    <row r="209" ht="12.75" customHeight="1">
      <c r="A209" s="95" t="n"/>
      <c r="B209" s="21" t="n"/>
      <c r="C209" s="21" t="n"/>
    </row>
    <row r="210" ht="12.75" customHeight="1">
      <c r="A210" s="95" t="n"/>
      <c r="B210" s="21" t="n"/>
      <c r="C210" s="21" t="n"/>
    </row>
    <row r="211" ht="12.75" customHeight="1">
      <c r="A211" s="95" t="n"/>
      <c r="B211" s="21" t="n"/>
      <c r="C211" s="21" t="n"/>
    </row>
    <row r="212" ht="12.75" customHeight="1">
      <c r="A212" s="95" t="n"/>
      <c r="B212" s="21" t="n"/>
      <c r="C212" s="21" t="n"/>
    </row>
    <row r="213" ht="12.75" customHeight="1">
      <c r="A213" s="95" t="n"/>
      <c r="B213" s="21" t="n"/>
      <c r="C213" s="21" t="n"/>
    </row>
    <row r="214" ht="12.75" customHeight="1">
      <c r="A214" s="95" t="n"/>
      <c r="B214" s="21" t="n"/>
      <c r="C214" s="21" t="n"/>
    </row>
    <row r="215" ht="12.75" customHeight="1">
      <c r="A215" s="95" t="n"/>
      <c r="B215" s="21" t="n"/>
      <c r="C215" s="21" t="n"/>
    </row>
    <row r="216" ht="12.75" customHeight="1">
      <c r="A216" s="95" t="n"/>
      <c r="B216" s="21" t="n"/>
      <c r="C216" s="21" t="n"/>
    </row>
    <row r="217" ht="12.75" customHeight="1">
      <c r="A217" s="95" t="n"/>
      <c r="B217" s="21" t="n"/>
      <c r="C217" s="21" t="n"/>
    </row>
    <row r="218" ht="12.75" customHeight="1">
      <c r="A218" s="95" t="n"/>
      <c r="B218" s="21" t="n"/>
      <c r="C218" s="21" t="n"/>
    </row>
    <row r="219" ht="12.75" customHeight="1">
      <c r="A219" s="95" t="n"/>
      <c r="B219" s="21" t="n"/>
      <c r="C219" s="21" t="n"/>
    </row>
    <row r="220" ht="12.75" customHeight="1">
      <c r="A220" s="95" t="n"/>
      <c r="B220" s="21" t="n"/>
      <c r="C220" s="21" t="n"/>
    </row>
    <row r="221" ht="12.75" customHeight="1">
      <c r="A221" s="95" t="n"/>
      <c r="B221" s="21" t="n"/>
      <c r="C221" s="21" t="n"/>
    </row>
    <row r="222" ht="12.75" customHeight="1">
      <c r="A222" s="95" t="n"/>
      <c r="B222" s="21" t="n"/>
      <c r="C222" s="21" t="n"/>
    </row>
    <row r="223" ht="12.75" customHeight="1">
      <c r="A223" s="95" t="n"/>
      <c r="B223" s="21" t="n"/>
      <c r="C223" s="21" t="n"/>
    </row>
    <row r="224" ht="12.75" customHeight="1">
      <c r="A224" s="95" t="n"/>
      <c r="B224" s="21" t="n"/>
      <c r="C224" s="21" t="n"/>
    </row>
    <row r="225" ht="12.75" customHeight="1">
      <c r="A225" s="95" t="n"/>
      <c r="B225" s="21" t="n"/>
      <c r="C225" s="21" t="n"/>
    </row>
    <row r="226" ht="12.75" customHeight="1">
      <c r="A226" s="95" t="n"/>
      <c r="B226" s="21" t="n"/>
      <c r="C226" s="21" t="n"/>
    </row>
    <row r="227" ht="12.75" customHeight="1">
      <c r="A227" s="95" t="n"/>
      <c r="B227" s="21" t="n"/>
      <c r="C227" s="21" t="n"/>
    </row>
    <row r="228" ht="12.75" customHeight="1">
      <c r="A228" s="95" t="n"/>
      <c r="B228" s="21" t="n"/>
      <c r="C228" s="21" t="n"/>
    </row>
    <row r="229" ht="12.75" customHeight="1">
      <c r="A229" s="95" t="n"/>
      <c r="B229" s="21" t="n"/>
      <c r="C229" s="21" t="n"/>
    </row>
    <row r="230" ht="12.75" customHeight="1">
      <c r="A230" s="95" t="n"/>
      <c r="B230" s="21" t="n"/>
      <c r="C230" s="21" t="n"/>
    </row>
    <row r="231" ht="12.75" customHeight="1">
      <c r="A231" s="95" t="n"/>
      <c r="B231" s="21" t="n"/>
      <c r="C231" s="21" t="n"/>
    </row>
    <row r="232" ht="12.75" customHeight="1">
      <c r="A232" s="95" t="n"/>
      <c r="B232" s="21" t="n"/>
      <c r="C232" s="21" t="n"/>
    </row>
    <row r="233" ht="12.75" customHeight="1">
      <c r="A233" s="95" t="n"/>
      <c r="B233" s="21" t="n"/>
      <c r="C233" s="21" t="n"/>
    </row>
    <row r="234" ht="12.75" customHeight="1">
      <c r="A234" s="95" t="n"/>
      <c r="B234" s="21" t="n"/>
      <c r="C234" s="21" t="n"/>
    </row>
    <row r="235" ht="12.75" customHeight="1">
      <c r="A235" s="95" t="n"/>
      <c r="B235" s="21" t="n"/>
      <c r="C235" s="21" t="n"/>
    </row>
    <row r="236" ht="12.75" customHeight="1">
      <c r="A236" s="95" t="n"/>
      <c r="B236" s="21" t="n"/>
      <c r="C236" s="21" t="n"/>
    </row>
    <row r="237" ht="12.75" customHeight="1">
      <c r="A237" s="95" t="n"/>
      <c r="B237" s="21" t="n"/>
      <c r="C237" s="21" t="n"/>
    </row>
    <row r="238" ht="12.75" customHeight="1">
      <c r="A238" s="95" t="n"/>
      <c r="B238" s="21" t="n"/>
      <c r="C238" s="21" t="n"/>
    </row>
    <row r="239" ht="12.75" customHeight="1">
      <c r="A239" s="95" t="n"/>
      <c r="B239" s="21" t="n"/>
      <c r="C239" s="21" t="n"/>
    </row>
    <row r="240" ht="12.75" customHeight="1">
      <c r="A240" s="95" t="n"/>
      <c r="B240" s="21" t="n"/>
      <c r="C240" s="21" t="n"/>
    </row>
    <row r="241" ht="12.75" customHeight="1">
      <c r="A241" s="95" t="n"/>
      <c r="B241" s="21" t="n"/>
      <c r="C241" s="21" t="n"/>
    </row>
    <row r="242" ht="12.75" customHeight="1">
      <c r="A242" s="95" t="n"/>
      <c r="B242" s="21" t="n"/>
      <c r="C242" s="21" t="n"/>
    </row>
    <row r="243" ht="12.75" customHeight="1">
      <c r="A243" s="95" t="n"/>
      <c r="B243" s="21" t="n"/>
      <c r="C243" s="21" t="n"/>
    </row>
    <row r="244" ht="12.75" customHeight="1">
      <c r="A244" s="95" t="n"/>
      <c r="B244" s="21" t="n"/>
      <c r="C244" s="21" t="n"/>
    </row>
    <row r="245" ht="12.75" customHeight="1">
      <c r="A245" s="95" t="n"/>
      <c r="B245" s="21" t="n"/>
      <c r="C245" s="21" t="n"/>
    </row>
    <row r="246" ht="12.75" customHeight="1">
      <c r="A246" s="95" t="n"/>
      <c r="B246" s="21" t="n"/>
      <c r="C246" s="21" t="n"/>
    </row>
    <row r="247" ht="12.75" customHeight="1">
      <c r="A247" s="95" t="n"/>
      <c r="B247" s="21" t="n"/>
      <c r="C247" s="21" t="n"/>
    </row>
    <row r="248" ht="12.75" customHeight="1">
      <c r="A248" s="95" t="n"/>
      <c r="B248" s="21" t="n"/>
      <c r="C248" s="21" t="n"/>
    </row>
    <row r="249" ht="12.75" customHeight="1">
      <c r="A249" s="95" t="n"/>
      <c r="B249" s="21" t="n"/>
      <c r="C249" s="21" t="n"/>
    </row>
    <row r="250" ht="12.75" customHeight="1">
      <c r="A250" s="95" t="n"/>
      <c r="B250" s="21" t="n"/>
      <c r="C250" s="21" t="n"/>
    </row>
    <row r="251" ht="12.75" customHeight="1">
      <c r="A251" s="95" t="n"/>
      <c r="B251" s="21" t="n"/>
      <c r="C251" s="21" t="n"/>
    </row>
    <row r="252" ht="12.75" customHeight="1">
      <c r="A252" s="95" t="n"/>
      <c r="B252" s="21" t="n"/>
      <c r="C252" s="21" t="n"/>
    </row>
    <row r="253" ht="12.75" customHeight="1">
      <c r="A253" s="95" t="n"/>
      <c r="B253" s="21" t="n"/>
      <c r="C253" s="21" t="n"/>
    </row>
    <row r="254" ht="12.75" customHeight="1">
      <c r="A254" s="95" t="n"/>
      <c r="B254" s="21" t="n"/>
      <c r="C254" s="21" t="n"/>
    </row>
    <row r="255" ht="12.75" customHeight="1">
      <c r="A255" s="95" t="n"/>
      <c r="B255" s="21" t="n"/>
      <c r="C255" s="21" t="n"/>
    </row>
    <row r="256" ht="12.75" customHeight="1">
      <c r="A256" s="95" t="n"/>
      <c r="B256" s="21" t="n"/>
      <c r="C256" s="21" t="n"/>
    </row>
    <row r="257" ht="12.75" customHeight="1">
      <c r="A257" s="95" t="n"/>
      <c r="B257" s="21" t="n"/>
      <c r="C257" s="21" t="n"/>
    </row>
    <row r="258" ht="12.75" customHeight="1">
      <c r="A258" s="95" t="n"/>
      <c r="B258" s="21" t="n"/>
      <c r="C258" s="21" t="n"/>
    </row>
    <row r="259" ht="12.75" customHeight="1">
      <c r="A259" s="95" t="n"/>
      <c r="B259" s="21" t="n"/>
      <c r="C259" s="21" t="n"/>
    </row>
    <row r="260" ht="12.75" customHeight="1">
      <c r="A260" s="95" t="n"/>
      <c r="B260" s="21" t="n"/>
      <c r="C260" s="21" t="n"/>
    </row>
    <row r="261" ht="12.75" customHeight="1">
      <c r="A261" s="95" t="n"/>
      <c r="B261" s="21" t="n"/>
      <c r="C261" s="21" t="n"/>
    </row>
    <row r="262" ht="12.75" customHeight="1">
      <c r="A262" s="95" t="n"/>
      <c r="B262" s="21" t="n"/>
      <c r="C262" s="21" t="n"/>
    </row>
    <row r="263" ht="12.75" customHeight="1">
      <c r="A263" s="95" t="n"/>
      <c r="B263" s="21" t="n"/>
      <c r="C263" s="21" t="n"/>
    </row>
    <row r="264" ht="12.75" customHeight="1">
      <c r="A264" s="95" t="n"/>
      <c r="B264" s="21" t="n"/>
      <c r="C264" s="21" t="n"/>
    </row>
    <row r="265" ht="12.75" customHeight="1">
      <c r="A265" s="95" t="n"/>
      <c r="B265" s="21" t="n"/>
      <c r="C265" s="21" t="n"/>
    </row>
    <row r="266" ht="12.75" customHeight="1">
      <c r="A266" s="95" t="n"/>
      <c r="B266" s="21" t="n"/>
      <c r="C266" s="21" t="n"/>
    </row>
    <row r="267" ht="12.75" customHeight="1">
      <c r="A267" s="95" t="n"/>
      <c r="B267" s="21" t="n"/>
      <c r="C267" s="21" t="n"/>
    </row>
    <row r="268" ht="12.75" customHeight="1">
      <c r="A268" s="95" t="n"/>
      <c r="B268" s="21" t="n"/>
      <c r="C268" s="21" t="n"/>
    </row>
    <row r="269" ht="12.75" customHeight="1">
      <c r="A269" s="95" t="n"/>
      <c r="B269" s="21" t="n"/>
      <c r="C269" s="21" t="n"/>
    </row>
    <row r="270" ht="12.75" customHeight="1">
      <c r="A270" s="95" t="n"/>
      <c r="B270" s="21" t="n"/>
      <c r="C270" s="21" t="n"/>
    </row>
    <row r="271" ht="12.75" customHeight="1">
      <c r="A271" s="95" t="n"/>
      <c r="B271" s="21" t="n"/>
      <c r="C271" s="21" t="n"/>
    </row>
    <row r="272" ht="12.75" customHeight="1">
      <c r="A272" s="95" t="n"/>
      <c r="B272" s="21" t="n"/>
      <c r="C272" s="21" t="n"/>
    </row>
    <row r="273" ht="12.75" customHeight="1">
      <c r="A273" s="95" t="n"/>
      <c r="B273" s="21" t="n"/>
      <c r="C273" s="21" t="n"/>
    </row>
    <row r="274" ht="12.75" customHeight="1">
      <c r="A274" s="95" t="n"/>
      <c r="B274" s="21" t="n"/>
      <c r="C274" s="21" t="n"/>
    </row>
    <row r="275" ht="12.75" customHeight="1">
      <c r="A275" s="95" t="n"/>
      <c r="B275" s="21" t="n"/>
      <c r="C275" s="21" t="n"/>
    </row>
    <row r="276" ht="12.75" customHeight="1">
      <c r="A276" s="95" t="n"/>
      <c r="B276" s="21" t="n"/>
      <c r="C276" s="21" t="n"/>
    </row>
    <row r="277" ht="12.75" customHeight="1">
      <c r="A277" s="95" t="n"/>
      <c r="B277" s="21" t="n"/>
      <c r="C277" s="21" t="n"/>
    </row>
    <row r="278" ht="12.75" customHeight="1">
      <c r="A278" s="95" t="n"/>
      <c r="B278" s="21" t="n"/>
      <c r="C278" s="21" t="n"/>
    </row>
    <row r="279" ht="12.75" customHeight="1">
      <c r="A279" s="95" t="n"/>
      <c r="B279" s="21" t="n"/>
      <c r="C279" s="21" t="n"/>
    </row>
    <row r="280" ht="12.75" customHeight="1">
      <c r="A280" s="95" t="n"/>
      <c r="B280" s="21" t="n"/>
      <c r="C280" s="21" t="n"/>
    </row>
    <row r="281" ht="12.75" customHeight="1">
      <c r="A281" s="95" t="n"/>
      <c r="B281" s="21" t="n"/>
      <c r="C281" s="21" t="n"/>
    </row>
    <row r="282" ht="12.75" customHeight="1">
      <c r="A282" s="95" t="n"/>
      <c r="B282" s="21" t="n"/>
      <c r="C282" s="21" t="n"/>
    </row>
    <row r="283" ht="12.75" customHeight="1">
      <c r="A283" s="95" t="n"/>
      <c r="B283" s="21" t="n"/>
      <c r="C283" s="21" t="n"/>
    </row>
    <row r="284" ht="12.75" customHeight="1">
      <c r="A284" s="95" t="n"/>
      <c r="B284" s="21" t="n"/>
      <c r="C284" s="21" t="n"/>
    </row>
    <row r="285" ht="12.75" customHeight="1">
      <c r="A285" s="95" t="n"/>
      <c r="B285" s="21" t="n"/>
      <c r="C285" s="21" t="n"/>
    </row>
    <row r="286" ht="12.75" customHeight="1">
      <c r="A286" s="95" t="n"/>
      <c r="B286" s="21" t="n"/>
      <c r="C286" s="21" t="n"/>
    </row>
    <row r="287" ht="12.75" customHeight="1">
      <c r="A287" s="95" t="n"/>
      <c r="B287" s="21" t="n"/>
      <c r="C287" s="21" t="n"/>
    </row>
    <row r="288" ht="12.75" customHeight="1">
      <c r="A288" s="95" t="n"/>
      <c r="B288" s="21" t="n"/>
      <c r="C288" s="21" t="n"/>
    </row>
    <row r="289" ht="12.75" customHeight="1">
      <c r="A289" s="95" t="n"/>
      <c r="B289" s="21" t="n"/>
      <c r="C289" s="21" t="n"/>
    </row>
    <row r="290" ht="12.75" customHeight="1">
      <c r="A290" s="95" t="n"/>
      <c r="B290" s="21" t="n"/>
      <c r="C290" s="21" t="n"/>
    </row>
    <row r="291" ht="12.75" customHeight="1">
      <c r="A291" s="95" t="n"/>
      <c r="B291" s="21" t="n"/>
      <c r="C291" s="21" t="n"/>
    </row>
    <row r="292" ht="12.75" customHeight="1">
      <c r="A292" s="95" t="n"/>
      <c r="B292" s="21" t="n"/>
      <c r="C292" s="21" t="n"/>
    </row>
    <row r="293" ht="12.75" customHeight="1">
      <c r="A293" s="95" t="n"/>
      <c r="B293" s="21" t="n"/>
      <c r="C293" s="21" t="n"/>
    </row>
    <row r="294" ht="12.75" customHeight="1">
      <c r="A294" s="95" t="n"/>
      <c r="B294" s="21" t="n"/>
      <c r="C294" s="21" t="n"/>
    </row>
    <row r="295" ht="12.75" customHeight="1">
      <c r="A295" s="95" t="n"/>
      <c r="B295" s="21" t="n"/>
      <c r="C295" s="21" t="n"/>
    </row>
    <row r="296" ht="12.75" customHeight="1">
      <c r="A296" s="95" t="n"/>
      <c r="B296" s="21" t="n"/>
      <c r="C296" s="21" t="n"/>
    </row>
    <row r="297" ht="12.75" customHeight="1">
      <c r="A297" s="95" t="n"/>
      <c r="B297" s="21" t="n"/>
      <c r="C297" s="21" t="n"/>
    </row>
    <row r="298" ht="12.75" customHeight="1">
      <c r="A298" s="95" t="n"/>
      <c r="B298" s="21" t="n"/>
      <c r="C298" s="21" t="n"/>
    </row>
    <row r="299" ht="12.75" customHeight="1">
      <c r="A299" s="95" t="n"/>
      <c r="B299" s="21" t="n"/>
      <c r="C299" s="21" t="n"/>
    </row>
    <row r="300" ht="12.75" customHeight="1">
      <c r="A300" s="95" t="n"/>
      <c r="B300" s="21" t="n"/>
      <c r="C300" s="21" t="n"/>
    </row>
    <row r="301" ht="12.75" customHeight="1">
      <c r="A301" s="95" t="n"/>
      <c r="B301" s="21" t="n"/>
      <c r="C301" s="21" t="n"/>
    </row>
    <row r="302" ht="12.75" customHeight="1">
      <c r="A302" s="95" t="n"/>
      <c r="B302" s="21" t="n"/>
      <c r="C302" s="21" t="n"/>
    </row>
    <row r="303" ht="12.75" customHeight="1">
      <c r="A303" s="95" t="n"/>
      <c r="B303" s="21" t="n"/>
      <c r="C303" s="21" t="n"/>
    </row>
    <row r="304" ht="12.75" customHeight="1">
      <c r="A304" s="95" t="n"/>
      <c r="B304" s="21" t="n"/>
      <c r="C304" s="21" t="n"/>
    </row>
    <row r="305" ht="12.75" customHeight="1">
      <c r="A305" s="95" t="n"/>
      <c r="B305" s="21" t="n"/>
      <c r="C305" s="21" t="n"/>
    </row>
    <row r="306" ht="12.75" customHeight="1">
      <c r="A306" s="95" t="n"/>
      <c r="B306" s="21" t="n"/>
      <c r="C306" s="21" t="n"/>
    </row>
    <row r="307" ht="12.75" customHeight="1">
      <c r="A307" s="95" t="n"/>
      <c r="B307" s="21" t="n"/>
      <c r="C307" s="21" t="n"/>
    </row>
    <row r="308" ht="12.75" customHeight="1">
      <c r="A308" s="95" t="n"/>
      <c r="B308" s="21" t="n"/>
      <c r="C308" s="21" t="n"/>
    </row>
    <row r="309" ht="12.75" customHeight="1">
      <c r="A309" s="95" t="n"/>
      <c r="B309" s="21" t="n"/>
      <c r="C309" s="21" t="n"/>
    </row>
    <row r="310" ht="12.75" customHeight="1">
      <c r="A310" s="95" t="n"/>
      <c r="B310" s="21" t="n"/>
      <c r="C310" s="21" t="n"/>
    </row>
    <row r="311" ht="12.75" customHeight="1">
      <c r="A311" s="95" t="n"/>
      <c r="B311" s="21" t="n"/>
      <c r="C311" s="21" t="n"/>
    </row>
    <row r="312" ht="12.75" customHeight="1">
      <c r="A312" s="95" t="n"/>
      <c r="B312" s="21" t="n"/>
      <c r="C312" s="21" t="n"/>
    </row>
    <row r="313" ht="12.75" customHeight="1">
      <c r="A313" s="95" t="n"/>
      <c r="B313" s="21" t="n"/>
      <c r="C313" s="21" t="n"/>
    </row>
    <row r="314" ht="12.75" customHeight="1">
      <c r="A314" s="95" t="n"/>
      <c r="B314" s="21" t="n"/>
      <c r="C314" s="21" t="n"/>
    </row>
    <row r="315" ht="12.75" customHeight="1">
      <c r="A315" s="95" t="n"/>
      <c r="B315" s="21" t="n"/>
      <c r="C315" s="21" t="n"/>
    </row>
    <row r="316" ht="12.75" customHeight="1">
      <c r="A316" s="95" t="n"/>
      <c r="B316" s="21" t="n"/>
      <c r="C316" s="21" t="n"/>
    </row>
    <row r="317" ht="12.75" customHeight="1">
      <c r="A317" s="95" t="n"/>
      <c r="B317" s="21" t="n"/>
      <c r="C317" s="21" t="n"/>
    </row>
    <row r="318" ht="12.75" customHeight="1">
      <c r="A318" s="95" t="n"/>
      <c r="B318" s="21" t="n"/>
      <c r="C318" s="21" t="n"/>
    </row>
    <row r="319" ht="12.75" customHeight="1">
      <c r="A319" s="95" t="n"/>
      <c r="B319" s="21" t="n"/>
      <c r="C319" s="21" t="n"/>
    </row>
    <row r="320" ht="12.75" customHeight="1">
      <c r="A320" s="95" t="n"/>
      <c r="B320" s="21" t="n"/>
      <c r="C320" s="21" t="n"/>
    </row>
    <row r="321" ht="12.75" customHeight="1">
      <c r="A321" s="95" t="n"/>
      <c r="B321" s="21" t="n"/>
      <c r="C321" s="21" t="n"/>
    </row>
    <row r="322" ht="12.75" customHeight="1">
      <c r="A322" s="95" t="n"/>
      <c r="B322" s="21" t="n"/>
      <c r="C322" s="21" t="n"/>
    </row>
    <row r="323" ht="12.75" customHeight="1">
      <c r="A323" s="95" t="n"/>
      <c r="B323" s="21" t="n"/>
      <c r="C323" s="21" t="n"/>
    </row>
    <row r="324" ht="12.75" customHeight="1">
      <c r="A324" s="95" t="n"/>
      <c r="B324" s="21" t="n"/>
      <c r="C324" s="21" t="n"/>
    </row>
    <row r="325" ht="12.75" customHeight="1">
      <c r="A325" s="95" t="n"/>
      <c r="B325" s="21" t="n"/>
      <c r="C325" s="21" t="n"/>
    </row>
    <row r="326" ht="12.75" customHeight="1">
      <c r="A326" s="95" t="n"/>
      <c r="B326" s="21" t="n"/>
      <c r="C326" s="21" t="n"/>
    </row>
    <row r="327" ht="12.75" customHeight="1">
      <c r="A327" s="95" t="n"/>
      <c r="B327" s="21" t="n"/>
      <c r="C327" s="21" t="n"/>
    </row>
    <row r="328" ht="12.75" customHeight="1">
      <c r="A328" s="95" t="n"/>
      <c r="B328" s="21" t="n"/>
      <c r="C328" s="21" t="n"/>
    </row>
    <row r="329" ht="12.75" customHeight="1">
      <c r="A329" s="95" t="n"/>
      <c r="B329" s="21" t="n"/>
      <c r="C329" s="21" t="n"/>
    </row>
    <row r="330" ht="12.75" customHeight="1">
      <c r="A330" s="95" t="n"/>
      <c r="B330" s="21" t="n"/>
      <c r="C330" s="21" t="n"/>
    </row>
    <row r="331" ht="12.75" customHeight="1">
      <c r="A331" s="95" t="n"/>
      <c r="B331" s="21" t="n"/>
      <c r="C331" s="21" t="n"/>
    </row>
    <row r="332" ht="12.75" customHeight="1">
      <c r="A332" s="95" t="n"/>
      <c r="B332" s="21" t="n"/>
      <c r="C332" s="21" t="n"/>
    </row>
    <row r="333" ht="12.75" customHeight="1">
      <c r="A333" s="95" t="n"/>
      <c r="B333" s="21" t="n"/>
      <c r="C333" s="21" t="n"/>
    </row>
    <row r="334" ht="12.75" customHeight="1">
      <c r="A334" s="95" t="n"/>
      <c r="B334" s="21" t="n"/>
      <c r="C334" s="21" t="n"/>
    </row>
    <row r="335" ht="12.75" customHeight="1">
      <c r="A335" s="95" t="n"/>
      <c r="B335" s="21" t="n"/>
      <c r="C335" s="21" t="n"/>
    </row>
    <row r="336" ht="12.75" customHeight="1">
      <c r="A336" s="95" t="n"/>
      <c r="B336" s="21" t="n"/>
      <c r="C336" s="21" t="n"/>
    </row>
    <row r="337" ht="12.75" customHeight="1">
      <c r="A337" s="95" t="n"/>
      <c r="B337" s="21" t="n"/>
      <c r="C337" s="21" t="n"/>
    </row>
    <row r="338" ht="12.75" customHeight="1">
      <c r="A338" s="95" t="n"/>
      <c r="B338" s="21" t="n"/>
      <c r="C338" s="21" t="n"/>
    </row>
    <row r="339" ht="12.75" customHeight="1">
      <c r="A339" s="95" t="n"/>
      <c r="B339" s="21" t="n"/>
      <c r="C339" s="21" t="n"/>
    </row>
    <row r="340" ht="12.75" customHeight="1">
      <c r="A340" s="95" t="n"/>
      <c r="B340" s="21" t="n"/>
      <c r="C340" s="21" t="n"/>
    </row>
    <row r="341" ht="12.75" customHeight="1">
      <c r="A341" s="95" t="n"/>
      <c r="B341" s="21" t="n"/>
      <c r="C341" s="21" t="n"/>
    </row>
    <row r="342" ht="12.75" customHeight="1">
      <c r="A342" s="95" t="n"/>
      <c r="B342" s="21" t="n"/>
      <c r="C342" s="21" t="n"/>
    </row>
    <row r="343" ht="12.75" customHeight="1">
      <c r="A343" s="95" t="n"/>
      <c r="B343" s="21" t="n"/>
      <c r="C343" s="21" t="n"/>
    </row>
    <row r="344" ht="12.75" customHeight="1">
      <c r="A344" s="95" t="n"/>
      <c r="B344" s="21" t="n"/>
      <c r="C344" s="21" t="n"/>
    </row>
    <row r="345" ht="12.75" customHeight="1">
      <c r="A345" s="95" t="n"/>
      <c r="B345" s="21" t="n"/>
      <c r="C345" s="21" t="n"/>
    </row>
    <row r="346" ht="12.75" customHeight="1">
      <c r="A346" s="95" t="n"/>
      <c r="B346" s="21" t="n"/>
      <c r="C346" s="21" t="n"/>
    </row>
    <row r="347" ht="12.75" customHeight="1">
      <c r="A347" s="95" t="n"/>
      <c r="B347" s="21" t="n"/>
      <c r="C347" s="21" t="n"/>
    </row>
    <row r="348" ht="12.75" customHeight="1">
      <c r="A348" s="95" t="n"/>
      <c r="B348" s="21" t="n"/>
      <c r="C348" s="21" t="n"/>
    </row>
    <row r="349" ht="12.75" customHeight="1">
      <c r="A349" s="95" t="n"/>
      <c r="B349" s="21" t="n"/>
      <c r="C349" s="21" t="n"/>
    </row>
    <row r="350" ht="12.75" customHeight="1">
      <c r="A350" s="95" t="n"/>
      <c r="B350" s="21" t="n"/>
      <c r="C350" s="21" t="n"/>
    </row>
    <row r="351" ht="12.75" customHeight="1">
      <c r="A351" s="95" t="n"/>
      <c r="B351" s="21" t="n"/>
      <c r="C351" s="21" t="n"/>
    </row>
    <row r="352" ht="12.75" customHeight="1">
      <c r="A352" s="95" t="n"/>
      <c r="B352" s="21" t="n"/>
      <c r="C352" s="21" t="n"/>
    </row>
    <row r="353" ht="12.75" customHeight="1">
      <c r="A353" s="95" t="n"/>
      <c r="B353" s="21" t="n"/>
      <c r="C353" s="21" t="n"/>
    </row>
    <row r="354" ht="12.75" customHeight="1">
      <c r="A354" s="95" t="n"/>
      <c r="B354" s="21" t="n"/>
      <c r="C354" s="21" t="n"/>
    </row>
    <row r="355" ht="12.75" customHeight="1">
      <c r="A355" s="95" t="n"/>
      <c r="B355" s="21" t="n"/>
      <c r="C355" s="21" t="n"/>
    </row>
    <row r="356" ht="12.75" customHeight="1">
      <c r="A356" s="95" t="n"/>
      <c r="B356" s="21" t="n"/>
      <c r="C356" s="21" t="n"/>
    </row>
    <row r="357" ht="12.75" customHeight="1">
      <c r="A357" s="95" t="n"/>
      <c r="B357" s="21" t="n"/>
      <c r="C357" s="21" t="n"/>
    </row>
    <row r="358" ht="12.75" customHeight="1">
      <c r="A358" s="95" t="n"/>
      <c r="B358" s="21" t="n"/>
      <c r="C358" s="21" t="n"/>
    </row>
    <row r="359" ht="12.75" customHeight="1">
      <c r="A359" s="95" t="n"/>
      <c r="B359" s="21" t="n"/>
      <c r="C359" s="21" t="n"/>
    </row>
    <row r="360" ht="12.75" customHeight="1">
      <c r="A360" s="95" t="n"/>
      <c r="B360" s="21" t="n"/>
      <c r="C360" s="21" t="n"/>
    </row>
    <row r="361" ht="12.75" customHeight="1">
      <c r="A361" s="95" t="n"/>
      <c r="B361" s="21" t="n"/>
      <c r="C361" s="21" t="n"/>
    </row>
    <row r="362" ht="12.75" customHeight="1">
      <c r="A362" s="95" t="n"/>
      <c r="B362" s="21" t="n"/>
      <c r="C362" s="21" t="n"/>
    </row>
    <row r="363" ht="12.75" customHeight="1">
      <c r="A363" s="95" t="n"/>
      <c r="B363" s="21" t="n"/>
      <c r="C363" s="21" t="n"/>
    </row>
    <row r="364" ht="12.75" customHeight="1">
      <c r="A364" s="95" t="n"/>
      <c r="B364" s="21" t="n"/>
      <c r="C364" s="21" t="n"/>
    </row>
    <row r="365" ht="12.75" customHeight="1">
      <c r="A365" s="95" t="n"/>
      <c r="B365" s="21" t="n"/>
      <c r="C365" s="21" t="n"/>
    </row>
    <row r="366" ht="12.75" customHeight="1">
      <c r="A366" s="95" t="n"/>
      <c r="B366" s="21" t="n"/>
      <c r="C366" s="21" t="n"/>
    </row>
    <row r="367" ht="12.75" customHeight="1">
      <c r="A367" s="95" t="n"/>
      <c r="B367" s="21" t="n"/>
      <c r="C367" s="21" t="n"/>
    </row>
    <row r="368" ht="12.75" customHeight="1">
      <c r="A368" s="95" t="n"/>
      <c r="B368" s="21" t="n"/>
      <c r="C368" s="21" t="n"/>
    </row>
    <row r="369" ht="12.75" customHeight="1">
      <c r="A369" s="95" t="n"/>
      <c r="B369" s="21" t="n"/>
      <c r="C369" s="21" t="n"/>
    </row>
    <row r="370" ht="12.75" customHeight="1">
      <c r="A370" s="95" t="n"/>
      <c r="B370" s="21" t="n"/>
      <c r="C370" s="21" t="n"/>
    </row>
    <row r="371" ht="12.75" customHeight="1">
      <c r="A371" s="95" t="n"/>
      <c r="B371" s="21" t="n"/>
      <c r="C371" s="21" t="n"/>
    </row>
    <row r="372" ht="12.75" customHeight="1">
      <c r="A372" s="95" t="n"/>
      <c r="B372" s="21" t="n"/>
      <c r="C372" s="21" t="n"/>
    </row>
    <row r="373" ht="12.75" customHeight="1">
      <c r="A373" s="95" t="n"/>
      <c r="B373" s="21" t="n"/>
      <c r="C373" s="21" t="n"/>
    </row>
    <row r="374" ht="12.75" customHeight="1">
      <c r="A374" s="95" t="n"/>
      <c r="B374" s="21" t="n"/>
      <c r="C374" s="21" t="n"/>
    </row>
    <row r="375" ht="12.75" customHeight="1">
      <c r="A375" s="95" t="n"/>
      <c r="B375" s="21" t="n"/>
      <c r="C375" s="21" t="n"/>
    </row>
    <row r="376" ht="12.75" customHeight="1">
      <c r="A376" s="95" t="n"/>
      <c r="B376" s="21" t="n"/>
      <c r="C376" s="21" t="n"/>
    </row>
    <row r="377" ht="12.75" customHeight="1">
      <c r="A377" s="95" t="n"/>
      <c r="B377" s="21" t="n"/>
      <c r="C377" s="21" t="n"/>
    </row>
    <row r="378" ht="12.75" customHeight="1">
      <c r="A378" s="95" t="n"/>
      <c r="B378" s="21" t="n"/>
      <c r="C378" s="21" t="n"/>
    </row>
    <row r="379" ht="12.75" customHeight="1">
      <c r="A379" s="95" t="n"/>
      <c r="B379" s="21" t="n"/>
      <c r="C379" s="21" t="n"/>
    </row>
    <row r="380" ht="12.75" customHeight="1">
      <c r="A380" s="95" t="n"/>
      <c r="B380" s="21" t="n"/>
      <c r="C380" s="21" t="n"/>
    </row>
    <row r="381" ht="12.75" customHeight="1">
      <c r="A381" s="95" t="n"/>
      <c r="B381" s="21" t="n"/>
      <c r="C381" s="21" t="n"/>
    </row>
    <row r="382" ht="12.75" customHeight="1">
      <c r="A382" s="95" t="n"/>
      <c r="B382" s="21" t="n"/>
      <c r="C382" s="21" t="n"/>
    </row>
    <row r="383" ht="12.75" customHeight="1">
      <c r="A383" s="95" t="n"/>
      <c r="B383" s="21" t="n"/>
      <c r="C383" s="21" t="n"/>
    </row>
    <row r="384" ht="12.75" customHeight="1">
      <c r="A384" s="95" t="n"/>
      <c r="B384" s="21" t="n"/>
      <c r="C384" s="21" t="n"/>
    </row>
    <row r="385" ht="12.75" customHeight="1">
      <c r="A385" s="95" t="n"/>
      <c r="B385" s="21" t="n"/>
      <c r="C385" s="21" t="n"/>
    </row>
    <row r="386" ht="12.75" customHeight="1">
      <c r="A386" s="95" t="n"/>
      <c r="B386" s="21" t="n"/>
      <c r="C386" s="21" t="n"/>
    </row>
    <row r="387" ht="12.75" customHeight="1">
      <c r="A387" s="95" t="n"/>
      <c r="B387" s="21" t="n"/>
      <c r="C387" s="21" t="n"/>
    </row>
    <row r="388" ht="12.75" customHeight="1">
      <c r="A388" s="95" t="n"/>
      <c r="B388" s="21" t="n"/>
      <c r="C388" s="21" t="n"/>
    </row>
    <row r="389" ht="12.75" customHeight="1">
      <c r="A389" s="95" t="n"/>
      <c r="B389" s="21" t="n"/>
      <c r="C389" s="21" t="n"/>
    </row>
    <row r="390" ht="12.75" customHeight="1">
      <c r="A390" s="95" t="n"/>
      <c r="B390" s="21" t="n"/>
      <c r="C390" s="21" t="n"/>
    </row>
    <row r="391" ht="12.75" customHeight="1">
      <c r="A391" s="95" t="n"/>
      <c r="B391" s="21" t="n"/>
      <c r="C391" s="21" t="n"/>
    </row>
    <row r="392" ht="12.75" customHeight="1">
      <c r="A392" s="95" t="n"/>
      <c r="B392" s="21" t="n"/>
      <c r="C392" s="21" t="n"/>
    </row>
    <row r="393" ht="12.75" customHeight="1">
      <c r="A393" s="95" t="n"/>
      <c r="B393" s="21" t="n"/>
      <c r="C393" s="21" t="n"/>
    </row>
    <row r="394" ht="12.75" customHeight="1">
      <c r="A394" s="95" t="n"/>
      <c r="B394" s="21" t="n"/>
      <c r="C394" s="21" t="n"/>
    </row>
    <row r="395" ht="12.75" customHeight="1">
      <c r="A395" s="95" t="n"/>
      <c r="B395" s="21" t="n"/>
      <c r="C395" s="21" t="n"/>
    </row>
    <row r="396" ht="12.75" customHeight="1">
      <c r="A396" s="95" t="n"/>
      <c r="B396" s="21" t="n"/>
      <c r="C396" s="21" t="n"/>
    </row>
    <row r="397" ht="12.75" customHeight="1">
      <c r="A397" s="95" t="n"/>
      <c r="B397" s="21" t="n"/>
      <c r="C397" s="21" t="n"/>
    </row>
    <row r="398" ht="12.75" customHeight="1">
      <c r="A398" s="95" t="n"/>
      <c r="B398" s="21" t="n"/>
      <c r="C398" s="21" t="n"/>
    </row>
    <row r="399" ht="12.75" customHeight="1">
      <c r="A399" s="95" t="n"/>
      <c r="B399" s="21" t="n"/>
      <c r="C399" s="21" t="n"/>
    </row>
    <row r="400" ht="12.75" customHeight="1">
      <c r="A400" s="95" t="n"/>
      <c r="B400" s="21" t="n"/>
      <c r="C400" s="21" t="n"/>
    </row>
    <row r="401" ht="12.75" customHeight="1">
      <c r="A401" s="95" t="n"/>
      <c r="B401" s="21" t="n"/>
      <c r="C401" s="21" t="n"/>
    </row>
    <row r="402" ht="12.75" customHeight="1">
      <c r="A402" s="95" t="n"/>
      <c r="B402" s="21" t="n"/>
      <c r="C402" s="21" t="n"/>
    </row>
    <row r="403" ht="12.75" customHeight="1">
      <c r="A403" s="95" t="n"/>
      <c r="B403" s="21" t="n"/>
      <c r="C403" s="21" t="n"/>
    </row>
    <row r="404" ht="12.75" customHeight="1">
      <c r="A404" s="95" t="n"/>
      <c r="B404" s="21" t="n"/>
      <c r="C404" s="21" t="n"/>
    </row>
    <row r="405" ht="12.75" customHeight="1">
      <c r="A405" s="95" t="n"/>
      <c r="B405" s="21" t="n"/>
      <c r="C405" s="21" t="n"/>
    </row>
    <row r="406" ht="12.75" customHeight="1">
      <c r="A406" s="95" t="n"/>
      <c r="B406" s="21" t="n"/>
      <c r="C406" s="21" t="n"/>
    </row>
    <row r="407" ht="12.75" customHeight="1">
      <c r="A407" s="95" t="n"/>
      <c r="B407" s="21" t="n"/>
      <c r="C407" s="21" t="n"/>
    </row>
    <row r="408" ht="12.75" customHeight="1">
      <c r="A408" s="95" t="n"/>
      <c r="B408" s="21" t="n"/>
      <c r="C408" s="21" t="n"/>
    </row>
    <row r="409" ht="12.75" customHeight="1">
      <c r="A409" s="95" t="n"/>
      <c r="B409" s="21" t="n"/>
      <c r="C409" s="21" t="n"/>
    </row>
    <row r="410" ht="12.75" customHeight="1">
      <c r="A410" s="95" t="n"/>
      <c r="B410" s="21" t="n"/>
      <c r="C410" s="21" t="n"/>
    </row>
    <row r="411" ht="12.75" customHeight="1">
      <c r="A411" s="95" t="n"/>
      <c r="B411" s="21" t="n"/>
      <c r="C411" s="21" t="n"/>
    </row>
    <row r="412" ht="12.75" customHeight="1">
      <c r="A412" s="95" t="n"/>
      <c r="B412" s="21" t="n"/>
      <c r="C412" s="21" t="n"/>
    </row>
    <row r="413" ht="12.75" customHeight="1">
      <c r="A413" s="95" t="n"/>
      <c r="B413" s="21" t="n"/>
      <c r="C413" s="21" t="n"/>
    </row>
    <row r="414" ht="12.75" customHeight="1">
      <c r="A414" s="95" t="n"/>
      <c r="B414" s="21" t="n"/>
      <c r="C414" s="21" t="n"/>
    </row>
    <row r="415" ht="12.75" customHeight="1">
      <c r="A415" s="95" t="n"/>
      <c r="B415" s="21" t="n"/>
      <c r="C415" s="21" t="n"/>
    </row>
    <row r="416" ht="12.75" customHeight="1">
      <c r="A416" s="95" t="n"/>
      <c r="B416" s="21" t="n"/>
      <c r="C416" s="21" t="n"/>
    </row>
    <row r="417" ht="12.75" customHeight="1">
      <c r="A417" s="95" t="n"/>
      <c r="B417" s="21" t="n"/>
      <c r="C417" s="21" t="n"/>
    </row>
    <row r="418" ht="12.75" customHeight="1">
      <c r="A418" s="95" t="n"/>
      <c r="B418" s="21" t="n"/>
      <c r="C418" s="21" t="n"/>
    </row>
    <row r="419" ht="12.75" customHeight="1">
      <c r="A419" s="95" t="n"/>
      <c r="B419" s="21" t="n"/>
      <c r="C419" s="21" t="n"/>
    </row>
    <row r="420" ht="12.75" customHeight="1">
      <c r="A420" s="95" t="n"/>
      <c r="B420" s="21" t="n"/>
      <c r="C420" s="21" t="n"/>
    </row>
    <row r="421" ht="12.75" customHeight="1">
      <c r="A421" s="95" t="n"/>
      <c r="B421" s="21" t="n"/>
      <c r="C421" s="21" t="n"/>
    </row>
    <row r="422" ht="12.75" customHeight="1">
      <c r="A422" s="95" t="n"/>
      <c r="B422" s="21" t="n"/>
      <c r="C422" s="21" t="n"/>
    </row>
    <row r="423" ht="12.75" customHeight="1">
      <c r="A423" s="95" t="n"/>
      <c r="B423" s="21" t="n"/>
      <c r="C423" s="21" t="n"/>
    </row>
    <row r="424" ht="12.75" customHeight="1">
      <c r="A424" s="95" t="n"/>
      <c r="B424" s="21" t="n"/>
      <c r="C424" s="21" t="n"/>
    </row>
    <row r="425" ht="12.75" customHeight="1">
      <c r="A425" s="95" t="n"/>
      <c r="B425" s="21" t="n"/>
      <c r="C425" s="21" t="n"/>
    </row>
    <row r="426" ht="12.75" customHeight="1">
      <c r="A426" s="95" t="n"/>
      <c r="B426" s="21" t="n"/>
      <c r="C426" s="21" t="n"/>
    </row>
    <row r="427" ht="12.75" customHeight="1">
      <c r="A427" s="95" t="n"/>
      <c r="B427" s="21" t="n"/>
      <c r="C427" s="21" t="n"/>
    </row>
    <row r="428" ht="12.75" customHeight="1">
      <c r="A428" s="95" t="n"/>
      <c r="B428" s="21" t="n"/>
      <c r="C428" s="21" t="n"/>
    </row>
    <row r="429" ht="12.75" customHeight="1">
      <c r="A429" s="95" t="n"/>
      <c r="B429" s="21" t="n"/>
      <c r="C429" s="21" t="n"/>
    </row>
    <row r="430" ht="12.75" customHeight="1">
      <c r="A430" s="95" t="n"/>
      <c r="B430" s="21" t="n"/>
      <c r="C430" s="21" t="n"/>
    </row>
    <row r="431" ht="12.75" customHeight="1">
      <c r="A431" s="95" t="n"/>
      <c r="B431" s="21" t="n"/>
      <c r="C431" s="21" t="n"/>
    </row>
    <row r="432" ht="12.75" customHeight="1">
      <c r="A432" s="95" t="n"/>
      <c r="B432" s="21" t="n"/>
      <c r="C432" s="21" t="n"/>
    </row>
    <row r="433" ht="12.75" customHeight="1">
      <c r="A433" s="95" t="n"/>
      <c r="B433" s="21" t="n"/>
      <c r="C433" s="21" t="n"/>
    </row>
    <row r="434" ht="12.75" customHeight="1">
      <c r="A434" s="95" t="n"/>
      <c r="B434" s="21" t="n"/>
      <c r="C434" s="21" t="n"/>
    </row>
    <row r="435" ht="12.75" customHeight="1">
      <c r="A435" s="95" t="n"/>
      <c r="B435" s="21" t="n"/>
      <c r="C435" s="21" t="n"/>
    </row>
    <row r="436" ht="12.75" customHeight="1">
      <c r="A436" s="95" t="n"/>
      <c r="B436" s="21" t="n"/>
      <c r="C436" s="21" t="n"/>
    </row>
    <row r="437" ht="12.75" customHeight="1">
      <c r="A437" s="95" t="n"/>
      <c r="B437" s="21" t="n"/>
      <c r="C437" s="21" t="n"/>
    </row>
    <row r="438" ht="12.75" customHeight="1">
      <c r="A438" s="95" t="n"/>
      <c r="B438" s="21" t="n"/>
      <c r="C438" s="21" t="n"/>
    </row>
    <row r="439" ht="12.75" customHeight="1">
      <c r="A439" s="95" t="n"/>
      <c r="B439" s="21" t="n"/>
      <c r="C439" s="21" t="n"/>
    </row>
    <row r="440" ht="12.75" customHeight="1">
      <c r="A440" s="95" t="n"/>
      <c r="B440" s="21" t="n"/>
      <c r="C440" s="21" t="n"/>
    </row>
    <row r="441" ht="12.75" customHeight="1">
      <c r="A441" s="95" t="n"/>
      <c r="B441" s="21" t="n"/>
      <c r="C441" s="21" t="n"/>
    </row>
    <row r="442" ht="12.75" customHeight="1">
      <c r="A442" s="95" t="n"/>
      <c r="B442" s="21" t="n"/>
      <c r="C442" s="21" t="n"/>
    </row>
    <row r="443" ht="12.75" customHeight="1">
      <c r="A443" s="95" t="n"/>
      <c r="B443" s="21" t="n"/>
      <c r="C443" s="21" t="n"/>
    </row>
    <row r="444" ht="12.75" customHeight="1">
      <c r="A444" s="95" t="n"/>
      <c r="B444" s="21" t="n"/>
      <c r="C444" s="21" t="n"/>
    </row>
    <row r="445" ht="12.75" customHeight="1">
      <c r="A445" s="95" t="n"/>
      <c r="B445" s="21" t="n"/>
      <c r="C445" s="21" t="n"/>
    </row>
    <row r="446" ht="12.75" customHeight="1">
      <c r="A446" s="95" t="n"/>
      <c r="B446" s="21" t="n"/>
      <c r="C446" s="21" t="n"/>
    </row>
    <row r="447" ht="12.75" customHeight="1">
      <c r="A447" s="95" t="n"/>
      <c r="B447" s="21" t="n"/>
      <c r="C447" s="21" t="n"/>
    </row>
    <row r="448" ht="12.75" customHeight="1">
      <c r="A448" s="95" t="n"/>
      <c r="B448" s="21" t="n"/>
      <c r="C448" s="21" t="n"/>
    </row>
    <row r="449" ht="12.75" customHeight="1">
      <c r="A449" s="95" t="n"/>
      <c r="B449" s="21" t="n"/>
      <c r="C449" s="21" t="n"/>
    </row>
    <row r="450" ht="12.75" customHeight="1">
      <c r="A450" s="95" t="n"/>
      <c r="B450" s="21" t="n"/>
      <c r="C450" s="21" t="n"/>
    </row>
    <row r="451" ht="12.75" customHeight="1">
      <c r="A451" s="95" t="n"/>
      <c r="B451" s="21" t="n"/>
      <c r="C451" s="21" t="n"/>
    </row>
    <row r="452" ht="12.75" customHeight="1">
      <c r="A452" s="95" t="n"/>
      <c r="B452" s="21" t="n"/>
      <c r="C452" s="21" t="n"/>
    </row>
    <row r="453" ht="12.75" customHeight="1">
      <c r="A453" s="95" t="n"/>
      <c r="B453" s="21" t="n"/>
      <c r="C453" s="21" t="n"/>
    </row>
    <row r="454" ht="12.75" customHeight="1">
      <c r="A454" s="95" t="n"/>
      <c r="B454" s="21" t="n"/>
      <c r="C454" s="21" t="n"/>
    </row>
    <row r="455" ht="12.75" customHeight="1">
      <c r="A455" s="95" t="n"/>
      <c r="B455" s="21" t="n"/>
      <c r="C455" s="21" t="n"/>
    </row>
    <row r="456" ht="12.75" customHeight="1">
      <c r="A456" s="95" t="n"/>
      <c r="B456" s="21" t="n"/>
      <c r="C456" s="21" t="n"/>
    </row>
    <row r="457" ht="12.75" customHeight="1">
      <c r="A457" s="95" t="n"/>
      <c r="B457" s="21" t="n"/>
      <c r="C457" s="21" t="n"/>
    </row>
    <row r="458" ht="12.75" customHeight="1">
      <c r="A458" s="95" t="n"/>
      <c r="B458" s="21" t="n"/>
      <c r="C458" s="21" t="n"/>
    </row>
    <row r="459" ht="12.75" customHeight="1">
      <c r="A459" s="95" t="n"/>
      <c r="B459" s="21" t="n"/>
      <c r="C459" s="21" t="n"/>
    </row>
    <row r="460" ht="12.75" customHeight="1">
      <c r="A460" s="95" t="n"/>
      <c r="B460" s="21" t="n"/>
      <c r="C460" s="21" t="n"/>
    </row>
    <row r="461" ht="12.75" customHeight="1">
      <c r="A461" s="95" t="n"/>
      <c r="B461" s="21" t="n"/>
      <c r="C461" s="21" t="n"/>
    </row>
    <row r="462" ht="12.75" customHeight="1">
      <c r="A462" s="95" t="n"/>
      <c r="B462" s="21" t="n"/>
      <c r="C462" s="21" t="n"/>
    </row>
    <row r="463" ht="12.75" customHeight="1">
      <c r="A463" s="95" t="n"/>
      <c r="B463" s="21" t="n"/>
      <c r="C463" s="21" t="n"/>
    </row>
    <row r="464" ht="12.75" customHeight="1">
      <c r="A464" s="95" t="n"/>
      <c r="B464" s="21" t="n"/>
      <c r="C464" s="21" t="n"/>
    </row>
    <row r="465" ht="12.75" customHeight="1">
      <c r="A465" s="95" t="n"/>
      <c r="B465" s="21" t="n"/>
      <c r="C465" s="21" t="n"/>
    </row>
    <row r="466" ht="12.75" customHeight="1">
      <c r="A466" s="95" t="n"/>
      <c r="B466" s="21" t="n"/>
      <c r="C466" s="21" t="n"/>
    </row>
    <row r="467" ht="12.75" customHeight="1">
      <c r="A467" s="95" t="n"/>
      <c r="B467" s="21" t="n"/>
      <c r="C467" s="21" t="n"/>
    </row>
    <row r="468" ht="12.75" customHeight="1">
      <c r="A468" s="95" t="n"/>
      <c r="B468" s="21" t="n"/>
      <c r="C468" s="21" t="n"/>
    </row>
    <row r="469" ht="12.75" customHeight="1">
      <c r="A469" s="95" t="n"/>
      <c r="B469" s="21" t="n"/>
      <c r="C469" s="21" t="n"/>
    </row>
    <row r="470" ht="12.75" customHeight="1">
      <c r="A470" s="95" t="n"/>
      <c r="B470" s="21" t="n"/>
      <c r="C470" s="21" t="n"/>
    </row>
    <row r="471" ht="12.75" customHeight="1">
      <c r="A471" s="95" t="n"/>
      <c r="B471" s="21" t="n"/>
      <c r="C471" s="21" t="n"/>
    </row>
    <row r="472" ht="12.75" customHeight="1">
      <c r="A472" s="95" t="n"/>
      <c r="B472" s="21" t="n"/>
      <c r="C472" s="21" t="n"/>
    </row>
    <row r="473" ht="12.75" customHeight="1">
      <c r="A473" s="95" t="n"/>
      <c r="B473" s="21" t="n"/>
      <c r="C473" s="21" t="n"/>
    </row>
    <row r="474" ht="12.75" customHeight="1">
      <c r="A474" s="95" t="n"/>
      <c r="B474" s="21" t="n"/>
      <c r="C474" s="21" t="n"/>
    </row>
    <row r="475" ht="12.75" customHeight="1">
      <c r="A475" s="95" t="n"/>
      <c r="B475" s="21" t="n"/>
      <c r="C475" s="21" t="n"/>
    </row>
    <row r="476" ht="12.75" customHeight="1">
      <c r="A476" s="95" t="n"/>
      <c r="B476" s="21" t="n"/>
      <c r="C476" s="21" t="n"/>
    </row>
    <row r="477" ht="12.75" customHeight="1">
      <c r="A477" s="95" t="n"/>
      <c r="B477" s="21" t="n"/>
      <c r="C477" s="21" t="n"/>
    </row>
    <row r="478" ht="12.75" customHeight="1">
      <c r="A478" s="95" t="n"/>
      <c r="B478" s="21" t="n"/>
      <c r="C478" s="21" t="n"/>
    </row>
    <row r="479" ht="12.75" customHeight="1">
      <c r="A479" s="95" t="n"/>
      <c r="B479" s="21" t="n"/>
      <c r="C479" s="21" t="n"/>
    </row>
    <row r="480" ht="12.75" customHeight="1">
      <c r="A480" s="95" t="n"/>
      <c r="B480" s="21" t="n"/>
      <c r="C480" s="21" t="n"/>
    </row>
    <row r="481" ht="12.75" customHeight="1">
      <c r="A481" s="95" t="n"/>
      <c r="B481" s="21" t="n"/>
      <c r="C481" s="21" t="n"/>
    </row>
    <row r="482" ht="12.75" customHeight="1">
      <c r="A482" s="95" t="n"/>
      <c r="B482" s="21" t="n"/>
      <c r="C482" s="21" t="n"/>
    </row>
    <row r="483" ht="12.75" customHeight="1">
      <c r="A483" s="95" t="n"/>
      <c r="B483" s="21" t="n"/>
      <c r="C483" s="21" t="n"/>
    </row>
    <row r="484" ht="12.75" customHeight="1">
      <c r="A484" s="95" t="n"/>
      <c r="B484" s="21" t="n"/>
      <c r="C484" s="21" t="n"/>
    </row>
    <row r="485" ht="12.75" customHeight="1">
      <c r="A485" s="95" t="n"/>
      <c r="B485" s="21" t="n"/>
      <c r="C485" s="21" t="n"/>
    </row>
    <row r="486" ht="12.75" customHeight="1">
      <c r="A486" s="95" t="n"/>
      <c r="B486" s="21" t="n"/>
      <c r="C486" s="21" t="n"/>
    </row>
    <row r="487" ht="12.75" customHeight="1">
      <c r="A487" s="95" t="n"/>
      <c r="B487" s="21" t="n"/>
      <c r="C487" s="21" t="n"/>
    </row>
    <row r="488" ht="12.75" customHeight="1">
      <c r="A488" s="95" t="n"/>
      <c r="B488" s="21" t="n"/>
      <c r="C488" s="21" t="n"/>
    </row>
    <row r="489" ht="12.75" customHeight="1">
      <c r="A489" s="95" t="n"/>
      <c r="B489" s="21" t="n"/>
      <c r="C489" s="21" t="n"/>
    </row>
    <row r="490" ht="12.75" customHeight="1">
      <c r="A490" s="95" t="n"/>
      <c r="B490" s="21" t="n"/>
      <c r="C490" s="21" t="n"/>
    </row>
    <row r="491" ht="12.75" customHeight="1">
      <c r="A491" s="95" t="n"/>
      <c r="B491" s="21" t="n"/>
      <c r="C491" s="21" t="n"/>
    </row>
    <row r="492" ht="12.75" customHeight="1">
      <c r="A492" s="95" t="n"/>
      <c r="B492" s="21" t="n"/>
      <c r="C492" s="21" t="n"/>
    </row>
    <row r="493" ht="12.75" customHeight="1">
      <c r="A493" s="95" t="n"/>
      <c r="B493" s="21" t="n"/>
      <c r="C493" s="21" t="n"/>
    </row>
    <row r="494" ht="12.75" customHeight="1">
      <c r="A494" s="95" t="n"/>
      <c r="B494" s="21" t="n"/>
      <c r="C494" s="21" t="n"/>
    </row>
    <row r="495" ht="12.75" customHeight="1">
      <c r="A495" s="95" t="n"/>
      <c r="B495" s="21" t="n"/>
      <c r="C495" s="21" t="n"/>
    </row>
    <row r="496" ht="12.75" customHeight="1">
      <c r="A496" s="95" t="n"/>
      <c r="B496" s="21" t="n"/>
      <c r="C496" s="21" t="n"/>
    </row>
    <row r="497" ht="12.75" customHeight="1">
      <c r="A497" s="95" t="n"/>
      <c r="B497" s="21" t="n"/>
      <c r="C497" s="21" t="n"/>
    </row>
    <row r="498" ht="12.75" customHeight="1">
      <c r="A498" s="95" t="n"/>
      <c r="B498" s="21" t="n"/>
      <c r="C498" s="21" t="n"/>
    </row>
    <row r="499" ht="12.75" customHeight="1">
      <c r="A499" s="95" t="n"/>
      <c r="B499" s="21" t="n"/>
      <c r="C499" s="21" t="n"/>
    </row>
    <row r="500" ht="12.75" customHeight="1">
      <c r="A500" s="95" t="n"/>
      <c r="B500" s="21" t="n"/>
      <c r="C500" s="21" t="n"/>
    </row>
    <row r="501" ht="12.75" customHeight="1">
      <c r="A501" s="95" t="n"/>
      <c r="B501" s="21" t="n"/>
      <c r="C501" s="21" t="n"/>
    </row>
    <row r="502" ht="12.75" customHeight="1">
      <c r="A502" s="95" t="n"/>
      <c r="B502" s="21" t="n"/>
      <c r="C502" s="21" t="n"/>
    </row>
    <row r="503" ht="12.75" customHeight="1">
      <c r="A503" s="95" t="n"/>
      <c r="B503" s="21" t="n"/>
      <c r="C503" s="21" t="n"/>
    </row>
    <row r="504" ht="12.75" customHeight="1">
      <c r="A504" s="95" t="n"/>
      <c r="B504" s="21" t="n"/>
      <c r="C504" s="21" t="n"/>
    </row>
    <row r="505" ht="12.75" customHeight="1">
      <c r="A505" s="95" t="n"/>
      <c r="B505" s="21" t="n"/>
      <c r="C505" s="21" t="n"/>
    </row>
    <row r="506" ht="12.75" customHeight="1">
      <c r="A506" s="95" t="n"/>
      <c r="B506" s="21" t="n"/>
      <c r="C506" s="21" t="n"/>
    </row>
    <row r="507" ht="12.75" customHeight="1">
      <c r="A507" s="95" t="n"/>
      <c r="B507" s="21" t="n"/>
      <c r="C507" s="21" t="n"/>
    </row>
    <row r="508" ht="12.75" customHeight="1">
      <c r="A508" s="95" t="n"/>
      <c r="B508" s="21" t="n"/>
      <c r="C508" s="21" t="n"/>
    </row>
    <row r="509" ht="12.75" customHeight="1">
      <c r="A509" s="95" t="n"/>
      <c r="B509" s="21" t="n"/>
      <c r="C509" s="21" t="n"/>
    </row>
    <row r="510" ht="12.75" customHeight="1">
      <c r="A510" s="95" t="n"/>
      <c r="B510" s="21" t="n"/>
      <c r="C510" s="21" t="n"/>
    </row>
    <row r="511" ht="12.75" customHeight="1">
      <c r="A511" s="95" t="n"/>
      <c r="B511" s="21" t="n"/>
      <c r="C511" s="21" t="n"/>
    </row>
    <row r="512" ht="12.75" customHeight="1">
      <c r="A512" s="95" t="n"/>
      <c r="B512" s="21" t="n"/>
      <c r="C512" s="21" t="n"/>
    </row>
    <row r="513" ht="12.75" customHeight="1">
      <c r="A513" s="95" t="n"/>
      <c r="B513" s="21" t="n"/>
      <c r="C513" s="21" t="n"/>
    </row>
    <row r="514" ht="12.75" customHeight="1">
      <c r="A514" s="95" t="n"/>
      <c r="B514" s="21" t="n"/>
      <c r="C514" s="21" t="n"/>
    </row>
    <row r="515" ht="12.75" customHeight="1">
      <c r="A515" s="95" t="n"/>
      <c r="B515" s="21" t="n"/>
      <c r="C515" s="21" t="n"/>
    </row>
    <row r="516" ht="12.75" customHeight="1">
      <c r="A516" s="95" t="n"/>
      <c r="B516" s="21" t="n"/>
      <c r="C516" s="21" t="n"/>
    </row>
    <row r="517" ht="12.75" customHeight="1">
      <c r="A517" s="95" t="n"/>
      <c r="B517" s="21" t="n"/>
      <c r="C517" s="21" t="n"/>
    </row>
    <row r="518" ht="12.75" customHeight="1">
      <c r="A518" s="95" t="n"/>
      <c r="B518" s="21" t="n"/>
      <c r="C518" s="21" t="n"/>
    </row>
    <row r="519" ht="12.75" customHeight="1">
      <c r="A519" s="95" t="n"/>
      <c r="B519" s="21" t="n"/>
      <c r="C519" s="21" t="n"/>
    </row>
    <row r="520" ht="12.75" customHeight="1">
      <c r="A520" s="95" t="n"/>
      <c r="B520" s="21" t="n"/>
      <c r="C520" s="21" t="n"/>
    </row>
    <row r="521" ht="12.75" customHeight="1">
      <c r="A521" s="95" t="n"/>
      <c r="B521" s="21" t="n"/>
      <c r="C521" s="21" t="n"/>
    </row>
    <row r="522" ht="12.75" customHeight="1">
      <c r="A522" s="95" t="n"/>
      <c r="B522" s="21" t="n"/>
      <c r="C522" s="21" t="n"/>
    </row>
    <row r="523" ht="12.75" customHeight="1">
      <c r="A523" s="95" t="n"/>
      <c r="B523" s="21" t="n"/>
      <c r="C523" s="21" t="n"/>
    </row>
    <row r="524" ht="12.75" customHeight="1">
      <c r="A524" s="95" t="n"/>
      <c r="B524" s="21" t="n"/>
      <c r="C524" s="21" t="n"/>
    </row>
    <row r="525" ht="12.75" customHeight="1">
      <c r="A525" s="95" t="n"/>
      <c r="B525" s="21" t="n"/>
      <c r="C525" s="21" t="n"/>
    </row>
    <row r="526" ht="12.75" customHeight="1">
      <c r="A526" s="95" t="n"/>
      <c r="B526" s="21" t="n"/>
      <c r="C526" s="21" t="n"/>
    </row>
    <row r="527" ht="12.75" customHeight="1">
      <c r="A527" s="95" t="n"/>
      <c r="B527" s="21" t="n"/>
      <c r="C527" s="21" t="n"/>
    </row>
    <row r="528" ht="12.75" customHeight="1">
      <c r="A528" s="95" t="n"/>
      <c r="B528" s="21" t="n"/>
      <c r="C528" s="21" t="n"/>
    </row>
    <row r="529" ht="12.75" customHeight="1">
      <c r="A529" s="95" t="n"/>
      <c r="B529" s="21" t="n"/>
      <c r="C529" s="21" t="n"/>
    </row>
    <row r="530" ht="12.75" customHeight="1">
      <c r="A530" s="95" t="n"/>
      <c r="B530" s="21" t="n"/>
      <c r="C530" s="21" t="n"/>
    </row>
    <row r="531" ht="12.75" customHeight="1">
      <c r="A531" s="95" t="n"/>
      <c r="B531" s="21" t="n"/>
      <c r="C531" s="21" t="n"/>
    </row>
    <row r="532" ht="12.75" customHeight="1">
      <c r="A532" s="95" t="n"/>
      <c r="B532" s="21" t="n"/>
      <c r="C532" s="21" t="n"/>
    </row>
    <row r="533" ht="12.75" customHeight="1">
      <c r="A533" s="95" t="n"/>
      <c r="B533" s="21" t="n"/>
      <c r="C533" s="21" t="n"/>
    </row>
    <row r="534" ht="12.75" customHeight="1">
      <c r="A534" s="95" t="n"/>
      <c r="B534" s="21" t="n"/>
      <c r="C534" s="21" t="n"/>
    </row>
    <row r="535" ht="12.75" customHeight="1">
      <c r="A535" s="95" t="n"/>
      <c r="B535" s="21" t="n"/>
      <c r="C535" s="21" t="n"/>
    </row>
    <row r="536" ht="12.75" customHeight="1">
      <c r="A536" s="95" t="n"/>
      <c r="B536" s="21" t="n"/>
      <c r="C536" s="21" t="n"/>
    </row>
    <row r="537" ht="12.75" customHeight="1">
      <c r="A537" s="95" t="n"/>
      <c r="B537" s="21" t="n"/>
      <c r="C537" s="21" t="n"/>
    </row>
    <row r="538" ht="12.75" customHeight="1">
      <c r="A538" s="95" t="n"/>
      <c r="B538" s="21" t="n"/>
      <c r="C538" s="21" t="n"/>
    </row>
    <row r="539" ht="12.75" customHeight="1">
      <c r="A539" s="95" t="n"/>
      <c r="B539" s="21" t="n"/>
      <c r="C539" s="21" t="n"/>
    </row>
    <row r="540" ht="12.75" customHeight="1">
      <c r="A540" s="95" t="n"/>
      <c r="B540" s="21" t="n"/>
      <c r="C540" s="21" t="n"/>
    </row>
    <row r="541" ht="12.75" customHeight="1">
      <c r="A541" s="95" t="n"/>
      <c r="B541" s="21" t="n"/>
      <c r="C541" s="21" t="n"/>
    </row>
    <row r="542" ht="12.75" customHeight="1">
      <c r="A542" s="95" t="n"/>
      <c r="B542" s="21" t="n"/>
      <c r="C542" s="21" t="n"/>
    </row>
    <row r="543" ht="12.75" customHeight="1">
      <c r="A543" s="95" t="n"/>
      <c r="B543" s="21" t="n"/>
      <c r="C543" s="21" t="n"/>
    </row>
    <row r="544" ht="12.75" customHeight="1">
      <c r="A544" s="95" t="n"/>
      <c r="B544" s="21" t="n"/>
      <c r="C544" s="21" t="n"/>
    </row>
    <row r="545" ht="12.75" customHeight="1">
      <c r="A545" s="95" t="n"/>
      <c r="B545" s="21" t="n"/>
      <c r="C545" s="21" t="n"/>
    </row>
    <row r="546" ht="12.75" customHeight="1">
      <c r="A546" s="95" t="n"/>
      <c r="B546" s="21" t="n"/>
      <c r="C546" s="21" t="n"/>
    </row>
    <row r="547" ht="12.75" customHeight="1">
      <c r="A547" s="95" t="n"/>
      <c r="B547" s="21" t="n"/>
      <c r="C547" s="21" t="n"/>
    </row>
    <row r="548" ht="12.75" customHeight="1">
      <c r="A548" s="95" t="n"/>
      <c r="B548" s="21" t="n"/>
      <c r="C548" s="21" t="n"/>
    </row>
    <row r="549" ht="12.75" customHeight="1">
      <c r="A549" s="95" t="n"/>
      <c r="B549" s="21" t="n"/>
      <c r="C549" s="21" t="n"/>
    </row>
    <row r="550" ht="12.75" customHeight="1">
      <c r="A550" s="95" t="n"/>
      <c r="B550" s="21" t="n"/>
      <c r="C550" s="21" t="n"/>
    </row>
    <row r="551" ht="12.75" customHeight="1">
      <c r="A551" s="95" t="n"/>
      <c r="B551" s="21" t="n"/>
      <c r="C551" s="21" t="n"/>
    </row>
    <row r="552" ht="12.75" customHeight="1">
      <c r="A552" s="95" t="n"/>
      <c r="B552" s="21" t="n"/>
      <c r="C552" s="21" t="n"/>
    </row>
    <row r="553" ht="12.75" customHeight="1">
      <c r="A553" s="95" t="n"/>
      <c r="B553" s="21" t="n"/>
      <c r="C553" s="21" t="n"/>
    </row>
    <row r="554" ht="12.75" customHeight="1">
      <c r="A554" s="95" t="n"/>
      <c r="B554" s="21" t="n"/>
      <c r="C554" s="21" t="n"/>
    </row>
    <row r="555" ht="12.75" customHeight="1">
      <c r="A555" s="95" t="n"/>
      <c r="B555" s="21" t="n"/>
      <c r="C555" s="21" t="n"/>
    </row>
    <row r="556" ht="12.75" customHeight="1">
      <c r="A556" s="95" t="n"/>
      <c r="B556" s="21" t="n"/>
      <c r="C556" s="21" t="n"/>
    </row>
    <row r="557" ht="12.75" customHeight="1">
      <c r="A557" s="95" t="n"/>
      <c r="B557" s="21" t="n"/>
      <c r="C557" s="21" t="n"/>
    </row>
    <row r="558" ht="12.75" customHeight="1">
      <c r="A558" s="95" t="n"/>
      <c r="B558" s="21" t="n"/>
      <c r="C558" s="21" t="n"/>
    </row>
    <row r="559" ht="12.75" customHeight="1">
      <c r="A559" s="95" t="n"/>
      <c r="B559" s="21" t="n"/>
      <c r="C559" s="21" t="n"/>
    </row>
    <row r="560" ht="12.75" customHeight="1">
      <c r="A560" s="95" t="n"/>
      <c r="B560" s="21" t="n"/>
      <c r="C560" s="21" t="n"/>
    </row>
    <row r="561" ht="12.75" customHeight="1">
      <c r="A561" s="95" t="n"/>
      <c r="B561" s="21" t="n"/>
      <c r="C561" s="21" t="n"/>
    </row>
    <row r="562" ht="12.75" customHeight="1">
      <c r="A562" s="95" t="n"/>
      <c r="B562" s="21" t="n"/>
      <c r="C562" s="21" t="n"/>
    </row>
    <row r="563" ht="12.75" customHeight="1">
      <c r="A563" s="95" t="n"/>
      <c r="B563" s="21" t="n"/>
      <c r="C563" s="21" t="n"/>
    </row>
    <row r="564" ht="12.75" customHeight="1">
      <c r="A564" s="95" t="n"/>
      <c r="B564" s="21" t="n"/>
      <c r="C564" s="21" t="n"/>
    </row>
    <row r="565" ht="12.75" customHeight="1">
      <c r="A565" s="95" t="n"/>
      <c r="B565" s="21" t="n"/>
      <c r="C565" s="21" t="n"/>
    </row>
    <row r="566" ht="12.75" customHeight="1">
      <c r="A566" s="95" t="n"/>
      <c r="B566" s="21" t="n"/>
      <c r="C566" s="21" t="n"/>
    </row>
    <row r="567" ht="12.75" customHeight="1">
      <c r="A567" s="95" t="n"/>
      <c r="B567" s="21" t="n"/>
      <c r="C567" s="21" t="n"/>
    </row>
    <row r="568" ht="12.75" customHeight="1">
      <c r="A568" s="95" t="n"/>
      <c r="B568" s="21" t="n"/>
      <c r="C568" s="21" t="n"/>
    </row>
    <row r="569" ht="12.75" customHeight="1">
      <c r="A569" s="95" t="n"/>
      <c r="B569" s="21" t="n"/>
      <c r="C569" s="21" t="n"/>
    </row>
    <row r="570" ht="12.75" customHeight="1">
      <c r="A570" s="95" t="n"/>
      <c r="B570" s="21" t="n"/>
      <c r="C570" s="21" t="n"/>
    </row>
    <row r="571" ht="12.75" customHeight="1">
      <c r="A571" s="95" t="n"/>
      <c r="B571" s="21" t="n"/>
      <c r="C571" s="21" t="n"/>
    </row>
    <row r="572" ht="12.75" customHeight="1">
      <c r="A572" s="95" t="n"/>
      <c r="B572" s="21" t="n"/>
      <c r="C572" s="21" t="n"/>
    </row>
    <row r="573" ht="12.75" customHeight="1">
      <c r="A573" s="95" t="n"/>
      <c r="B573" s="21" t="n"/>
      <c r="C573" s="21" t="n"/>
    </row>
    <row r="574" ht="12.75" customHeight="1">
      <c r="A574" s="95" t="n"/>
      <c r="B574" s="21" t="n"/>
      <c r="C574" s="21" t="n"/>
    </row>
    <row r="575" ht="12.75" customHeight="1">
      <c r="A575" s="95" t="n"/>
      <c r="B575" s="21" t="n"/>
      <c r="C575" s="21" t="n"/>
    </row>
    <row r="576" ht="12.75" customHeight="1">
      <c r="A576" s="95" t="n"/>
      <c r="B576" s="21" t="n"/>
      <c r="C576" s="21" t="n"/>
    </row>
    <row r="577" ht="12.75" customHeight="1">
      <c r="A577" s="95" t="n"/>
      <c r="B577" s="21" t="n"/>
      <c r="C577" s="21" t="n"/>
    </row>
    <row r="578" ht="12.75" customHeight="1">
      <c r="A578" s="95" t="n"/>
      <c r="B578" s="21" t="n"/>
      <c r="C578" s="21" t="n"/>
    </row>
    <row r="579" ht="12.75" customHeight="1">
      <c r="A579" s="95" t="n"/>
      <c r="B579" s="21" t="n"/>
      <c r="C579" s="21" t="n"/>
    </row>
    <row r="580" ht="12.75" customHeight="1">
      <c r="A580" s="95" t="n"/>
      <c r="B580" s="21" t="n"/>
      <c r="C580" s="21" t="n"/>
    </row>
    <row r="581" ht="12.75" customHeight="1">
      <c r="A581" s="95" t="n"/>
      <c r="B581" s="21" t="n"/>
      <c r="C581" s="21" t="n"/>
    </row>
    <row r="582" ht="12.75" customHeight="1">
      <c r="A582" s="95" t="n"/>
      <c r="B582" s="21" t="n"/>
      <c r="C582" s="21" t="n"/>
    </row>
    <row r="583" ht="12.75" customHeight="1">
      <c r="A583" s="95" t="n"/>
      <c r="B583" s="21" t="n"/>
      <c r="C583" s="21" t="n"/>
    </row>
    <row r="584" ht="12.75" customHeight="1">
      <c r="A584" s="95" t="n"/>
      <c r="B584" s="21" t="n"/>
      <c r="C584" s="21" t="n"/>
    </row>
    <row r="585" ht="12.75" customHeight="1">
      <c r="A585" s="95" t="n"/>
      <c r="B585" s="21" t="n"/>
      <c r="C585" s="21" t="n"/>
    </row>
    <row r="586" ht="12.75" customHeight="1">
      <c r="A586" s="95" t="n"/>
      <c r="B586" s="21" t="n"/>
      <c r="C586" s="21" t="n"/>
    </row>
    <row r="587" ht="12.75" customHeight="1">
      <c r="A587" s="95" t="n"/>
      <c r="B587" s="21" t="n"/>
      <c r="C587" s="21" t="n"/>
    </row>
    <row r="588" ht="12.75" customHeight="1">
      <c r="A588" s="95" t="n"/>
      <c r="B588" s="21" t="n"/>
      <c r="C588" s="21" t="n"/>
    </row>
    <row r="589" ht="12.75" customHeight="1">
      <c r="A589" s="95" t="n"/>
      <c r="B589" s="21" t="n"/>
      <c r="C589" s="21" t="n"/>
    </row>
    <row r="590" ht="12.75" customHeight="1">
      <c r="A590" s="95" t="n"/>
      <c r="B590" s="21" t="n"/>
      <c r="C590" s="21" t="n"/>
    </row>
    <row r="591" ht="12.75" customHeight="1">
      <c r="A591" s="95" t="n"/>
      <c r="B591" s="21" t="n"/>
      <c r="C591" s="21" t="n"/>
    </row>
    <row r="592" ht="12.75" customHeight="1">
      <c r="A592" s="95" t="n"/>
      <c r="B592" s="21" t="n"/>
      <c r="C592" s="21" t="n"/>
    </row>
    <row r="593" ht="12.75" customHeight="1">
      <c r="A593" s="95" t="n"/>
      <c r="B593" s="21" t="n"/>
      <c r="C593" s="21" t="n"/>
    </row>
    <row r="594" ht="12.75" customHeight="1">
      <c r="A594" s="95" t="n"/>
      <c r="B594" s="21" t="n"/>
      <c r="C594" s="21" t="n"/>
    </row>
    <row r="595" ht="12.75" customHeight="1">
      <c r="A595" s="95" t="n"/>
      <c r="B595" s="21" t="n"/>
      <c r="C595" s="21" t="n"/>
    </row>
    <row r="596" ht="12.75" customHeight="1">
      <c r="A596" s="95" t="n"/>
      <c r="B596" s="21" t="n"/>
      <c r="C596" s="21" t="n"/>
    </row>
    <row r="597" ht="12.75" customHeight="1">
      <c r="A597" s="95" t="n"/>
      <c r="B597" s="21" t="n"/>
      <c r="C597" s="21" t="n"/>
    </row>
    <row r="598" ht="12.75" customHeight="1">
      <c r="A598" s="95" t="n"/>
      <c r="B598" s="21" t="n"/>
      <c r="C598" s="21" t="n"/>
    </row>
    <row r="599" ht="12.75" customHeight="1">
      <c r="A599" s="95" t="n"/>
      <c r="B599" s="21" t="n"/>
      <c r="C599" s="21" t="n"/>
    </row>
    <row r="600" ht="12.75" customHeight="1">
      <c r="A600" s="95" t="n"/>
      <c r="B600" s="21" t="n"/>
      <c r="C600" s="21" t="n"/>
    </row>
    <row r="601" ht="12.75" customHeight="1">
      <c r="A601" s="95" t="n"/>
      <c r="B601" s="21" t="n"/>
      <c r="C601" s="21" t="n"/>
    </row>
    <row r="602" ht="12.75" customHeight="1">
      <c r="A602" s="95" t="n"/>
      <c r="B602" s="21" t="n"/>
      <c r="C602" s="21" t="n"/>
    </row>
    <row r="603" ht="12.75" customHeight="1">
      <c r="A603" s="95" t="n"/>
      <c r="B603" s="21" t="n"/>
      <c r="C603" s="21" t="n"/>
    </row>
    <row r="604" ht="12.75" customHeight="1">
      <c r="A604" s="95" t="n"/>
      <c r="B604" s="21" t="n"/>
      <c r="C604" s="21" t="n"/>
    </row>
    <row r="605" ht="12.75" customHeight="1">
      <c r="A605" s="95" t="n"/>
      <c r="B605" s="21" t="n"/>
      <c r="C605" s="21" t="n"/>
    </row>
    <row r="606" ht="12.75" customHeight="1">
      <c r="A606" s="95" t="n"/>
      <c r="B606" s="21" t="n"/>
      <c r="C606" s="21" t="n"/>
    </row>
    <row r="607" ht="12.75" customHeight="1">
      <c r="A607" s="95" t="n"/>
      <c r="B607" s="21" t="n"/>
      <c r="C607" s="21" t="n"/>
    </row>
    <row r="608" ht="12.75" customHeight="1">
      <c r="A608" s="95" t="n"/>
      <c r="B608" s="21" t="n"/>
      <c r="C608" s="21" t="n"/>
    </row>
    <row r="609" ht="12.75" customHeight="1">
      <c r="A609" s="95" t="n"/>
      <c r="B609" s="21" t="n"/>
      <c r="C609" s="21" t="n"/>
    </row>
    <row r="610" ht="12.75" customHeight="1">
      <c r="A610" s="95" t="n"/>
      <c r="B610" s="21" t="n"/>
      <c r="C610" s="21" t="n"/>
    </row>
    <row r="611" ht="12.75" customHeight="1">
      <c r="A611" s="95" t="n"/>
      <c r="B611" s="21" t="n"/>
      <c r="C611" s="21" t="n"/>
    </row>
    <row r="612" ht="12.75" customHeight="1">
      <c r="A612" s="95" t="n"/>
      <c r="B612" s="21" t="n"/>
      <c r="C612" s="21" t="n"/>
    </row>
    <row r="613" ht="12.75" customHeight="1">
      <c r="A613" s="95" t="n"/>
      <c r="B613" s="21" t="n"/>
      <c r="C613" s="21" t="n"/>
    </row>
    <row r="614" ht="12.75" customHeight="1">
      <c r="A614" s="95" t="n"/>
      <c r="B614" s="21" t="n"/>
      <c r="C614" s="21" t="n"/>
    </row>
    <row r="615" ht="12.75" customHeight="1">
      <c r="A615" s="95" t="n"/>
      <c r="B615" s="21" t="n"/>
      <c r="C615" s="21" t="n"/>
    </row>
    <row r="616" ht="12.75" customHeight="1">
      <c r="A616" s="95" t="n"/>
      <c r="B616" s="21" t="n"/>
      <c r="C616" s="21" t="n"/>
    </row>
    <row r="617" ht="12.75" customHeight="1">
      <c r="A617" s="95" t="n"/>
      <c r="B617" s="21" t="n"/>
      <c r="C617" s="21" t="n"/>
    </row>
    <row r="618" ht="12.75" customHeight="1">
      <c r="A618" s="95" t="n"/>
      <c r="B618" s="21" t="n"/>
      <c r="C618" s="21" t="n"/>
    </row>
    <row r="619" ht="12.75" customHeight="1">
      <c r="A619" s="95" t="n"/>
      <c r="B619" s="21" t="n"/>
      <c r="C619" s="21" t="n"/>
    </row>
    <row r="620" ht="12.75" customHeight="1">
      <c r="A620" s="95" t="n"/>
      <c r="B620" s="21" t="n"/>
      <c r="C620" s="21" t="n"/>
    </row>
    <row r="621" ht="12.75" customHeight="1">
      <c r="A621" s="95" t="n"/>
      <c r="B621" s="21" t="n"/>
      <c r="C621" s="21" t="n"/>
    </row>
    <row r="622" ht="12.75" customHeight="1">
      <c r="A622" s="95" t="n"/>
      <c r="B622" s="21" t="n"/>
      <c r="C622" s="21" t="n"/>
    </row>
    <row r="623" ht="12.75" customHeight="1">
      <c r="A623" s="95" t="n"/>
      <c r="B623" s="21" t="n"/>
      <c r="C623" s="21" t="n"/>
    </row>
    <row r="624" ht="12.75" customHeight="1">
      <c r="A624" s="95" t="n"/>
      <c r="B624" s="21" t="n"/>
      <c r="C624" s="21" t="n"/>
    </row>
    <row r="625" ht="12.75" customHeight="1">
      <c r="A625" s="95" t="n"/>
      <c r="B625" s="21" t="n"/>
      <c r="C625" s="21" t="n"/>
    </row>
    <row r="626" ht="12.75" customHeight="1">
      <c r="A626" s="95" t="n"/>
      <c r="B626" s="21" t="n"/>
      <c r="C626" s="21" t="n"/>
    </row>
    <row r="627" ht="12.75" customHeight="1">
      <c r="A627" s="95" t="n"/>
      <c r="B627" s="21" t="n"/>
      <c r="C627" s="21" t="n"/>
    </row>
    <row r="628" ht="12.75" customHeight="1">
      <c r="A628" s="95" t="n"/>
      <c r="B628" s="21" t="n"/>
      <c r="C628" s="21" t="n"/>
    </row>
    <row r="629" ht="12.75" customHeight="1">
      <c r="A629" s="95" t="n"/>
      <c r="B629" s="21" t="n"/>
      <c r="C629" s="21" t="n"/>
    </row>
    <row r="630" ht="12.75" customHeight="1">
      <c r="A630" s="95" t="n"/>
      <c r="B630" s="21" t="n"/>
      <c r="C630" s="21" t="n"/>
    </row>
    <row r="631" ht="12.75" customHeight="1">
      <c r="A631" s="95" t="n"/>
      <c r="B631" s="21" t="n"/>
      <c r="C631" s="21" t="n"/>
    </row>
    <row r="632" ht="12.75" customHeight="1">
      <c r="A632" s="95" t="n"/>
      <c r="B632" s="21" t="n"/>
      <c r="C632" s="21" t="n"/>
    </row>
    <row r="633" ht="12.75" customHeight="1">
      <c r="A633" s="95" t="n"/>
      <c r="B633" s="21" t="n"/>
      <c r="C633" s="21" t="n"/>
    </row>
    <row r="634" ht="12.75" customHeight="1">
      <c r="A634" s="95" t="n"/>
      <c r="B634" s="21" t="n"/>
      <c r="C634" s="21" t="n"/>
    </row>
    <row r="635" ht="12.75" customHeight="1">
      <c r="A635" s="95" t="n"/>
      <c r="B635" s="21" t="n"/>
      <c r="C635" s="21" t="n"/>
    </row>
    <row r="636" ht="12.75" customHeight="1">
      <c r="A636" s="95" t="n"/>
      <c r="B636" s="21" t="n"/>
      <c r="C636" s="21" t="n"/>
    </row>
    <row r="637" ht="12.75" customHeight="1">
      <c r="A637" s="95" t="n"/>
      <c r="B637" s="21" t="n"/>
      <c r="C637" s="21" t="n"/>
    </row>
    <row r="638" ht="12.75" customHeight="1">
      <c r="A638" s="95" t="n"/>
      <c r="B638" s="21" t="n"/>
      <c r="C638" s="21" t="n"/>
    </row>
    <row r="639" ht="12.75" customHeight="1">
      <c r="A639" s="95" t="n"/>
      <c r="B639" s="21" t="n"/>
      <c r="C639" s="21" t="n"/>
    </row>
    <row r="640" ht="12.75" customHeight="1">
      <c r="A640" s="95" t="n"/>
      <c r="B640" s="21" t="n"/>
      <c r="C640" s="21" t="n"/>
    </row>
    <row r="641" ht="12.75" customHeight="1">
      <c r="A641" s="95" t="n"/>
      <c r="B641" s="21" t="n"/>
      <c r="C641" s="21" t="n"/>
    </row>
    <row r="642" ht="12.75" customHeight="1">
      <c r="A642" s="95" t="n"/>
      <c r="B642" s="21" t="n"/>
      <c r="C642" s="21" t="n"/>
    </row>
    <row r="643" ht="12.75" customHeight="1">
      <c r="A643" s="95" t="n"/>
      <c r="B643" s="21" t="n"/>
      <c r="C643" s="21" t="n"/>
    </row>
    <row r="644" ht="12.75" customHeight="1">
      <c r="A644" s="95" t="n"/>
      <c r="B644" s="21" t="n"/>
      <c r="C644" s="21" t="n"/>
    </row>
    <row r="645" ht="12.75" customHeight="1">
      <c r="A645" s="95" t="n"/>
      <c r="B645" s="21" t="n"/>
      <c r="C645" s="21" t="n"/>
    </row>
    <row r="646" ht="12.75" customHeight="1">
      <c r="A646" s="95" t="n"/>
      <c r="B646" s="21" t="n"/>
      <c r="C646" s="21" t="n"/>
    </row>
    <row r="647" ht="12.75" customHeight="1">
      <c r="A647" s="95" t="n"/>
      <c r="B647" s="21" t="n"/>
      <c r="C647" s="21" t="n"/>
    </row>
    <row r="648" ht="12.75" customHeight="1">
      <c r="A648" s="95" t="n"/>
      <c r="B648" s="21" t="n"/>
      <c r="C648" s="21" t="n"/>
    </row>
    <row r="649" ht="12.75" customHeight="1">
      <c r="A649" s="95" t="n"/>
      <c r="B649" s="21" t="n"/>
      <c r="C649" s="21" t="n"/>
    </row>
    <row r="650" ht="12.75" customHeight="1">
      <c r="A650" s="95" t="n"/>
      <c r="B650" s="21" t="n"/>
      <c r="C650" s="21" t="n"/>
    </row>
    <row r="651" ht="12.75" customHeight="1">
      <c r="A651" s="95" t="n"/>
      <c r="B651" s="21" t="n"/>
      <c r="C651" s="21" t="n"/>
    </row>
    <row r="652" ht="12.75" customHeight="1">
      <c r="A652" s="95" t="n"/>
      <c r="B652" s="21" t="n"/>
      <c r="C652" s="21" t="n"/>
    </row>
    <row r="653" ht="12.75" customHeight="1">
      <c r="A653" s="95" t="n"/>
      <c r="B653" s="21" t="n"/>
      <c r="C653" s="21" t="n"/>
    </row>
    <row r="654" ht="12.75" customHeight="1">
      <c r="A654" s="95" t="n"/>
      <c r="B654" s="21" t="n"/>
      <c r="C654" s="21" t="n"/>
    </row>
    <row r="655" ht="12.75" customHeight="1">
      <c r="A655" s="95" t="n"/>
      <c r="B655" s="21" t="n"/>
      <c r="C655" s="21" t="n"/>
    </row>
    <row r="656" ht="12.75" customHeight="1">
      <c r="A656" s="95" t="n"/>
      <c r="B656" s="21" t="n"/>
      <c r="C656" s="21" t="n"/>
    </row>
    <row r="657" ht="12.75" customHeight="1">
      <c r="A657" s="95" t="n"/>
      <c r="B657" s="21" t="n"/>
      <c r="C657" s="21" t="n"/>
    </row>
    <row r="658" ht="12.75" customHeight="1">
      <c r="A658" s="95" t="n"/>
      <c r="B658" s="21" t="n"/>
      <c r="C658" s="21" t="n"/>
    </row>
    <row r="659" ht="12.75" customHeight="1">
      <c r="A659" s="95" t="n"/>
      <c r="B659" s="21" t="n"/>
      <c r="C659" s="21" t="n"/>
    </row>
    <row r="660" ht="12.75" customHeight="1">
      <c r="A660" s="95" t="n"/>
      <c r="B660" s="21" t="n"/>
      <c r="C660" s="21" t="n"/>
    </row>
    <row r="661" ht="12.75" customHeight="1">
      <c r="A661" s="95" t="n"/>
      <c r="B661" s="21" t="n"/>
      <c r="C661" s="21" t="n"/>
    </row>
    <row r="662" ht="12.75" customHeight="1">
      <c r="A662" s="95" t="n"/>
      <c r="B662" s="21" t="n"/>
      <c r="C662" s="21" t="n"/>
    </row>
    <row r="663" ht="12.75" customHeight="1">
      <c r="A663" s="95" t="n"/>
      <c r="B663" s="21" t="n"/>
      <c r="C663" s="21" t="n"/>
    </row>
    <row r="664" ht="12.75" customHeight="1">
      <c r="A664" s="95" t="n"/>
      <c r="B664" s="21" t="n"/>
      <c r="C664" s="21" t="n"/>
    </row>
    <row r="665" ht="12.75" customHeight="1">
      <c r="A665" s="95" t="n"/>
      <c r="B665" s="21" t="n"/>
      <c r="C665" s="21" t="n"/>
    </row>
    <row r="666" ht="12.75" customHeight="1">
      <c r="A666" s="95" t="n"/>
      <c r="B666" s="21" t="n"/>
      <c r="C666" s="21" t="n"/>
    </row>
    <row r="667" ht="12.75" customHeight="1">
      <c r="A667" s="95" t="n"/>
      <c r="B667" s="21" t="n"/>
      <c r="C667" s="21" t="n"/>
    </row>
    <row r="668" ht="12.75" customHeight="1">
      <c r="A668" s="95" t="n"/>
      <c r="B668" s="21" t="n"/>
      <c r="C668" s="21" t="n"/>
    </row>
    <row r="669" ht="12.75" customHeight="1">
      <c r="A669" s="95" t="n"/>
      <c r="B669" s="21" t="n"/>
      <c r="C669" s="21" t="n"/>
    </row>
    <row r="670" ht="12.75" customHeight="1">
      <c r="A670" s="95" t="n"/>
      <c r="B670" s="21" t="n"/>
      <c r="C670" s="21" t="n"/>
    </row>
    <row r="671" ht="12.75" customHeight="1">
      <c r="A671" s="95" t="n"/>
      <c r="B671" s="21" t="n"/>
      <c r="C671" s="21" t="n"/>
    </row>
    <row r="672" ht="12.75" customHeight="1">
      <c r="A672" s="95" t="n"/>
      <c r="B672" s="21" t="n"/>
      <c r="C672" s="21" t="n"/>
    </row>
    <row r="673" ht="12.75" customHeight="1">
      <c r="A673" s="95" t="n"/>
      <c r="B673" s="21" t="n"/>
      <c r="C673" s="21" t="n"/>
    </row>
    <row r="674" ht="12.75" customHeight="1">
      <c r="A674" s="95" t="n"/>
      <c r="B674" s="21" t="n"/>
      <c r="C674" s="21" t="n"/>
    </row>
    <row r="675" ht="12.75" customHeight="1">
      <c r="A675" s="95" t="n"/>
      <c r="B675" s="21" t="n"/>
      <c r="C675" s="21" t="n"/>
    </row>
    <row r="676" ht="12.75" customHeight="1">
      <c r="A676" s="95" t="n"/>
      <c r="B676" s="21" t="n"/>
      <c r="C676" s="21" t="n"/>
    </row>
    <row r="677" ht="12.75" customHeight="1">
      <c r="A677" s="95" t="n"/>
      <c r="B677" s="21" t="n"/>
      <c r="C677" s="21" t="n"/>
    </row>
    <row r="678" ht="12.75" customHeight="1">
      <c r="A678" s="95" t="n"/>
      <c r="B678" s="21" t="n"/>
      <c r="C678" s="21" t="n"/>
    </row>
    <row r="679" ht="12.75" customHeight="1">
      <c r="A679" s="95" t="n"/>
      <c r="B679" s="21" t="n"/>
      <c r="C679" s="21" t="n"/>
    </row>
    <row r="680" ht="12.75" customHeight="1">
      <c r="A680" s="95" t="n"/>
      <c r="B680" s="21" t="n"/>
      <c r="C680" s="21" t="n"/>
    </row>
    <row r="681" ht="12.75" customHeight="1">
      <c r="A681" s="95" t="n"/>
      <c r="B681" s="21" t="n"/>
      <c r="C681" s="21" t="n"/>
    </row>
    <row r="682" ht="12.75" customHeight="1">
      <c r="A682" s="95" t="n"/>
      <c r="B682" s="21" t="n"/>
      <c r="C682" s="21" t="n"/>
    </row>
    <row r="683" ht="12.75" customHeight="1">
      <c r="A683" s="95" t="n"/>
      <c r="B683" s="21" t="n"/>
      <c r="C683" s="21" t="n"/>
    </row>
    <row r="684" ht="12.75" customHeight="1">
      <c r="A684" s="95" t="n"/>
      <c r="B684" s="21" t="n"/>
      <c r="C684" s="21" t="n"/>
    </row>
    <row r="685" ht="12.75" customHeight="1">
      <c r="A685" s="95" t="n"/>
      <c r="B685" s="21" t="n"/>
      <c r="C685" s="21" t="n"/>
    </row>
    <row r="686" ht="12.75" customHeight="1">
      <c r="A686" s="95" t="n"/>
      <c r="B686" s="21" t="n"/>
      <c r="C686" s="21" t="n"/>
    </row>
    <row r="687" ht="12.75" customHeight="1">
      <c r="A687" s="95" t="n"/>
      <c r="B687" s="21" t="n"/>
      <c r="C687" s="21" t="n"/>
    </row>
    <row r="688" ht="12.75" customHeight="1">
      <c r="A688" s="95" t="n"/>
      <c r="B688" s="21" t="n"/>
      <c r="C688" s="21" t="n"/>
    </row>
    <row r="689" ht="12.75" customHeight="1">
      <c r="A689" s="95" t="n"/>
      <c r="B689" s="21" t="n"/>
      <c r="C689" s="21" t="n"/>
    </row>
    <row r="690" ht="12.75" customHeight="1">
      <c r="A690" s="95" t="n"/>
      <c r="B690" s="21" t="n"/>
      <c r="C690" s="21" t="n"/>
    </row>
    <row r="691" ht="12.75" customHeight="1">
      <c r="A691" s="95" t="n"/>
      <c r="B691" s="21" t="n"/>
      <c r="C691" s="21" t="n"/>
    </row>
    <row r="692" ht="12.75" customHeight="1">
      <c r="A692" s="95" t="n"/>
      <c r="B692" s="21" t="n"/>
      <c r="C692" s="21" t="n"/>
    </row>
    <row r="693" ht="12.75" customHeight="1">
      <c r="A693" s="95" t="n"/>
      <c r="B693" s="21" t="n"/>
      <c r="C693" s="21" t="n"/>
    </row>
    <row r="694" ht="12.75" customHeight="1">
      <c r="A694" s="95" t="n"/>
      <c r="B694" s="21" t="n"/>
      <c r="C694" s="21" t="n"/>
    </row>
    <row r="695" ht="12.75" customHeight="1">
      <c r="A695" s="95" t="n"/>
      <c r="B695" s="21" t="n"/>
      <c r="C695" s="21" t="n"/>
    </row>
    <row r="696" ht="12.75" customHeight="1">
      <c r="A696" s="95" t="n"/>
      <c r="B696" s="21" t="n"/>
      <c r="C696" s="21" t="n"/>
    </row>
    <row r="697" ht="12.75" customHeight="1">
      <c r="A697" s="95" t="n"/>
      <c r="B697" s="21" t="n"/>
      <c r="C697" s="21" t="n"/>
    </row>
    <row r="698" ht="12.75" customHeight="1">
      <c r="A698" s="95" t="n"/>
      <c r="B698" s="21" t="n"/>
      <c r="C698" s="21" t="n"/>
    </row>
    <row r="699" ht="12.75" customHeight="1">
      <c r="A699" s="95" t="n"/>
      <c r="B699" s="21" t="n"/>
      <c r="C699" s="21" t="n"/>
    </row>
    <row r="700" ht="12.75" customHeight="1">
      <c r="A700" s="95" t="n"/>
      <c r="B700" s="21" t="n"/>
      <c r="C700" s="21" t="n"/>
    </row>
    <row r="701" ht="12.75" customHeight="1">
      <c r="A701" s="95" t="n"/>
      <c r="B701" s="21" t="n"/>
      <c r="C701" s="21" t="n"/>
    </row>
    <row r="702" ht="12.75" customHeight="1">
      <c r="A702" s="95" t="n"/>
      <c r="B702" s="21" t="n"/>
      <c r="C702" s="21" t="n"/>
    </row>
    <row r="703" ht="12.75" customHeight="1">
      <c r="A703" s="95" t="n"/>
      <c r="B703" s="21" t="n"/>
      <c r="C703" s="21" t="n"/>
    </row>
    <row r="704" ht="12.75" customHeight="1">
      <c r="A704" s="95" t="n"/>
      <c r="B704" s="21" t="n"/>
      <c r="C704" s="21" t="n"/>
    </row>
    <row r="705" ht="12.75" customHeight="1">
      <c r="A705" s="95" t="n"/>
      <c r="B705" s="21" t="n"/>
      <c r="C705" s="21" t="n"/>
    </row>
    <row r="706" ht="12.75" customHeight="1">
      <c r="A706" s="95" t="n"/>
      <c r="B706" s="21" t="n"/>
      <c r="C706" s="21" t="n"/>
    </row>
    <row r="707" ht="12.75" customHeight="1">
      <c r="A707" s="95" t="n"/>
      <c r="B707" s="21" t="n"/>
      <c r="C707" s="21" t="n"/>
    </row>
    <row r="708" ht="12.75" customHeight="1">
      <c r="A708" s="95" t="n"/>
      <c r="B708" s="21" t="n"/>
      <c r="C708" s="21" t="n"/>
    </row>
    <row r="709" ht="12.75" customHeight="1">
      <c r="A709" s="95" t="n"/>
      <c r="B709" s="21" t="n"/>
      <c r="C709" s="21" t="n"/>
    </row>
    <row r="710" ht="12.75" customHeight="1">
      <c r="A710" s="95" t="n"/>
      <c r="B710" s="21" t="n"/>
      <c r="C710" s="21" t="n"/>
    </row>
    <row r="711" ht="12.75" customHeight="1">
      <c r="A711" s="95" t="n"/>
      <c r="B711" s="21" t="n"/>
      <c r="C711" s="21" t="n"/>
    </row>
    <row r="712" ht="12.75" customHeight="1">
      <c r="A712" s="95" t="n"/>
      <c r="B712" s="21" t="n"/>
      <c r="C712" s="21" t="n"/>
    </row>
    <row r="713" ht="12.75" customHeight="1">
      <c r="A713" s="95" t="n"/>
      <c r="B713" s="21" t="n"/>
      <c r="C713" s="21" t="n"/>
    </row>
    <row r="714" ht="12.75" customHeight="1">
      <c r="A714" s="95" t="n"/>
      <c r="B714" s="21" t="n"/>
      <c r="C714" s="21" t="n"/>
    </row>
    <row r="715" ht="12.75" customHeight="1">
      <c r="A715" s="95" t="n"/>
      <c r="B715" s="21" t="n"/>
      <c r="C715" s="21" t="n"/>
    </row>
    <row r="716" ht="12.75" customHeight="1">
      <c r="A716" s="95" t="n"/>
      <c r="B716" s="21" t="n"/>
      <c r="C716" s="21" t="n"/>
    </row>
    <row r="717" ht="12.75" customHeight="1">
      <c r="A717" s="95" t="n"/>
      <c r="B717" s="21" t="n"/>
      <c r="C717" s="21" t="n"/>
    </row>
    <row r="718" ht="12.75" customHeight="1">
      <c r="A718" s="95" t="n"/>
      <c r="B718" s="21" t="n"/>
      <c r="C718" s="21" t="n"/>
    </row>
    <row r="719" ht="12.75" customHeight="1">
      <c r="A719" s="95" t="n"/>
      <c r="B719" s="21" t="n"/>
      <c r="C719" s="21" t="n"/>
    </row>
    <row r="720" ht="12.75" customHeight="1">
      <c r="A720" s="95" t="n"/>
      <c r="B720" s="21" t="n"/>
      <c r="C720" s="21" t="n"/>
    </row>
    <row r="721" ht="12.75" customHeight="1">
      <c r="A721" s="95" t="n"/>
      <c r="B721" s="21" t="n"/>
      <c r="C721" s="21" t="n"/>
    </row>
    <row r="722" ht="12.75" customHeight="1">
      <c r="A722" s="95" t="n"/>
      <c r="B722" s="21" t="n"/>
      <c r="C722" s="21" t="n"/>
    </row>
    <row r="723" ht="12.75" customHeight="1">
      <c r="A723" s="95" t="n"/>
      <c r="B723" s="21" t="n"/>
      <c r="C723" s="21" t="n"/>
    </row>
    <row r="724" ht="12.75" customHeight="1">
      <c r="A724" s="95" t="n"/>
      <c r="B724" s="21" t="n"/>
      <c r="C724" s="21" t="n"/>
    </row>
    <row r="725" ht="12.75" customHeight="1">
      <c r="A725" s="95" t="n"/>
      <c r="B725" s="21" t="n"/>
      <c r="C725" s="21" t="n"/>
    </row>
    <row r="726" ht="12.75" customHeight="1">
      <c r="A726" s="95" t="n"/>
      <c r="B726" s="21" t="n"/>
      <c r="C726" s="21" t="n"/>
    </row>
    <row r="727" ht="12.75" customHeight="1">
      <c r="A727" s="95" t="n"/>
      <c r="B727" s="21" t="n"/>
      <c r="C727" s="21" t="n"/>
    </row>
    <row r="728" ht="12.75" customHeight="1">
      <c r="A728" s="95" t="n"/>
      <c r="B728" s="21" t="n"/>
      <c r="C728" s="21" t="n"/>
    </row>
    <row r="729" ht="12.75" customHeight="1">
      <c r="A729" s="95" t="n"/>
      <c r="B729" s="21" t="n"/>
      <c r="C729" s="21" t="n"/>
    </row>
    <row r="730" ht="12.75" customHeight="1">
      <c r="A730" s="95" t="n"/>
      <c r="B730" s="21" t="n"/>
      <c r="C730" s="21" t="n"/>
    </row>
    <row r="731" ht="12.75" customHeight="1">
      <c r="A731" s="95" t="n"/>
      <c r="B731" s="21" t="n"/>
      <c r="C731" s="21" t="n"/>
    </row>
    <row r="732" ht="12.75" customHeight="1">
      <c r="A732" s="95" t="n"/>
      <c r="B732" s="21" t="n"/>
      <c r="C732" s="21" t="n"/>
    </row>
    <row r="733" ht="12.75" customHeight="1">
      <c r="A733" s="95" t="n"/>
      <c r="B733" s="21" t="n"/>
      <c r="C733" s="21" t="n"/>
    </row>
    <row r="734" ht="12.75" customHeight="1">
      <c r="A734" s="95" t="n"/>
      <c r="B734" s="21" t="n"/>
      <c r="C734" s="21" t="n"/>
    </row>
    <row r="735" ht="12.75" customHeight="1">
      <c r="A735" s="95" t="n"/>
      <c r="B735" s="21" t="n"/>
      <c r="C735" s="21" t="n"/>
    </row>
    <row r="736" ht="12.75" customHeight="1">
      <c r="A736" s="95" t="n"/>
      <c r="B736" s="21" t="n"/>
      <c r="C736" s="21" t="n"/>
    </row>
    <row r="737" ht="12.75" customHeight="1">
      <c r="A737" s="95" t="n"/>
      <c r="B737" s="21" t="n"/>
      <c r="C737" s="21" t="n"/>
    </row>
    <row r="738" ht="12.75" customHeight="1">
      <c r="A738" s="95" t="n"/>
      <c r="B738" s="21" t="n"/>
      <c r="C738" s="21" t="n"/>
    </row>
    <row r="739" ht="12.75" customHeight="1">
      <c r="A739" s="95" t="n"/>
      <c r="B739" s="21" t="n"/>
      <c r="C739" s="21" t="n"/>
    </row>
    <row r="740" ht="12.75" customHeight="1">
      <c r="A740" s="95" t="n"/>
      <c r="B740" s="21" t="n"/>
      <c r="C740" s="21" t="n"/>
    </row>
    <row r="741" ht="12.75" customHeight="1">
      <c r="A741" s="95" t="n"/>
      <c r="B741" s="21" t="n"/>
      <c r="C741" s="21" t="n"/>
    </row>
    <row r="742" ht="12.75" customHeight="1">
      <c r="A742" s="95" t="n"/>
      <c r="B742" s="21" t="n"/>
      <c r="C742" s="21" t="n"/>
    </row>
    <row r="743" ht="12.75" customHeight="1">
      <c r="A743" s="95" t="n"/>
      <c r="B743" s="21" t="n"/>
      <c r="C743" s="21" t="n"/>
    </row>
    <row r="744" ht="12.75" customHeight="1">
      <c r="A744" s="95" t="n"/>
      <c r="B744" s="21" t="n"/>
      <c r="C744" s="21" t="n"/>
    </row>
    <row r="745" ht="12.75" customHeight="1">
      <c r="A745" s="95" t="n"/>
      <c r="B745" s="21" t="n"/>
      <c r="C745" s="21" t="n"/>
    </row>
    <row r="746" ht="12.75" customHeight="1">
      <c r="A746" s="95" t="n"/>
      <c r="B746" s="21" t="n"/>
      <c r="C746" s="21" t="n"/>
    </row>
    <row r="747" ht="12.75" customHeight="1">
      <c r="A747" s="95" t="n"/>
      <c r="B747" s="21" t="n"/>
      <c r="C747" s="21" t="n"/>
    </row>
    <row r="748" ht="12.75" customHeight="1">
      <c r="A748" s="95" t="n"/>
      <c r="B748" s="21" t="n"/>
      <c r="C748" s="21" t="n"/>
    </row>
    <row r="749" ht="12.75" customHeight="1">
      <c r="A749" s="95" t="n"/>
      <c r="B749" s="21" t="n"/>
      <c r="C749" s="21" t="n"/>
    </row>
    <row r="750" ht="12.75" customHeight="1">
      <c r="A750" s="95" t="n"/>
      <c r="B750" s="21" t="n"/>
      <c r="C750" s="21" t="n"/>
    </row>
    <row r="751" ht="12.75" customHeight="1">
      <c r="A751" s="95" t="n"/>
      <c r="B751" s="21" t="n"/>
      <c r="C751" s="21" t="n"/>
    </row>
    <row r="752" ht="12.75" customHeight="1">
      <c r="A752" s="95" t="n"/>
      <c r="B752" s="21" t="n"/>
      <c r="C752" s="21" t="n"/>
    </row>
    <row r="753" ht="12.75" customHeight="1">
      <c r="A753" s="95" t="n"/>
      <c r="B753" s="21" t="n"/>
      <c r="C753" s="21" t="n"/>
    </row>
    <row r="754" ht="12.75" customHeight="1">
      <c r="A754" s="95" t="n"/>
      <c r="B754" s="21" t="n"/>
      <c r="C754" s="21" t="n"/>
    </row>
    <row r="755" ht="12.75" customHeight="1">
      <c r="A755" s="95" t="n"/>
      <c r="B755" s="21" t="n"/>
      <c r="C755" s="21" t="n"/>
    </row>
    <row r="756" ht="12.75" customHeight="1">
      <c r="A756" s="95" t="n"/>
      <c r="B756" s="21" t="n"/>
      <c r="C756" s="21" t="n"/>
    </row>
    <row r="757" ht="12.75" customHeight="1">
      <c r="A757" s="95" t="n"/>
      <c r="B757" s="21" t="n"/>
      <c r="C757" s="21" t="n"/>
    </row>
    <row r="758" ht="12.75" customHeight="1">
      <c r="A758" s="95" t="n"/>
      <c r="B758" s="21" t="n"/>
      <c r="C758" s="21" t="n"/>
    </row>
    <row r="759" ht="12.75" customHeight="1">
      <c r="A759" s="95" t="n"/>
      <c r="B759" s="21" t="n"/>
      <c r="C759" s="21" t="n"/>
    </row>
    <row r="760" ht="12.75" customHeight="1">
      <c r="A760" s="95" t="n"/>
      <c r="B760" s="21" t="n"/>
      <c r="C760" s="21" t="n"/>
    </row>
    <row r="761" ht="12.75" customHeight="1">
      <c r="A761" s="95" t="n"/>
      <c r="B761" s="21" t="n"/>
      <c r="C761" s="21" t="n"/>
    </row>
    <row r="762" ht="12.75" customHeight="1">
      <c r="A762" s="95" t="n"/>
      <c r="B762" s="21" t="n"/>
      <c r="C762" s="21" t="n"/>
    </row>
    <row r="763" ht="12.75" customHeight="1">
      <c r="A763" s="95" t="n"/>
      <c r="B763" s="21" t="n"/>
      <c r="C763" s="21" t="n"/>
    </row>
    <row r="764" ht="12.75" customHeight="1">
      <c r="A764" s="95" t="n"/>
      <c r="B764" s="21" t="n"/>
      <c r="C764" s="21" t="n"/>
    </row>
    <row r="765" ht="12.75" customHeight="1">
      <c r="A765" s="95" t="n"/>
      <c r="B765" s="21" t="n"/>
      <c r="C765" s="21" t="n"/>
    </row>
    <row r="766" ht="12.75" customHeight="1">
      <c r="A766" s="95" t="n"/>
      <c r="B766" s="21" t="n"/>
      <c r="C766" s="21" t="n"/>
    </row>
    <row r="767" ht="12.75" customHeight="1">
      <c r="A767" s="95" t="n"/>
      <c r="B767" s="21" t="n"/>
      <c r="C767" s="21" t="n"/>
    </row>
    <row r="768" ht="12.75" customHeight="1">
      <c r="A768" s="95" t="n"/>
      <c r="B768" s="21" t="n"/>
      <c r="C768" s="21" t="n"/>
    </row>
    <row r="769" ht="12.75" customHeight="1">
      <c r="A769" s="95" t="n"/>
      <c r="B769" s="21" t="n"/>
      <c r="C769" s="21" t="n"/>
    </row>
    <row r="770" ht="12.75" customHeight="1">
      <c r="A770" s="95" t="n"/>
      <c r="B770" s="21" t="n"/>
      <c r="C770" s="21" t="n"/>
    </row>
    <row r="771" ht="12.75" customHeight="1">
      <c r="A771" s="95" t="n"/>
      <c r="B771" s="21" t="n"/>
      <c r="C771" s="21" t="n"/>
    </row>
    <row r="772" ht="12.75" customHeight="1">
      <c r="A772" s="95" t="n"/>
      <c r="B772" s="21" t="n"/>
      <c r="C772" s="21" t="n"/>
    </row>
    <row r="773" ht="12.75" customHeight="1">
      <c r="A773" s="95" t="n"/>
      <c r="B773" s="21" t="n"/>
      <c r="C773" s="21" t="n"/>
    </row>
    <row r="774" ht="12.75" customHeight="1">
      <c r="A774" s="95" t="n"/>
      <c r="B774" s="21" t="n"/>
      <c r="C774" s="21" t="n"/>
    </row>
    <row r="775" ht="12.75" customHeight="1">
      <c r="A775" s="95" t="n"/>
      <c r="B775" s="21" t="n"/>
      <c r="C775" s="21" t="n"/>
    </row>
    <row r="776" ht="12.75" customHeight="1">
      <c r="A776" s="95" t="n"/>
      <c r="B776" s="21" t="n"/>
      <c r="C776" s="21" t="n"/>
    </row>
    <row r="777" ht="12.75" customHeight="1">
      <c r="A777" s="95" t="n"/>
      <c r="B777" s="21" t="n"/>
      <c r="C777" s="21" t="n"/>
    </row>
    <row r="778" ht="12.75" customHeight="1">
      <c r="A778" s="95" t="n"/>
      <c r="B778" s="21" t="n"/>
      <c r="C778" s="21" t="n"/>
    </row>
    <row r="779" ht="12.75" customHeight="1">
      <c r="A779" s="95" t="n"/>
      <c r="B779" s="21" t="n"/>
      <c r="C779" s="21" t="n"/>
    </row>
    <row r="780" ht="12.75" customHeight="1">
      <c r="A780" s="95" t="n"/>
      <c r="B780" s="21" t="n"/>
      <c r="C780" s="21" t="n"/>
    </row>
    <row r="781" ht="12.75" customHeight="1">
      <c r="A781" s="95" t="n"/>
      <c r="B781" s="21" t="n"/>
      <c r="C781" s="21" t="n"/>
    </row>
    <row r="782" ht="12.75" customHeight="1">
      <c r="A782" s="95" t="n"/>
      <c r="B782" s="21" t="n"/>
      <c r="C782" s="21" t="n"/>
    </row>
    <row r="783" ht="12.75" customHeight="1">
      <c r="A783" s="95" t="n"/>
      <c r="B783" s="21" t="n"/>
      <c r="C783" s="21" t="n"/>
    </row>
    <row r="784" ht="12.75" customHeight="1">
      <c r="A784" s="95" t="n"/>
      <c r="B784" s="21" t="n"/>
      <c r="C784" s="21" t="n"/>
    </row>
    <row r="785" ht="12.75" customHeight="1">
      <c r="A785" s="95" t="n"/>
      <c r="B785" s="21" t="n"/>
      <c r="C785" s="21" t="n"/>
    </row>
    <row r="786" ht="12.75" customHeight="1">
      <c r="A786" s="95" t="n"/>
      <c r="B786" s="21" t="n"/>
      <c r="C786" s="21" t="n"/>
    </row>
    <row r="787" ht="12.75" customHeight="1">
      <c r="A787" s="95" t="n"/>
      <c r="B787" s="21" t="n"/>
      <c r="C787" s="21" t="n"/>
    </row>
    <row r="788" ht="12.75" customHeight="1">
      <c r="A788" s="95" t="n"/>
      <c r="B788" s="21" t="n"/>
      <c r="C788" s="21" t="n"/>
    </row>
    <row r="789" ht="12.75" customHeight="1">
      <c r="A789" s="95" t="n"/>
      <c r="B789" s="21" t="n"/>
      <c r="C789" s="21" t="n"/>
    </row>
    <row r="790" ht="12.75" customHeight="1">
      <c r="A790" s="95" t="n"/>
      <c r="B790" s="21" t="n"/>
      <c r="C790" s="21" t="n"/>
    </row>
    <row r="791" ht="12.75" customHeight="1">
      <c r="A791" s="95" t="n"/>
      <c r="B791" s="21" t="n"/>
      <c r="C791" s="21" t="n"/>
    </row>
    <row r="792" ht="12.75" customHeight="1">
      <c r="A792" s="95" t="n"/>
      <c r="B792" s="21" t="n"/>
      <c r="C792" s="21" t="n"/>
    </row>
    <row r="793" ht="12.75" customHeight="1">
      <c r="A793" s="95" t="n"/>
      <c r="B793" s="21" t="n"/>
      <c r="C793" s="21" t="n"/>
    </row>
    <row r="794" ht="12.75" customHeight="1">
      <c r="A794" s="95" t="n"/>
      <c r="B794" s="21" t="n"/>
      <c r="C794" s="21" t="n"/>
    </row>
    <row r="795" ht="12.75" customHeight="1">
      <c r="A795" s="95" t="n"/>
      <c r="B795" s="21" t="n"/>
      <c r="C795" s="21" t="n"/>
    </row>
    <row r="796" ht="12.75" customHeight="1">
      <c r="A796" s="95" t="n"/>
      <c r="B796" s="21" t="n"/>
      <c r="C796" s="21" t="n"/>
    </row>
    <row r="797" ht="12.75" customHeight="1">
      <c r="A797" s="95" t="n"/>
      <c r="B797" s="21" t="n"/>
      <c r="C797" s="21" t="n"/>
    </row>
    <row r="798" ht="12.75" customHeight="1">
      <c r="A798" s="95" t="n"/>
      <c r="B798" s="21" t="n"/>
      <c r="C798" s="21" t="n"/>
    </row>
    <row r="799" ht="12.75" customHeight="1">
      <c r="A799" s="95" t="n"/>
      <c r="B799" s="21" t="n"/>
      <c r="C799" s="21" t="n"/>
    </row>
    <row r="800" ht="12.75" customHeight="1">
      <c r="A800" s="95" t="n"/>
      <c r="B800" s="21" t="n"/>
      <c r="C800" s="21" t="n"/>
    </row>
    <row r="801" ht="12.75" customHeight="1">
      <c r="A801" s="95" t="n"/>
      <c r="B801" s="21" t="n"/>
      <c r="C801" s="21" t="n"/>
    </row>
    <row r="802" ht="12.75" customHeight="1">
      <c r="A802" s="95" t="n"/>
      <c r="B802" s="21" t="n"/>
      <c r="C802" s="21" t="n"/>
    </row>
    <row r="803" ht="12.75" customHeight="1">
      <c r="A803" s="95" t="n"/>
      <c r="B803" s="21" t="n"/>
      <c r="C803" s="21" t="n"/>
    </row>
    <row r="804" ht="12.75" customHeight="1">
      <c r="A804" s="95" t="n"/>
      <c r="B804" s="21" t="n"/>
      <c r="C804" s="21" t="n"/>
    </row>
    <row r="805" ht="12.75" customHeight="1">
      <c r="A805" s="95" t="n"/>
      <c r="B805" s="21" t="n"/>
      <c r="C805" s="21" t="n"/>
    </row>
    <row r="806" ht="12.75" customHeight="1">
      <c r="A806" s="95" t="n"/>
      <c r="B806" s="21" t="n"/>
      <c r="C806" s="21" t="n"/>
    </row>
    <row r="807" ht="12.75" customHeight="1">
      <c r="A807" s="95" t="n"/>
      <c r="B807" s="21" t="n"/>
      <c r="C807" s="21" t="n"/>
    </row>
    <row r="808" ht="12.75" customHeight="1">
      <c r="A808" s="95" t="n"/>
      <c r="B808" s="21" t="n"/>
      <c r="C808" s="21" t="n"/>
    </row>
    <row r="809" ht="12.75" customHeight="1">
      <c r="A809" s="95" t="n"/>
      <c r="B809" s="21" t="n"/>
      <c r="C809" s="21" t="n"/>
    </row>
    <row r="810" ht="12.75" customHeight="1">
      <c r="A810" s="95" t="n"/>
      <c r="B810" s="21" t="n"/>
      <c r="C810" s="21" t="n"/>
    </row>
    <row r="811" ht="12.75" customHeight="1">
      <c r="A811" s="95" t="n"/>
      <c r="B811" s="21" t="n"/>
      <c r="C811" s="21" t="n"/>
    </row>
    <row r="812" ht="12.75" customHeight="1">
      <c r="A812" s="95" t="n"/>
      <c r="B812" s="21" t="n"/>
      <c r="C812" s="21" t="n"/>
    </row>
    <row r="813" ht="12.75" customHeight="1">
      <c r="A813" s="95" t="n"/>
      <c r="B813" s="21" t="n"/>
      <c r="C813" s="21" t="n"/>
    </row>
    <row r="814" ht="12.75" customHeight="1">
      <c r="A814" s="95" t="n"/>
      <c r="B814" s="21" t="n"/>
      <c r="C814" s="21" t="n"/>
    </row>
    <row r="815" ht="12.75" customHeight="1">
      <c r="A815" s="95" t="n"/>
      <c r="B815" s="21" t="n"/>
      <c r="C815" s="21" t="n"/>
    </row>
    <row r="816" ht="12.75" customHeight="1">
      <c r="A816" s="95" t="n"/>
      <c r="B816" s="21" t="n"/>
      <c r="C816" s="21" t="n"/>
    </row>
    <row r="817" ht="12.75" customHeight="1">
      <c r="A817" s="95" t="n"/>
      <c r="B817" s="21" t="n"/>
      <c r="C817" s="21" t="n"/>
    </row>
    <row r="818" ht="12.75" customHeight="1">
      <c r="A818" s="95" t="n"/>
      <c r="B818" s="21" t="n"/>
      <c r="C818" s="21" t="n"/>
    </row>
    <row r="819" ht="12.75" customHeight="1">
      <c r="A819" s="95" t="n"/>
      <c r="B819" s="21" t="n"/>
      <c r="C819" s="21" t="n"/>
    </row>
    <row r="820" ht="12.75" customHeight="1">
      <c r="A820" s="95" t="n"/>
      <c r="B820" s="21" t="n"/>
      <c r="C820" s="21" t="n"/>
    </row>
    <row r="821" ht="12.75" customHeight="1">
      <c r="A821" s="95" t="n"/>
      <c r="B821" s="21" t="n"/>
      <c r="C821" s="21" t="n"/>
    </row>
    <row r="822" ht="12.75" customHeight="1">
      <c r="A822" s="95" t="n"/>
      <c r="B822" s="21" t="n"/>
      <c r="C822" s="21" t="n"/>
    </row>
    <row r="823" ht="12.75" customHeight="1">
      <c r="A823" s="95" t="n"/>
      <c r="B823" s="21" t="n"/>
      <c r="C823" s="21" t="n"/>
    </row>
    <row r="824" ht="12.75" customHeight="1">
      <c r="A824" s="95" t="n"/>
      <c r="B824" s="21" t="n"/>
      <c r="C824" s="21" t="n"/>
    </row>
    <row r="825" ht="12.75" customHeight="1">
      <c r="A825" s="95" t="n"/>
      <c r="B825" s="21" t="n"/>
      <c r="C825" s="21" t="n"/>
    </row>
    <row r="826" ht="12.75" customHeight="1">
      <c r="A826" s="95" t="n"/>
      <c r="B826" s="21" t="n"/>
      <c r="C826" s="21" t="n"/>
    </row>
    <row r="827" ht="12.75" customHeight="1">
      <c r="A827" s="95" t="n"/>
      <c r="B827" s="21" t="n"/>
      <c r="C827" s="21" t="n"/>
    </row>
    <row r="828" ht="12.75" customHeight="1">
      <c r="A828" s="95" t="n"/>
      <c r="B828" s="21" t="n"/>
      <c r="C828" s="21" t="n"/>
    </row>
    <row r="829" ht="12.75" customHeight="1">
      <c r="A829" s="95" t="n"/>
      <c r="B829" s="21" t="n"/>
      <c r="C829" s="21" t="n"/>
    </row>
    <row r="830" ht="12.75" customHeight="1">
      <c r="A830" s="95" t="n"/>
      <c r="B830" s="21" t="n"/>
      <c r="C830" s="21" t="n"/>
    </row>
    <row r="831" ht="12.75" customHeight="1">
      <c r="A831" s="95" t="n"/>
      <c r="B831" s="21" t="n"/>
      <c r="C831" s="21" t="n"/>
    </row>
    <row r="832" ht="12.75" customHeight="1">
      <c r="A832" s="95" t="n"/>
      <c r="B832" s="21" t="n"/>
      <c r="C832" s="21" t="n"/>
    </row>
    <row r="833" ht="12.75" customHeight="1">
      <c r="A833" s="95" t="n"/>
      <c r="B833" s="21" t="n"/>
      <c r="C833" s="21" t="n"/>
    </row>
    <row r="834" ht="12.75" customHeight="1">
      <c r="A834" s="95" t="n"/>
      <c r="B834" s="21" t="n"/>
      <c r="C834" s="21" t="n"/>
    </row>
    <row r="835" ht="12.75" customHeight="1">
      <c r="A835" s="95" t="n"/>
      <c r="B835" s="21" t="n"/>
      <c r="C835" s="21" t="n"/>
    </row>
    <row r="836" ht="12.75" customHeight="1">
      <c r="A836" s="95" t="n"/>
      <c r="B836" s="21" t="n"/>
      <c r="C836" s="21" t="n"/>
    </row>
    <row r="837" ht="12.75" customHeight="1">
      <c r="A837" s="95" t="n"/>
      <c r="B837" s="21" t="n"/>
      <c r="C837" s="21" t="n"/>
    </row>
    <row r="838" ht="12.75" customHeight="1">
      <c r="A838" s="95" t="n"/>
      <c r="B838" s="21" t="n"/>
      <c r="C838" s="21" t="n"/>
    </row>
    <row r="839" ht="12.75" customHeight="1">
      <c r="A839" s="95" t="n"/>
      <c r="B839" s="21" t="n"/>
      <c r="C839" s="21" t="n"/>
    </row>
    <row r="840" ht="12.75" customHeight="1">
      <c r="A840" s="95" t="n"/>
      <c r="B840" s="21" t="n"/>
      <c r="C840" s="21" t="n"/>
    </row>
    <row r="841" ht="12.75" customHeight="1">
      <c r="A841" s="95" t="n"/>
      <c r="B841" s="21" t="n"/>
      <c r="C841" s="21" t="n"/>
    </row>
    <row r="842" ht="12.75" customHeight="1">
      <c r="A842" s="95" t="n"/>
      <c r="B842" s="21" t="n"/>
      <c r="C842" s="21" t="n"/>
    </row>
    <row r="843" ht="12.75" customHeight="1">
      <c r="A843" s="95" t="n"/>
      <c r="B843" s="21" t="n"/>
      <c r="C843" s="21" t="n"/>
    </row>
    <row r="844" ht="12.75" customHeight="1">
      <c r="A844" s="95" t="n"/>
      <c r="B844" s="21" t="n"/>
      <c r="C844" s="21" t="n"/>
    </row>
    <row r="845" ht="12.75" customHeight="1">
      <c r="A845" s="95" t="n"/>
      <c r="B845" s="21" t="n"/>
      <c r="C845" s="21" t="n"/>
    </row>
    <row r="846" ht="12.75" customHeight="1">
      <c r="A846" s="95" t="n"/>
      <c r="B846" s="21" t="n"/>
      <c r="C846" s="21" t="n"/>
    </row>
    <row r="847" ht="12.75" customHeight="1">
      <c r="A847" s="95" t="n"/>
      <c r="B847" s="21" t="n"/>
      <c r="C847" s="21" t="n"/>
    </row>
    <row r="848" ht="12.75" customHeight="1">
      <c r="A848" s="95" t="n"/>
      <c r="B848" s="21" t="n"/>
      <c r="C848" s="21" t="n"/>
    </row>
    <row r="849" ht="12.75" customHeight="1">
      <c r="A849" s="95" t="n"/>
      <c r="B849" s="21" t="n"/>
      <c r="C849" s="21" t="n"/>
    </row>
    <row r="850" ht="12.75" customHeight="1">
      <c r="A850" s="95" t="n"/>
      <c r="B850" s="21" t="n"/>
      <c r="C850" s="21" t="n"/>
    </row>
    <row r="851" ht="12.75" customHeight="1">
      <c r="A851" s="95" t="n"/>
      <c r="B851" s="21" t="n"/>
      <c r="C851" s="21" t="n"/>
    </row>
    <row r="852" ht="12.75" customHeight="1">
      <c r="A852" s="95" t="n"/>
      <c r="B852" s="21" t="n"/>
      <c r="C852" s="21" t="n"/>
    </row>
    <row r="853" ht="12.75" customHeight="1">
      <c r="A853" s="95" t="n"/>
      <c r="B853" s="21" t="n"/>
      <c r="C853" s="21" t="n"/>
    </row>
    <row r="854" ht="12.75" customHeight="1">
      <c r="A854" s="95" t="n"/>
      <c r="B854" s="21" t="n"/>
      <c r="C854" s="21" t="n"/>
    </row>
    <row r="855" ht="12.75" customHeight="1">
      <c r="A855" s="95" t="n"/>
      <c r="B855" s="21" t="n"/>
      <c r="C855" s="21" t="n"/>
    </row>
    <row r="856" ht="12.75" customHeight="1">
      <c r="A856" s="95" t="n"/>
      <c r="B856" s="21" t="n"/>
      <c r="C856" s="21" t="n"/>
    </row>
    <row r="857" ht="12.75" customHeight="1">
      <c r="A857" s="95" t="n"/>
      <c r="B857" s="21" t="n"/>
      <c r="C857" s="21" t="n"/>
    </row>
    <row r="858" ht="12.75" customHeight="1">
      <c r="A858" s="95" t="n"/>
      <c r="B858" s="21" t="n"/>
      <c r="C858" s="21" t="n"/>
    </row>
    <row r="859" ht="12.75" customHeight="1">
      <c r="A859" s="95" t="n"/>
      <c r="B859" s="21" t="n"/>
      <c r="C859" s="21" t="n"/>
    </row>
    <row r="860" ht="12.75" customHeight="1">
      <c r="A860" s="95" t="n"/>
      <c r="B860" s="21" t="n"/>
      <c r="C860" s="21" t="n"/>
    </row>
    <row r="861" ht="12.75" customHeight="1">
      <c r="A861" s="95" t="n"/>
      <c r="B861" s="21" t="n"/>
      <c r="C861" s="21" t="n"/>
    </row>
    <row r="862" ht="12.75" customHeight="1">
      <c r="A862" s="95" t="n"/>
      <c r="B862" s="21" t="n"/>
      <c r="C862" s="21" t="n"/>
    </row>
    <row r="863" ht="12.75" customHeight="1">
      <c r="A863" s="95" t="n"/>
      <c r="B863" s="21" t="n"/>
      <c r="C863" s="21" t="n"/>
    </row>
    <row r="864" ht="12.75" customHeight="1">
      <c r="A864" s="95" t="n"/>
      <c r="B864" s="21" t="n"/>
      <c r="C864" s="21" t="n"/>
    </row>
    <row r="865" ht="12.75" customHeight="1">
      <c r="A865" s="95" t="n"/>
      <c r="B865" s="21" t="n"/>
      <c r="C865" s="21" t="n"/>
    </row>
    <row r="866" ht="12.75" customHeight="1">
      <c r="A866" s="95" t="n"/>
      <c r="B866" s="21" t="n"/>
      <c r="C866" s="21" t="n"/>
    </row>
    <row r="867" ht="12.75" customHeight="1">
      <c r="A867" s="95" t="n"/>
      <c r="B867" s="21" t="n"/>
      <c r="C867" s="21" t="n"/>
    </row>
    <row r="868" ht="12.75" customHeight="1">
      <c r="A868" s="95" t="n"/>
      <c r="B868" s="21" t="n"/>
      <c r="C868" s="21" t="n"/>
    </row>
    <row r="869" ht="12.75" customHeight="1">
      <c r="A869" s="95" t="n"/>
      <c r="B869" s="21" t="n"/>
      <c r="C869" s="21" t="n"/>
    </row>
    <row r="870" ht="12.75" customHeight="1">
      <c r="A870" s="95" t="n"/>
      <c r="B870" s="21" t="n"/>
      <c r="C870" s="21" t="n"/>
    </row>
    <row r="871" ht="12.75" customHeight="1">
      <c r="A871" s="95" t="n"/>
      <c r="B871" s="21" t="n"/>
      <c r="C871" s="21" t="n"/>
    </row>
    <row r="872" ht="12.75" customHeight="1">
      <c r="A872" s="95" t="n"/>
      <c r="B872" s="21" t="n"/>
      <c r="C872" s="21" t="n"/>
    </row>
    <row r="873" ht="12.75" customHeight="1">
      <c r="A873" s="95" t="n"/>
      <c r="B873" s="21" t="n"/>
      <c r="C873" s="21" t="n"/>
    </row>
    <row r="874" ht="12.75" customHeight="1">
      <c r="A874" s="95" t="n"/>
      <c r="B874" s="21" t="n"/>
      <c r="C874" s="21" t="n"/>
    </row>
    <row r="875" ht="12.75" customHeight="1">
      <c r="A875" s="95" t="n"/>
      <c r="B875" s="21" t="n"/>
      <c r="C875" s="21" t="n"/>
    </row>
    <row r="876" ht="12.75" customHeight="1">
      <c r="A876" s="95" t="n"/>
      <c r="B876" s="21" t="n"/>
      <c r="C876" s="21" t="n"/>
    </row>
    <row r="877" ht="12.75" customHeight="1">
      <c r="A877" s="95" t="n"/>
      <c r="B877" s="21" t="n"/>
      <c r="C877" s="21" t="n"/>
    </row>
    <row r="878" ht="12.75" customHeight="1">
      <c r="A878" s="95" t="n"/>
      <c r="B878" s="21" t="n"/>
      <c r="C878" s="21" t="n"/>
    </row>
    <row r="879" ht="12.75" customHeight="1">
      <c r="A879" s="95" t="n"/>
      <c r="B879" s="21" t="n"/>
      <c r="C879" s="21" t="n"/>
    </row>
    <row r="880" ht="12.75" customHeight="1">
      <c r="A880" s="95" t="n"/>
      <c r="B880" s="21" t="n"/>
      <c r="C880" s="21" t="n"/>
    </row>
    <row r="881" ht="12.75" customHeight="1">
      <c r="A881" s="95" t="n"/>
      <c r="B881" s="21" t="n"/>
      <c r="C881" s="21" t="n"/>
    </row>
    <row r="882" ht="12.75" customHeight="1">
      <c r="A882" s="95" t="n"/>
      <c r="B882" s="21" t="n"/>
      <c r="C882" s="21" t="n"/>
    </row>
    <row r="883" ht="12.75" customHeight="1">
      <c r="A883" s="95" t="n"/>
      <c r="B883" s="21" t="n"/>
      <c r="C883" s="21" t="n"/>
    </row>
    <row r="884" ht="12.75" customHeight="1">
      <c r="A884" s="95" t="n"/>
      <c r="B884" s="21" t="n"/>
      <c r="C884" s="21" t="n"/>
    </row>
    <row r="885" ht="12.75" customHeight="1">
      <c r="A885" s="95" t="n"/>
      <c r="B885" s="21" t="n"/>
      <c r="C885" s="21" t="n"/>
    </row>
    <row r="886" ht="12.75" customHeight="1">
      <c r="A886" s="95" t="n"/>
      <c r="B886" s="21" t="n"/>
      <c r="C886" s="21" t="n"/>
    </row>
    <row r="887" ht="12.75" customHeight="1">
      <c r="A887" s="95" t="n"/>
      <c r="B887" s="21" t="n"/>
      <c r="C887" s="21" t="n"/>
    </row>
    <row r="888" ht="12.75" customHeight="1">
      <c r="A888" s="95" t="n"/>
      <c r="B888" s="21" t="n"/>
      <c r="C888" s="21" t="n"/>
    </row>
    <row r="889" ht="12.75" customHeight="1">
      <c r="A889" s="95" t="n"/>
      <c r="B889" s="21" t="n"/>
      <c r="C889" s="21" t="n"/>
    </row>
    <row r="890" ht="12.75" customHeight="1">
      <c r="A890" s="95" t="n"/>
      <c r="B890" s="21" t="n"/>
      <c r="C890" s="21" t="n"/>
    </row>
    <row r="891" ht="12.75" customHeight="1">
      <c r="A891" s="95" t="n"/>
      <c r="B891" s="21" t="n"/>
      <c r="C891" s="21" t="n"/>
    </row>
    <row r="892" ht="12.75" customHeight="1">
      <c r="A892" s="95" t="n"/>
      <c r="B892" s="21" t="n"/>
      <c r="C892" s="21" t="n"/>
    </row>
    <row r="893" ht="12.75" customHeight="1">
      <c r="A893" s="95" t="n"/>
      <c r="B893" s="21" t="n"/>
      <c r="C893" s="21" t="n"/>
    </row>
    <row r="894" ht="12.75" customHeight="1">
      <c r="A894" s="95" t="n"/>
      <c r="B894" s="21" t="n"/>
      <c r="C894" s="21" t="n"/>
    </row>
    <row r="895" ht="12.75" customHeight="1">
      <c r="A895" s="95" t="n"/>
      <c r="B895" s="21" t="n"/>
      <c r="C895" s="21" t="n"/>
    </row>
    <row r="896" ht="12.75" customHeight="1">
      <c r="A896" s="95" t="n"/>
      <c r="B896" s="21" t="n"/>
      <c r="C896" s="21" t="n"/>
    </row>
    <row r="897" ht="12.75" customHeight="1">
      <c r="A897" s="95" t="n"/>
      <c r="B897" s="21" t="n"/>
      <c r="C897" s="21" t="n"/>
    </row>
    <row r="898" ht="12.75" customHeight="1">
      <c r="A898" s="95" t="n"/>
      <c r="B898" s="21" t="n"/>
      <c r="C898" s="21" t="n"/>
    </row>
    <row r="899" ht="12.75" customHeight="1">
      <c r="A899" s="95" t="n"/>
      <c r="B899" s="21" t="n"/>
      <c r="C899" s="21" t="n"/>
    </row>
    <row r="900" ht="12.75" customHeight="1">
      <c r="A900" s="95" t="n"/>
      <c r="B900" s="21" t="n"/>
      <c r="C900" s="21" t="n"/>
    </row>
    <row r="901" ht="12.75" customHeight="1">
      <c r="A901" s="95" t="n"/>
      <c r="B901" s="21" t="n"/>
      <c r="C901" s="21" t="n"/>
    </row>
    <row r="902" ht="12.75" customHeight="1">
      <c r="A902" s="95" t="n"/>
      <c r="B902" s="21" t="n"/>
      <c r="C902" s="21" t="n"/>
    </row>
    <row r="903" ht="12.75" customHeight="1">
      <c r="A903" s="95" t="n"/>
      <c r="B903" s="21" t="n"/>
      <c r="C903" s="21" t="n"/>
    </row>
    <row r="904" ht="12.75" customHeight="1">
      <c r="A904" s="95" t="n"/>
      <c r="B904" s="21" t="n"/>
      <c r="C904" s="21" t="n"/>
    </row>
    <row r="905" ht="12.75" customHeight="1">
      <c r="A905" s="95" t="n"/>
      <c r="B905" s="21" t="n"/>
      <c r="C905" s="21" t="n"/>
    </row>
    <row r="906" ht="12.75" customHeight="1">
      <c r="A906" s="95" t="n"/>
      <c r="B906" s="21" t="n"/>
      <c r="C906" s="21" t="n"/>
    </row>
    <row r="907" ht="12.75" customHeight="1">
      <c r="A907" s="95" t="n"/>
      <c r="B907" s="21" t="n"/>
      <c r="C907" s="21" t="n"/>
    </row>
    <row r="908" ht="12.75" customHeight="1">
      <c r="A908" s="95" t="n"/>
      <c r="B908" s="21" t="n"/>
      <c r="C908" s="21" t="n"/>
    </row>
    <row r="909" ht="12.75" customHeight="1">
      <c r="A909" s="95" t="n"/>
      <c r="B909" s="21" t="n"/>
      <c r="C909" s="21" t="n"/>
    </row>
    <row r="910" ht="12.75" customHeight="1">
      <c r="A910" s="95" t="n"/>
      <c r="B910" s="21" t="n"/>
      <c r="C910" s="21" t="n"/>
    </row>
    <row r="911" ht="12.75" customHeight="1">
      <c r="A911" s="95" t="n"/>
      <c r="B911" s="21" t="n"/>
      <c r="C911" s="21" t="n"/>
    </row>
    <row r="912" ht="12.75" customHeight="1">
      <c r="A912" s="95" t="n"/>
      <c r="B912" s="21" t="n"/>
      <c r="C912" s="21" t="n"/>
    </row>
    <row r="913" ht="12.75" customHeight="1">
      <c r="A913" s="95" t="n"/>
      <c r="B913" s="21" t="n"/>
      <c r="C913" s="21" t="n"/>
    </row>
    <row r="914" ht="12.75" customHeight="1">
      <c r="A914" s="95" t="n"/>
      <c r="B914" s="21" t="n"/>
      <c r="C914" s="21" t="n"/>
    </row>
    <row r="915" ht="12.75" customHeight="1">
      <c r="A915" s="95" t="n"/>
      <c r="B915" s="21" t="n"/>
      <c r="C915" s="21" t="n"/>
    </row>
    <row r="916" ht="12.75" customHeight="1">
      <c r="A916" s="95" t="n"/>
      <c r="B916" s="21" t="n"/>
      <c r="C916" s="21" t="n"/>
    </row>
    <row r="917" ht="12.75" customHeight="1">
      <c r="A917" s="95" t="n"/>
      <c r="B917" s="21" t="n"/>
      <c r="C917" s="21" t="n"/>
    </row>
    <row r="918" ht="12.75" customHeight="1">
      <c r="A918" s="95" t="n"/>
      <c r="B918" s="21" t="n"/>
      <c r="C918" s="21" t="n"/>
    </row>
    <row r="919" ht="12.75" customHeight="1">
      <c r="A919" s="95" t="n"/>
      <c r="B919" s="21" t="n"/>
      <c r="C919" s="21" t="n"/>
    </row>
    <row r="920" ht="12.75" customHeight="1">
      <c r="A920" s="95" t="n"/>
      <c r="B920" s="21" t="n"/>
      <c r="C920" s="21" t="n"/>
    </row>
    <row r="921" ht="12.75" customHeight="1">
      <c r="A921" s="95" t="n"/>
      <c r="B921" s="21" t="n"/>
      <c r="C921" s="21" t="n"/>
    </row>
    <row r="922" ht="12.75" customHeight="1">
      <c r="A922" s="95" t="n"/>
      <c r="B922" s="21" t="n"/>
      <c r="C922" s="21" t="n"/>
    </row>
    <row r="923" ht="12.75" customHeight="1">
      <c r="A923" s="95" t="n"/>
      <c r="B923" s="21" t="n"/>
      <c r="C923" s="21" t="n"/>
    </row>
    <row r="924" ht="12.75" customHeight="1">
      <c r="A924" s="95" t="n"/>
      <c r="B924" s="21" t="n"/>
      <c r="C924" s="21" t="n"/>
    </row>
    <row r="925" ht="12.75" customHeight="1">
      <c r="A925" s="95" t="n"/>
      <c r="B925" s="21" t="n"/>
      <c r="C925" s="21" t="n"/>
    </row>
    <row r="926" ht="12.75" customHeight="1">
      <c r="A926" s="95" t="n"/>
      <c r="B926" s="21" t="n"/>
      <c r="C926" s="21" t="n"/>
    </row>
    <row r="927" ht="12.75" customHeight="1">
      <c r="A927" s="95" t="n"/>
      <c r="B927" s="21" t="n"/>
      <c r="C927" s="21" t="n"/>
    </row>
    <row r="928" ht="12.75" customHeight="1">
      <c r="A928" s="95" t="n"/>
      <c r="B928" s="21" t="n"/>
      <c r="C928" s="21" t="n"/>
    </row>
    <row r="929" ht="12.75" customHeight="1">
      <c r="A929" s="95" t="n"/>
      <c r="B929" s="21" t="n"/>
      <c r="C929" s="21" t="n"/>
    </row>
    <row r="930" ht="12.75" customHeight="1">
      <c r="A930" s="95" t="n"/>
      <c r="B930" s="21" t="n"/>
      <c r="C930" s="21" t="n"/>
    </row>
    <row r="931" ht="12.75" customHeight="1">
      <c r="A931" s="95" t="n"/>
      <c r="B931" s="21" t="n"/>
      <c r="C931" s="21" t="n"/>
    </row>
    <row r="932" ht="12.75" customHeight="1">
      <c r="A932" s="95" t="n"/>
      <c r="B932" s="21" t="n"/>
      <c r="C932" s="21" t="n"/>
    </row>
    <row r="933" ht="12.75" customHeight="1">
      <c r="A933" s="95" t="n"/>
      <c r="B933" s="21" t="n"/>
      <c r="C933" s="21" t="n"/>
    </row>
    <row r="934" ht="12.75" customHeight="1">
      <c r="A934" s="95" t="n"/>
      <c r="B934" s="21" t="n"/>
      <c r="C934" s="21" t="n"/>
    </row>
    <row r="935" ht="12.75" customHeight="1">
      <c r="A935" s="95" t="n"/>
      <c r="B935" s="21" t="n"/>
      <c r="C935" s="21" t="n"/>
    </row>
    <row r="936" ht="12.75" customHeight="1">
      <c r="A936" s="95" t="n"/>
      <c r="B936" s="21" t="n"/>
      <c r="C936" s="21" t="n"/>
    </row>
    <row r="937" ht="12.75" customHeight="1">
      <c r="A937" s="95" t="n"/>
      <c r="B937" s="21" t="n"/>
      <c r="C937" s="21" t="n"/>
    </row>
    <row r="938" ht="12.75" customHeight="1">
      <c r="A938" s="95" t="n"/>
      <c r="B938" s="21" t="n"/>
      <c r="C938" s="21" t="n"/>
    </row>
    <row r="939" ht="12.75" customHeight="1">
      <c r="A939" s="95" t="n"/>
      <c r="B939" s="21" t="n"/>
      <c r="C939" s="21" t="n"/>
    </row>
    <row r="940" ht="12.75" customHeight="1">
      <c r="A940" s="95" t="n"/>
      <c r="B940" s="21" t="n"/>
      <c r="C940" s="21" t="n"/>
    </row>
    <row r="941" ht="12.75" customHeight="1">
      <c r="A941" s="95" t="n"/>
      <c r="B941" s="21" t="n"/>
      <c r="C941" s="21" t="n"/>
    </row>
    <row r="942" ht="12.75" customHeight="1">
      <c r="A942" s="95" t="n"/>
      <c r="B942" s="21" t="n"/>
      <c r="C942" s="21" t="n"/>
    </row>
    <row r="943" ht="12.75" customHeight="1">
      <c r="A943" s="95" t="n"/>
      <c r="B943" s="21" t="n"/>
      <c r="C943" s="21" t="n"/>
    </row>
    <row r="944" ht="12.75" customHeight="1">
      <c r="A944" s="95" t="n"/>
      <c r="B944" s="21" t="n"/>
      <c r="C944" s="21" t="n"/>
    </row>
    <row r="945" ht="12.75" customHeight="1">
      <c r="A945" s="95" t="n"/>
      <c r="B945" s="21" t="n"/>
      <c r="C945" s="21" t="n"/>
    </row>
    <row r="946" ht="12.75" customHeight="1">
      <c r="A946" s="95" t="n"/>
      <c r="B946" s="21" t="n"/>
      <c r="C946" s="21" t="n"/>
    </row>
    <row r="947" ht="12.75" customHeight="1">
      <c r="A947" s="95" t="n"/>
      <c r="B947" s="21" t="n"/>
      <c r="C947" s="21" t="n"/>
    </row>
    <row r="948" ht="12.75" customHeight="1">
      <c r="A948" s="95" t="n"/>
      <c r="B948" s="21" t="n"/>
      <c r="C948" s="21" t="n"/>
    </row>
    <row r="949" ht="12.75" customHeight="1">
      <c r="A949" s="95" t="n"/>
      <c r="B949" s="21" t="n"/>
      <c r="C949" s="21" t="n"/>
    </row>
    <row r="950" ht="12.75" customHeight="1">
      <c r="A950" s="95" t="n"/>
      <c r="B950" s="21" t="n"/>
      <c r="C950" s="21" t="n"/>
    </row>
    <row r="951" ht="12.75" customHeight="1">
      <c r="A951" s="95" t="n"/>
      <c r="B951" s="21" t="n"/>
      <c r="C951" s="21" t="n"/>
    </row>
    <row r="952" ht="12.75" customHeight="1">
      <c r="A952" s="95" t="n"/>
      <c r="B952" s="21" t="n"/>
      <c r="C952" s="21" t="n"/>
    </row>
    <row r="953" ht="12.75" customHeight="1">
      <c r="A953" s="95" t="n"/>
      <c r="B953" s="21" t="n"/>
      <c r="C953" s="21" t="n"/>
    </row>
    <row r="954" ht="12.75" customHeight="1">
      <c r="A954" s="95" t="n"/>
      <c r="B954" s="21" t="n"/>
      <c r="C954" s="21" t="n"/>
    </row>
    <row r="955" ht="12.75" customHeight="1">
      <c r="A955" s="95" t="n"/>
      <c r="B955" s="21" t="n"/>
      <c r="C955" s="21" t="n"/>
    </row>
    <row r="956" ht="12.75" customHeight="1">
      <c r="A956" s="95" t="n"/>
      <c r="B956" s="21" t="n"/>
      <c r="C956" s="21" t="n"/>
    </row>
    <row r="957" ht="12.75" customHeight="1">
      <c r="A957" s="95" t="n"/>
      <c r="B957" s="21" t="n"/>
      <c r="C957" s="21" t="n"/>
    </row>
    <row r="958" ht="12.75" customHeight="1">
      <c r="A958" s="95" t="n"/>
      <c r="B958" s="21" t="n"/>
      <c r="C958" s="21" t="n"/>
    </row>
    <row r="959" ht="12.75" customHeight="1">
      <c r="A959" s="95" t="n"/>
      <c r="B959" s="21" t="n"/>
      <c r="C959" s="21" t="n"/>
    </row>
    <row r="960" ht="12.75" customHeight="1">
      <c r="A960" s="95" t="n"/>
      <c r="B960" s="21" t="n"/>
      <c r="C960" s="21" t="n"/>
    </row>
    <row r="961" ht="12.75" customHeight="1">
      <c r="A961" s="95" t="n"/>
      <c r="B961" s="21" t="n"/>
      <c r="C961" s="21" t="n"/>
    </row>
    <row r="962" ht="12.75" customHeight="1">
      <c r="A962" s="95" t="n"/>
      <c r="B962" s="21" t="n"/>
      <c r="C962" s="21" t="n"/>
    </row>
    <row r="963" ht="12.75" customHeight="1">
      <c r="A963" s="95" t="n"/>
      <c r="B963" s="21" t="n"/>
      <c r="C963" s="21" t="n"/>
    </row>
    <row r="964" ht="12.75" customHeight="1">
      <c r="A964" s="95" t="n"/>
      <c r="B964" s="21" t="n"/>
      <c r="C964" s="21" t="n"/>
    </row>
    <row r="965" ht="12.75" customHeight="1">
      <c r="A965" s="95" t="n"/>
      <c r="B965" s="21" t="n"/>
      <c r="C965" s="21" t="n"/>
    </row>
    <row r="966" ht="12.75" customHeight="1">
      <c r="A966" s="95" t="n"/>
      <c r="B966" s="21" t="n"/>
      <c r="C966" s="21" t="n"/>
    </row>
    <row r="967" ht="12.75" customHeight="1">
      <c r="A967" s="95" t="n"/>
      <c r="B967" s="21" t="n"/>
      <c r="C967" s="21" t="n"/>
    </row>
    <row r="968" ht="12.75" customHeight="1">
      <c r="A968" s="95" t="n"/>
      <c r="B968" s="21" t="n"/>
      <c r="C968" s="21" t="n"/>
    </row>
    <row r="969" ht="12.75" customHeight="1">
      <c r="A969" s="95" t="n"/>
      <c r="B969" s="21" t="n"/>
      <c r="C969" s="21" t="n"/>
    </row>
    <row r="970" ht="12.75" customHeight="1">
      <c r="A970" s="95" t="n"/>
      <c r="B970" s="21" t="n"/>
      <c r="C970" s="21" t="n"/>
    </row>
    <row r="971" ht="12.75" customHeight="1">
      <c r="A971" s="95" t="n"/>
      <c r="B971" s="21" t="n"/>
      <c r="C971" s="21" t="n"/>
    </row>
    <row r="972" ht="12.75" customHeight="1">
      <c r="A972" s="95" t="n"/>
      <c r="B972" s="21" t="n"/>
      <c r="C972" s="21" t="n"/>
    </row>
    <row r="973" ht="12.75" customHeight="1">
      <c r="A973" s="95" t="n"/>
      <c r="B973" s="21" t="n"/>
      <c r="C973" s="21" t="n"/>
    </row>
    <row r="974" ht="12.75" customHeight="1">
      <c r="A974" s="95" t="n"/>
      <c r="B974" s="21" t="n"/>
      <c r="C974" s="21" t="n"/>
    </row>
    <row r="975" ht="12.75" customHeight="1">
      <c r="A975" s="95" t="n"/>
      <c r="B975" s="21" t="n"/>
      <c r="C975" s="21" t="n"/>
    </row>
    <row r="976" ht="12.75" customHeight="1">
      <c r="A976" s="95" t="n"/>
      <c r="B976" s="21" t="n"/>
      <c r="C976" s="21" t="n"/>
    </row>
    <row r="977" ht="12.75" customHeight="1">
      <c r="A977" s="95" t="n"/>
      <c r="B977" s="21" t="n"/>
      <c r="C977" s="21" t="n"/>
    </row>
    <row r="978" ht="12.75" customHeight="1">
      <c r="A978" s="95" t="n"/>
      <c r="B978" s="21" t="n"/>
      <c r="C978" s="21" t="n"/>
    </row>
    <row r="979" ht="12.75" customHeight="1">
      <c r="A979" s="95" t="n"/>
      <c r="B979" s="21" t="n"/>
      <c r="C979" s="21" t="n"/>
    </row>
    <row r="980" ht="12.75" customHeight="1">
      <c r="A980" s="95" t="n"/>
      <c r="B980" s="21" t="n"/>
      <c r="C980" s="21" t="n"/>
    </row>
    <row r="981" ht="12.75" customHeight="1">
      <c r="A981" s="95" t="n"/>
      <c r="B981" s="21" t="n"/>
      <c r="C981" s="21" t="n"/>
    </row>
    <row r="982" ht="12.75" customHeight="1">
      <c r="A982" s="95" t="n"/>
      <c r="B982" s="21" t="n"/>
      <c r="C982" s="21" t="n"/>
    </row>
    <row r="983" ht="12.75" customHeight="1">
      <c r="A983" s="95" t="n"/>
      <c r="B983" s="21" t="n"/>
      <c r="C983" s="21" t="n"/>
    </row>
    <row r="984" ht="12.75" customHeight="1">
      <c r="A984" s="95" t="n"/>
      <c r="B984" s="21" t="n"/>
      <c r="C984" s="21" t="n"/>
    </row>
    <row r="985" ht="12.75" customHeight="1">
      <c r="A985" s="95" t="n"/>
      <c r="B985" s="21" t="n"/>
      <c r="C985" s="21" t="n"/>
    </row>
    <row r="986" ht="12.75" customHeight="1">
      <c r="A986" s="95" t="n"/>
      <c r="B986" s="21" t="n"/>
      <c r="C986" s="21" t="n"/>
    </row>
    <row r="987" ht="12.75" customHeight="1">
      <c r="A987" s="95" t="n"/>
      <c r="B987" s="21" t="n"/>
      <c r="C987" s="21" t="n"/>
    </row>
    <row r="988" ht="12.75" customHeight="1">
      <c r="A988" s="95" t="n"/>
      <c r="B988" s="21" t="n"/>
      <c r="C988" s="21" t="n"/>
    </row>
    <row r="989" ht="12.75" customHeight="1">
      <c r="A989" s="95" t="n"/>
      <c r="B989" s="21" t="n"/>
      <c r="C989" s="21" t="n"/>
    </row>
    <row r="990" ht="12.75" customHeight="1">
      <c r="A990" s="95" t="n"/>
      <c r="B990" s="21" t="n"/>
      <c r="C990" s="21" t="n"/>
    </row>
    <row r="991" ht="12.75" customHeight="1">
      <c r="A991" s="95" t="n"/>
      <c r="B991" s="21" t="n"/>
      <c r="C991" s="21" t="n"/>
    </row>
    <row r="992" ht="12.75" customHeight="1">
      <c r="A992" s="95" t="n"/>
      <c r="B992" s="21" t="n"/>
      <c r="C992" s="21" t="n"/>
    </row>
    <row r="993" ht="12.75" customHeight="1">
      <c r="A993" s="95" t="n"/>
      <c r="B993" s="21" t="n"/>
      <c r="C993" s="21" t="n"/>
    </row>
    <row r="994" ht="12.75" customHeight="1">
      <c r="A994" s="95" t="n"/>
      <c r="B994" s="21" t="n"/>
      <c r="C994" s="21" t="n"/>
    </row>
    <row r="995" ht="12.75" customHeight="1">
      <c r="A995" s="95" t="n"/>
      <c r="B995" s="21" t="n"/>
      <c r="C995" s="21" t="n"/>
    </row>
    <row r="996" ht="12.75" customHeight="1">
      <c r="A996" s="95" t="n"/>
      <c r="B996" s="21" t="n"/>
      <c r="C996" s="21" t="n"/>
    </row>
    <row r="997" ht="12.75" customHeight="1">
      <c r="A997" s="95" t="n"/>
      <c r="B997" s="21" t="n"/>
      <c r="C997" s="21" t="n"/>
    </row>
    <row r="998" ht="12.75" customHeight="1">
      <c r="A998" s="95" t="n"/>
      <c r="B998" s="21" t="n"/>
      <c r="C998" s="21" t="n"/>
    </row>
    <row r="999" ht="12.75" customHeight="1">
      <c r="A999" s="95" t="n"/>
      <c r="B999" s="21" t="n"/>
      <c r="C999" s="21" t="n"/>
    </row>
    <row r="1000" ht="12.75" customHeight="1">
      <c r="A1000" s="95" t="n"/>
      <c r="B1000" s="21" t="n"/>
      <c r="C1000" s="21" t="n"/>
    </row>
  </sheetData>
  <mergeCells count="2">
    <mergeCell ref="D6:F6"/>
    <mergeCell ref="A6:C6"/>
  </mergeCells>
  <dataValidations count="1">
    <dataValidation sqref="D7:D37 F7:F37 G7:G37 H7:H37 I7:I37 J7:J37" showDropDown="0" showInputMessage="1" showErrorMessage="1" allowBlank="1" errorTitle="時刻の入力" error="コロンなしで 930（＝9時30分）のように入力してください。9:30 のようにコロン付きでも入力できます。" promptTitle="時刻の入力" prompt="930 と入力すれば 09:30 になります" type="custom">
      <formula1>=OR(AND(D7&gt;=0,D7&lt;1),AND(D7=INT(D7),D7&lt;=2359,MOD(D7,100)&lt;60))</formula1>
    </dataValidation>
  </dataValidations>
  <pageMargins left="0.25" right="0.25" top="0.75" bottom="0.75" header="0" footer="0"/>
  <pageSetup orientation="portrait" paperSize="9" scale="96" fitToWidth="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C20" sqref="C20"/>
    </sheetView>
  </sheetViews>
  <sheetFormatPr baseColWidth="8" defaultRowHeight="12.95"/>
  <cols>
    <col width="16" customWidth="1" style="52" min="1" max="1"/>
    <col width="6" customWidth="1" style="51" min="2" max="2"/>
    <col width="15.85546875" customWidth="1" min="3" max="3"/>
    <col width="27.7109375" customWidth="1" min="4" max="4"/>
  </cols>
  <sheetData>
    <row r="1">
      <c r="A1" s="96" t="inlineStr">
        <is>
          <t>日付</t>
        </is>
      </c>
      <c r="B1" s="50" t="inlineStr">
        <is>
          <t>曜日</t>
        </is>
      </c>
      <c r="C1" s="53" t="inlineStr">
        <is>
          <t>名称</t>
        </is>
      </c>
      <c r="D1" s="53" t="inlineStr">
        <is>
          <t>備考</t>
        </is>
      </c>
    </row>
    <row r="2">
      <c r="A2" s="97" t="n">
        <v>46023</v>
      </c>
      <c r="B2" s="51" t="str">
        <f>IF(A2="","","（"&amp;CHOOSE(WEEKDAY(A2,2),"月","火","水","木","金","土","日")&amp;"）")</f>
        <v>（木）</v>
      </c>
      <c r="C2" t="inlineStr">
        <is>
          <t>元日</t>
        </is>
      </c>
    </row>
    <row r="3">
      <c r="A3" s="97" t="n">
        <v>46034</v>
      </c>
      <c r="B3" s="51" t="str">
        <f>IF(A3="","","（"&amp;CHOOSE(WEEKDAY(A3,2),"月","火","水","木","金","土","日")&amp;"）")</f>
        <v>（月）</v>
      </c>
      <c r="C3" t="inlineStr">
        <is>
          <t>成人の日</t>
        </is>
      </c>
    </row>
    <row r="4">
      <c r="A4" s="97" t="n">
        <v>46064</v>
      </c>
      <c r="B4" s="51" t="str">
        <f>IF(A4="","","（"&amp;CHOOSE(WEEKDAY(A4,2),"月","火","水","木","金","土","日")&amp;"）")</f>
        <v>（水）</v>
      </c>
      <c r="C4" t="inlineStr">
        <is>
          <t>建国記念の日</t>
        </is>
      </c>
    </row>
    <row r="5">
      <c r="A5" s="97" t="n">
        <v>46076</v>
      </c>
      <c r="B5" s="51" t="str">
        <f>IF(A5="","","（"&amp;CHOOSE(WEEKDAY(A5,2),"月","火","水","木","金","土","日")&amp;"）")</f>
        <v>（月）</v>
      </c>
      <c r="C5" t="inlineStr">
        <is>
          <t>天皇誕生日</t>
        </is>
      </c>
    </row>
    <row r="6">
      <c r="A6" s="97" t="n">
        <v>46101</v>
      </c>
      <c r="B6" s="51" t="str">
        <f>IF(A6="","","（"&amp;CHOOSE(WEEKDAY(A6,2),"月","火","水","木","金","土","日")&amp;"）")</f>
        <v>（金）</v>
      </c>
      <c r="C6" t="inlineStr">
        <is>
          <t>春分の日</t>
        </is>
      </c>
    </row>
    <row r="7">
      <c r="A7" s="97" t="n">
        <v>46141</v>
      </c>
      <c r="B7" s="51" t="str">
        <f>IF(A7="","","（"&amp;CHOOSE(WEEKDAY(A7,2),"月","火","水","木","金","土","日")&amp;"）")</f>
        <v>（水）</v>
      </c>
      <c r="C7" t="inlineStr">
        <is>
          <t>昭和の日</t>
        </is>
      </c>
    </row>
    <row r="8">
      <c r="A8" s="97" t="n">
        <v>46145</v>
      </c>
      <c r="B8" s="51" t="str">
        <f>IF(A8="","","（"&amp;CHOOSE(WEEKDAY(A8,2),"月","火","水","木","金","土","日")&amp;"）")</f>
        <v>（日）</v>
      </c>
      <c r="C8" t="inlineStr">
        <is>
          <t>憲法記念日</t>
        </is>
      </c>
    </row>
    <row r="9">
      <c r="A9" s="97" t="n">
        <v>46146</v>
      </c>
      <c r="B9" s="51" t="str">
        <f>IF(A9="","","（"&amp;CHOOSE(WEEKDAY(A9,2),"月","火","水","木","金","土","日")&amp;"）")</f>
        <v>（月）</v>
      </c>
      <c r="C9" t="inlineStr">
        <is>
          <t>みどりの日</t>
        </is>
      </c>
    </row>
    <row r="10">
      <c r="A10" s="97" t="n">
        <v>46147</v>
      </c>
      <c r="B10" s="51" t="str">
        <f>IF(A10="","","（"&amp;CHOOSE(WEEKDAY(A10,2),"月","火","水","木","金","土","日")&amp;"）")</f>
        <v>（火）</v>
      </c>
      <c r="C10" t="inlineStr">
        <is>
          <t>こどもの日</t>
        </is>
      </c>
    </row>
    <row r="11">
      <c r="A11" s="97" t="n">
        <v>46148</v>
      </c>
      <c r="B11" s="51" t="str">
        <f>IF(A11="","","（"&amp;CHOOSE(WEEKDAY(A11,2),"月","火","水","木","金","土","日")&amp;"）")</f>
        <v>（水）</v>
      </c>
      <c r="C11" t="inlineStr">
        <is>
          <t>休日</t>
        </is>
      </c>
      <c r="D11" t="inlineStr">
        <is>
          <t>祝日法第3条第2項による休日</t>
        </is>
      </c>
    </row>
    <row r="12">
      <c r="A12" s="97" t="n">
        <v>46223</v>
      </c>
      <c r="B12" s="51" t="str">
        <f>IF(A12="","","（"&amp;CHOOSE(WEEKDAY(A12,2),"月","火","水","木","金","土","日")&amp;"）")</f>
        <v>（月）</v>
      </c>
      <c r="C12" t="inlineStr">
        <is>
          <t>海の日</t>
        </is>
      </c>
    </row>
    <row r="13">
      <c r="A13" s="97" t="n">
        <v>46245</v>
      </c>
      <c r="B13" s="51" t="str">
        <f>IF(A13="","","（"&amp;CHOOSE(WEEKDAY(A13,2),"月","火","水","木","金","土","日")&amp;"）")</f>
        <v>（火）</v>
      </c>
      <c r="C13" t="inlineStr">
        <is>
          <t>山の日</t>
        </is>
      </c>
    </row>
    <row r="14">
      <c r="A14" s="97" t="n">
        <v>46286</v>
      </c>
      <c r="B14" s="51" t="str">
        <f>IF(A14="","","（"&amp;CHOOSE(WEEKDAY(A14,2),"月","火","水","木","金","土","日")&amp;"）")</f>
        <v>（月）</v>
      </c>
      <c r="C14" t="inlineStr">
        <is>
          <t>敬老の日</t>
        </is>
      </c>
    </row>
    <row r="15">
      <c r="A15" s="97" t="n">
        <v>46287</v>
      </c>
      <c r="B15" s="51" t="str">
        <f>IF(A15="","","（"&amp;CHOOSE(WEEKDAY(A15,2),"月","火","水","木","金","土","日")&amp;"）")</f>
        <v>（火）</v>
      </c>
      <c r="C15" t="inlineStr">
        <is>
          <t>国民の休日</t>
        </is>
      </c>
      <c r="D15" t="inlineStr">
        <is>
          <t>祝日法第3条第3項による休日</t>
        </is>
      </c>
    </row>
    <row r="16">
      <c r="A16" s="97" t="n">
        <v>46288</v>
      </c>
      <c r="B16" s="51" t="str">
        <f>IF(A16="","","（"&amp;CHOOSE(WEEKDAY(A16,2),"月","火","水","木","金","土","日")&amp;"）")</f>
        <v>（水）</v>
      </c>
      <c r="C16" t="inlineStr">
        <is>
          <t>秋分の日</t>
        </is>
      </c>
    </row>
    <row r="17">
      <c r="A17" s="97" t="n">
        <v>46307</v>
      </c>
      <c r="B17" s="51" t="str">
        <f>IF(A17="","","（"&amp;CHOOSE(WEEKDAY(A17,2),"月","火","水","木","金","土","日")&amp;"）")</f>
        <v>（月）</v>
      </c>
      <c r="C17" t="inlineStr">
        <is>
          <t>スポーツの日</t>
        </is>
      </c>
    </row>
    <row r="18">
      <c r="A18" s="97" t="n">
        <v>46329</v>
      </c>
      <c r="B18" s="51" t="str">
        <f>IF(A18="","","（"&amp;CHOOSE(WEEKDAY(A18,2),"月","火","水","木","金","土","日")&amp;"）")</f>
        <v>（火）</v>
      </c>
      <c r="C18" t="inlineStr">
        <is>
          <t>文化の日</t>
        </is>
      </c>
    </row>
    <row r="19">
      <c r="A19" s="97" t="n">
        <v>46349</v>
      </c>
      <c r="B19" s="51" t="str">
        <f>IF(A19="","","（"&amp;CHOOSE(WEEKDAY(A19,2),"月","火","水","木","金","土","日")&amp;"）")</f>
        <v>（月）</v>
      </c>
      <c r="C19" t="inlineStr">
        <is>
          <t>勤労感謝の日</t>
        </is>
      </c>
    </row>
    <row r="20">
      <c r="A20" s="97" t="n"/>
      <c r="B20" s="51" t="n"/>
    </row>
    <row r="21">
      <c r="A21" s="98" t="n"/>
      <c r="C21" s="41" t="n"/>
    </row>
    <row r="22">
      <c r="A22" s="98" t="n"/>
    </row>
    <row r="23"/>
    <row r="24">
      <c r="A24" s="99" t="n"/>
    </row>
    <row r="25">
      <c r="A25" s="55" t="n"/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YUYA</dc:creator>
  <dcterms:created xsi:type="dcterms:W3CDTF">2021-04-12T05:19:14Z</dcterms:created>
  <dcterms:modified xsi:type="dcterms:W3CDTF">2026-08-04T03:39:58Z</dcterms:modified>
  <cp:lastModifiedBy>盛田 裕一</cp:lastModifiedBy>
</cp:coreProperties>
</file>