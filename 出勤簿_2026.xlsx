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6" activeTab="3" autoFilterDateGrouping="1"/>
  </bookViews>
  <sheets>
    <sheet name="1月" sheetId="1" state="visible" r:id="rId1"/>
    <sheet name="2月" sheetId="2" state="visible" r:id="rId2"/>
    <sheet name="3月" sheetId="3" state="visible" r:id="rId3"/>
    <sheet name="4月" sheetId="4" state="visible" r:id="rId4"/>
    <sheet name="5月" sheetId="5" state="visible" r:id="rId5"/>
    <sheet name="6月" sheetId="6" state="visible" r:id="rId6"/>
    <sheet name="7月" sheetId="7" state="visible" r:id="rId7"/>
    <sheet name="8月" sheetId="8" state="visible" r:id="rId8"/>
    <sheet name="9月" sheetId="9" state="visible" r:id="rId9"/>
    <sheet name="10月" sheetId="10" state="visible" r:id="rId10"/>
    <sheet name="11月" sheetId="11" state="visible" r:id="rId11"/>
    <sheet name="12月" sheetId="12" state="visible" r:id="rId12"/>
    <sheet name="祝日リスト" sheetId="13" state="visible" r:id="rId13"/>
  </sheets>
  <definedNames>
    <definedName name="_xlnm.Print_Area" localSheetId="0">'1月'!$A$1:$K$42</definedName>
    <definedName name="_xlnm.Print_Area" localSheetId="1">'2月'!$A$1:$K$42</definedName>
    <definedName name="_xlnm.Print_Area" localSheetId="2">'3月'!$A$1:$K$42</definedName>
    <definedName name="_xlnm.Print_Area" localSheetId="3">'4月'!$A$1:$K$42</definedName>
    <definedName name="_xlnm.Print_Area" localSheetId="4">'5月'!$A$1:$K$42</definedName>
    <definedName name="_xlnm.Print_Area" localSheetId="5">'6月'!$A$1:$K$42</definedName>
    <definedName name="_xlnm.Print_Area" localSheetId="6">'7月'!$A$1:$K$42</definedName>
    <definedName name="_xlnm.Print_Area" localSheetId="7">'8月'!$A$1:$K$42</definedName>
    <definedName name="_xlnm.Print_Area" localSheetId="8">'9月'!$A$1:$K$42</definedName>
    <definedName name="_xlnm.Print_Area" localSheetId="9">'10月'!$A$1:$K$42</definedName>
    <definedName name="_xlnm.Print_Area" localSheetId="10">'11月'!$A$1:$K$42</definedName>
    <definedName name="_xlnm.Print_Area" localSheetId="11">'12月'!$A$1:$K$42</definedName>
  </definedNames>
  <calcPr calcId="191028" fullCalcOnLoad="1"/>
</workbook>
</file>

<file path=xl/styles.xml><?xml version="1.0" encoding="utf-8"?>
<styleSheet xmlns="http://schemas.openxmlformats.org/spreadsheetml/2006/main">
  <numFmts count="7">
    <numFmt numFmtId="164" formatCode="d"/>
    <numFmt numFmtId="165" formatCode="yyyy/mm/dd"/>
    <numFmt numFmtId="166" formatCode="[$-F800]dddd\,\ mmmm\ dd\,\ yyyy"/>
    <numFmt numFmtId="167" formatCode="h:mm;@"/>
    <numFmt numFmtId="168" formatCode="[$-409]yyyy/m/d\ h:mm\ AM/PM;@"/>
    <numFmt numFmtId="169" formatCode="[h]:mm"/>
    <numFmt numFmtId="170" formatCode="hh:mm"/>
  </numFmts>
  <fonts count="16">
    <font>
      <name val="MS PGothic"/>
      <color rgb="FF000000"/>
      <sz val="11"/>
    </font>
    <font>
      <name val="MS PGothic"/>
      <charset val="128"/>
      <family val="3"/>
      <color theme="1"/>
      <sz val="11"/>
    </font>
    <font>
      <name val="MS PGothic"/>
      <charset val="128"/>
      <family val="3"/>
      <color theme="1"/>
      <sz val="14"/>
    </font>
    <font>
      <name val="Calibri"/>
      <family val="2"/>
      <color theme="1"/>
      <sz val="11"/>
    </font>
    <font>
      <name val="MS PGothic"/>
      <charset val="128"/>
      <family val="3"/>
      <sz val="11"/>
    </font>
    <font>
      <name val="MS PGothic"/>
      <charset val="128"/>
      <family val="3"/>
      <color theme="1"/>
      <sz val="12"/>
    </font>
    <font>
      <name val="Calibri"/>
      <family val="2"/>
      <color rgb="FF000000"/>
      <sz val="11"/>
    </font>
    <font>
      <name val="MS PGothic"/>
      <charset val="128"/>
      <family val="3"/>
      <color rgb="FF000000"/>
      <sz val="11"/>
    </font>
    <font>
      <name val="ＭＳ Ｐゴシック"/>
      <charset val="128"/>
      <family val="3"/>
      <sz val="6"/>
    </font>
    <font>
      <name val="ＭＳ ゴシック"/>
      <charset val="128"/>
      <family val="3"/>
      <color theme="1"/>
      <sz val="11"/>
    </font>
    <font>
      <name val="MS PGothic"/>
      <charset val="128"/>
      <family val="3"/>
      <color rgb="FF000000"/>
      <sz val="14"/>
    </font>
    <font>
      <name val="MS PGothic"/>
      <charset val="128"/>
      <family val="3"/>
      <sz val="14"/>
    </font>
    <font>
      <name val="MS PGothic"/>
      <charset val="128"/>
      <family val="3"/>
      <color theme="10"/>
      <sz val="11"/>
      <u val="single"/>
    </font>
    <font>
      <name val="MS PGothic"/>
      <charset val="128"/>
      <family val="3"/>
      <color theme="0"/>
      <sz val="11"/>
      <u val="double"/>
    </font>
    <font>
      <name val="MS PGothic"/>
      <charset val="128"/>
      <family val="3"/>
      <b val="1"/>
      <color theme="1"/>
      <sz val="11"/>
    </font>
    <font>
      <name val="ＭＳ ゴシック"/>
      <charset val="128"/>
      <family val="3"/>
      <color theme="1"/>
      <sz val="12"/>
    </font>
  </fonts>
  <fills count="2">
    <fill>
      <patternFill/>
    </fill>
    <fill>
      <patternFill patternType="gray125"/>
    </fill>
  </fills>
  <borders count="23">
    <border>
      <left/>
      <right/>
      <top/>
      <bottom/>
      <diagonal/>
    </border>
    <border>
      <left/>
      <right/>
      <top/>
      <bottom style="double">
        <color rgb="FF000000"/>
      </bottom>
      <diagonal/>
    </border>
    <border>
      <left/>
      <right/>
      <top style="double">
        <color rgb="FF000000"/>
      </top>
      <bottom/>
      <diagonal/>
    </border>
    <border>
      <left style="double">
        <color rgb="FF000000"/>
      </left>
      <right/>
      <top style="double">
        <color rgb="FF000000"/>
      </top>
      <bottom style="double">
        <color rgb="FF000000"/>
      </bottom>
      <diagonal/>
    </border>
    <border>
      <left/>
      <right style="thin">
        <color rgb="FF000000"/>
      </right>
      <top style="double">
        <color rgb="FF000000"/>
      </top>
      <bottom style="double">
        <color rgb="FF000000"/>
      </bottom>
      <diagonal/>
    </border>
    <border>
      <left/>
      <right style="hair">
        <color rgb="FF000000"/>
      </right>
      <top style="double">
        <color rgb="FF000000"/>
      </top>
      <bottom/>
      <diagonal/>
    </border>
    <border>
      <left style="thin">
        <color rgb="FF000000"/>
      </left>
      <right/>
      <top style="double">
        <color rgb="FF000000"/>
      </top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 style="double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/>
      <top/>
      <bottom style="double">
        <color rgb="FF000000"/>
      </bottom>
      <diagonal/>
    </border>
    <border>
      <left/>
      <right/>
      <top style="double">
        <color rgb="FF000000"/>
      </top>
      <bottom style="double">
        <color rgb="FF000000"/>
      </bottom>
      <diagonal/>
    </border>
    <border>
      <left style="thin">
        <color rgb="FF000000"/>
      </left>
      <right/>
      <top style="double">
        <color rgb="FF000000"/>
      </top>
      <bottom style="double">
        <color rgb="FF000000"/>
      </bottom>
      <diagonal/>
    </border>
    <border>
      <left style="thin">
        <color rgb="FF000000"/>
      </left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 style="thin">
        <color rgb="FF000000"/>
      </left>
      <right style="double">
        <color rgb="FF000000"/>
      </right>
      <top/>
      <bottom style="thin">
        <color rgb="FF000000"/>
      </bottom>
      <diagonal/>
    </border>
    <border>
      <left/>
      <right/>
      <top/>
      <bottom style="double">
        <color indexed="64"/>
      </bottom>
      <diagonal/>
    </border>
    <border>
      <left style="double">
        <color rgb="FF000000"/>
      </left>
      <right/>
      <top style="thin">
        <color rgb="FF000000"/>
      </top>
      <bottom style="double">
        <color indexed="64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double">
        <color indexed="64"/>
      </bottom>
      <diagonal/>
    </border>
    <border>
      <left style="double">
        <color rgb="FF000000"/>
      </left>
      <right style="thin">
        <color rgb="FF000000"/>
      </right>
      <top style="double">
        <color rgb="FF000000"/>
      </top>
      <bottom style="double">
        <color rgb="FF000000"/>
      </bottom>
      <diagonal/>
    </border>
    <border>
      <left/>
      <right style="thin">
        <color rgb="FF000000"/>
      </right>
      <top style="double">
        <color rgb="FF000000"/>
      </top>
      <bottom/>
      <diagonal/>
    </border>
  </borders>
  <cellStyleXfs count="2">
    <xf numFmtId="0" fontId="0" fillId="0" borderId="0"/>
    <xf numFmtId="0" fontId="12" fillId="0" borderId="0"/>
  </cellStyleXfs>
  <cellXfs count="100">
    <xf numFmtId="0" fontId="0" fillId="0" borderId="0" pivotButton="0" quotePrefix="0" xfId="0"/>
    <xf numFmtId="0" fontId="1" fillId="0" borderId="0" pivotButton="0" quotePrefix="0" xfId="0"/>
    <xf numFmtId="0" fontId="1" fillId="0" borderId="2" pivotButton="0" quotePrefix="0" xfId="0"/>
    <xf numFmtId="0" fontId="2" fillId="0" borderId="0" pivotButton="0" quotePrefix="0" xfId="0"/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164" fontId="1" fillId="0" borderId="0" pivotButton="0" quotePrefix="0" xfId="0"/>
    <xf numFmtId="0" fontId="1" fillId="0" borderId="0" applyAlignment="1" pivotButton="0" quotePrefix="0" xfId="0">
      <alignment horizontal="left"/>
    </xf>
    <xf numFmtId="164" fontId="2" fillId="0" borderId="0" pivotButton="0" quotePrefix="0" xfId="0"/>
    <xf numFmtId="0" fontId="2" fillId="0" borderId="0" applyAlignment="1" pivotButton="0" quotePrefix="0" xfId="0">
      <alignment horizontal="left"/>
    </xf>
    <xf numFmtId="0" fontId="5" fillId="0" borderId="2" applyAlignment="1" pivotButton="0" quotePrefix="0" xfId="0">
      <alignment horizontal="center" vertical="center"/>
    </xf>
    <xf numFmtId="0" fontId="5" fillId="0" borderId="6" applyAlignment="1" pivotButton="0" quotePrefix="0" xfId="0">
      <alignment horizontal="center" vertical="center"/>
    </xf>
    <xf numFmtId="0" fontId="5" fillId="0" borderId="15" applyAlignment="1" pivotButton="0" quotePrefix="0" xfId="0">
      <alignment horizontal="center" vertical="center"/>
    </xf>
    <xf numFmtId="0" fontId="5" fillId="0" borderId="16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17" applyAlignment="1" pivotButton="0" quotePrefix="0" xfId="0">
      <alignment vertical="center"/>
    </xf>
    <xf numFmtId="0" fontId="2" fillId="0" borderId="11" applyAlignment="1" pivotButton="0" quotePrefix="0" xfId="0">
      <alignment horizontal="center" vertical="center"/>
    </xf>
    <xf numFmtId="0" fontId="2" fillId="0" borderId="13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/>
    </xf>
    <xf numFmtId="164" fontId="3" fillId="0" borderId="0" pivotButton="0" quotePrefix="0" xfId="0"/>
    <xf numFmtId="0" fontId="3" fillId="0" borderId="0" applyAlignment="1" pivotButton="0" quotePrefix="0" xfId="0">
      <alignment horizontal="left"/>
    </xf>
    <xf numFmtId="0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9" fillId="0" borderId="0" applyAlignment="1" pivotButton="0" quotePrefix="0" xfId="0">
      <alignment horizontal="right" vertical="center"/>
    </xf>
    <xf numFmtId="0" fontId="5" fillId="0" borderId="2" applyAlignment="1" pivotButton="0" quotePrefix="0" xfId="0">
      <alignment horizontal="left" vertical="center"/>
    </xf>
    <xf numFmtId="0" fontId="5" fillId="0" borderId="9" applyAlignment="1" pivotButton="0" quotePrefix="0" xfId="0">
      <alignment horizontal="left" vertical="center"/>
    </xf>
    <xf numFmtId="0" fontId="5" fillId="0" borderId="10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0" borderId="12" applyAlignment="1" pivotButton="0" quotePrefix="0" xfId="0">
      <alignment horizontal="left" vertical="center"/>
    </xf>
    <xf numFmtId="0" fontId="6" fillId="0" borderId="0" applyAlignment="1" pivotButton="0" quotePrefix="0" xfId="0">
      <alignment vertical="center"/>
    </xf>
    <xf numFmtId="0" fontId="5" fillId="0" borderId="1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20" fontId="2" fillId="0" borderId="2" applyAlignment="1" pivotButton="0" quotePrefix="0" xfId="0">
      <alignment horizontal="center" vertical="center"/>
    </xf>
    <xf numFmtId="20" fontId="2" fillId="0" borderId="10" applyAlignment="1" pivotButton="0" quotePrefix="0" xfId="0">
      <alignment horizontal="center" vertical="center"/>
    </xf>
    <xf numFmtId="20" fontId="2" fillId="0" borderId="1" applyAlignment="1" pivotButton="0" quotePrefix="0" xfId="0">
      <alignment horizontal="center" vertical="center"/>
    </xf>
    <xf numFmtId="0" fontId="7" fillId="0" borderId="0" pivotButton="0" quotePrefix="0" xfId="0"/>
    <xf numFmtId="0" fontId="2" fillId="0" borderId="2" applyAlignment="1" pivotButton="0" quotePrefix="0" xfId="0">
      <alignment horizontal="center" vertical="center"/>
    </xf>
    <xf numFmtId="164" fontId="5" fillId="0" borderId="7" applyAlignment="1" pivotButton="0" quotePrefix="0" xfId="0">
      <alignment horizontal="right" vertical="center"/>
    </xf>
    <xf numFmtId="164" fontId="5" fillId="0" borderId="8" applyAlignment="1" pivotButton="0" quotePrefix="0" xfId="0">
      <alignment horizontal="right" vertical="center"/>
    </xf>
    <xf numFmtId="164" fontId="5" fillId="0" borderId="19" applyAlignment="1" pivotButton="0" quotePrefix="0" xfId="0">
      <alignment horizontal="right" vertical="center"/>
    </xf>
    <xf numFmtId="0" fontId="10" fillId="0" borderId="18" applyAlignment="1" pivotButton="0" quotePrefix="0" xfId="0">
      <alignment vertical="center"/>
    </xf>
    <xf numFmtId="0" fontId="2" fillId="0" borderId="18" applyAlignment="1" pivotButton="0" quotePrefix="0" xfId="0">
      <alignment vertical="center"/>
    </xf>
    <xf numFmtId="0" fontId="11" fillId="0" borderId="18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14" fontId="7" fillId="0" borderId="0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14" fontId="0" fillId="0" borderId="0" applyAlignment="1" pivotButton="0" quotePrefix="0" xfId="0">
      <alignment horizontal="right"/>
    </xf>
    <xf numFmtId="0" fontId="7" fillId="0" borderId="0" applyAlignment="1" pivotButton="0" quotePrefix="0" xfId="0">
      <alignment horizontal="center"/>
    </xf>
    <xf numFmtId="165" fontId="1" fillId="0" borderId="0" pivotButton="0" quotePrefix="0" xfId="0"/>
    <xf numFmtId="14" fontId="12" fillId="0" borderId="0" applyAlignment="1" pivotButton="0" quotePrefix="0" xfId="1">
      <alignment horizontal="left"/>
    </xf>
    <xf numFmtId="165" fontId="7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right"/>
    </xf>
    <xf numFmtId="0" fontId="2" fillId="0" borderId="20" applyAlignment="1" pivotButton="0" quotePrefix="0" xfId="0">
      <alignment vertical="center"/>
    </xf>
    <xf numFmtId="166" fontId="0" fillId="0" borderId="0" pivotButton="0" quotePrefix="0" xfId="0"/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20" fontId="2" fillId="0" borderId="11" applyAlignment="1" pivotButton="0" quotePrefix="0" xfId="0">
      <alignment horizontal="center" vertical="center"/>
    </xf>
    <xf numFmtId="167" fontId="0" fillId="0" borderId="0" applyAlignment="1" pivotButton="0" quotePrefix="0" xfId="0">
      <alignment vertical="center"/>
    </xf>
    <xf numFmtId="0" fontId="4" fillId="0" borderId="3" applyAlignment="1" pivotButton="0" quotePrefix="0" xfId="0">
      <alignment horizontal="center" vertical="center"/>
    </xf>
    <xf numFmtId="0" fontId="4" fillId="0" borderId="14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/>
    </xf>
    <xf numFmtId="168" fontId="2" fillId="0" borderId="17" applyAlignment="1" pivotButton="0" quotePrefix="0" xfId="0">
      <alignment vertical="center"/>
    </xf>
    <xf numFmtId="164" fontId="1" fillId="0" borderId="0" pivotButton="0" quotePrefix="0" xfId="0"/>
    <xf numFmtId="164" fontId="2" fillId="0" borderId="0" pivotButton="0" quotePrefix="0" xfId="0"/>
    <xf numFmtId="0" fontId="4" fillId="0" borderId="21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4" pivotButton="0" quotePrefix="0" xfId="0"/>
    <xf numFmtId="0" fontId="5" fillId="0" borderId="5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5" pivotButton="0" quotePrefix="0" xfId="0"/>
    <xf numFmtId="164" fontId="5" fillId="0" borderId="7" applyAlignment="1" pivotButton="0" quotePrefix="0" xfId="0">
      <alignment horizontal="right" vertical="center"/>
    </xf>
    <xf numFmtId="170" fontId="2" fillId="0" borderId="2" applyAlignment="1" pivotButton="0" quotePrefix="0" xfId="0">
      <alignment horizontal="center" vertical="center"/>
    </xf>
    <xf numFmtId="170" fontId="2" fillId="0" borderId="6" applyAlignment="1" pivotButton="0" quotePrefix="0" xfId="0">
      <alignment horizontal="center" vertical="center"/>
    </xf>
    <xf numFmtId="164" fontId="5" fillId="0" borderId="8" applyAlignment="1" pivotButton="0" quotePrefix="0" xfId="0">
      <alignment horizontal="right" vertical="center"/>
    </xf>
    <xf numFmtId="170" fontId="2" fillId="0" borderId="10" applyAlignment="1" pivotButton="0" quotePrefix="0" xfId="0">
      <alignment horizontal="center" vertical="center"/>
    </xf>
    <xf numFmtId="170" fontId="2" fillId="0" borderId="11" applyAlignment="1" pivotButton="0" quotePrefix="0" xfId="0">
      <alignment horizontal="center" vertical="center"/>
    </xf>
    <xf numFmtId="164" fontId="5" fillId="0" borderId="19" applyAlignment="1" pivotButton="0" quotePrefix="0" xfId="0">
      <alignment horizontal="right" vertical="center"/>
    </xf>
    <xf numFmtId="170" fontId="2" fillId="0" borderId="1" applyAlignment="1" pivotButton="0" quotePrefix="0" xfId="0">
      <alignment horizontal="center" vertical="center"/>
    </xf>
    <xf numFmtId="170" fontId="2" fillId="0" borderId="13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/>
    </xf>
    <xf numFmtId="164" fontId="5" fillId="0" borderId="0" applyAlignment="1" pivotButton="0" quotePrefix="0" xfId="0">
      <alignment horizontal="right" vertical="center"/>
    </xf>
    <xf numFmtId="1" fontId="14" fillId="0" borderId="0" applyAlignment="1" pivotButton="0" quotePrefix="0" xfId="0">
      <alignment horizontal="center" vertical="center"/>
    </xf>
    <xf numFmtId="169" fontId="14" fillId="0" borderId="0" applyAlignment="1" pivotButton="0" quotePrefix="0" xfId="0">
      <alignment horizontal="center" vertical="center"/>
    </xf>
    <xf numFmtId="169" fontId="5" fillId="0" borderId="0" applyAlignment="1" pivotButton="0" quotePrefix="0" xfId="0">
      <alignment horizontal="center" vertical="center"/>
    </xf>
    <xf numFmtId="164" fontId="3" fillId="0" borderId="0" pivotButton="0" quotePrefix="0" xfId="0"/>
    <xf numFmtId="165" fontId="7" fillId="0" borderId="0" applyAlignment="1" pivotButton="0" quotePrefix="0" xfId="0">
      <alignment horizontal="center"/>
    </xf>
    <xf numFmtId="166" fontId="0" fillId="0" borderId="0" pivotButton="0" quotePrefix="0" xfId="0"/>
    <xf numFmtId="165" fontId="0" fillId="0" borderId="0" applyAlignment="1" pivotButton="0" quotePrefix="0" xfId="0">
      <alignment horizontal="right"/>
    </xf>
    <xf numFmtId="165" fontId="1" fillId="0" borderId="0" pivotButton="0" quotePrefix="0" xfId="0"/>
  </cellXfs>
  <cellStyles count="2">
    <cellStyle name="標準" xfId="0" builtinId="0"/>
    <cellStyle name="ハイパーリンク" xfId="1" builtinId="8"/>
  </cellStyles>
  <dxfs count="1">
    <dxf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K2" sqref="K2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1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IF(ISNUMBER($D7),IF($D7&lt;1,$D7,(INT($D7/100)*60+MOD($D7,100))/1440),IFERROR(TIMEVALUE(SUBSTITUTE($D7,"：",":")),""))</f>
        <v/>
      </c>
      <c r="O7">
        <f>IF(ISNUMBER($F7),IF($F7&lt;1,$F7,(INT($F7/100)*60+MOD($F7,100))/1440),IFERROR(TIMEVALUE(SUBSTITUTE($F7,"：",":")),""))</f>
        <v/>
      </c>
      <c r="P7">
        <f>IF(ISNUMBER($G7),IF($G7&lt;1,$G7,(INT($G7/100)*60+MOD($G7,100))/1440),IFERROR(TIMEVALUE(SUBSTITUTE($G7,"：",":")),""))</f>
        <v/>
      </c>
      <c r="Q7">
        <f>IF(ISNUMBER($H7),IF($H7&lt;1,$H7,(INT($H7/100)*60+MOD($H7,100))/1440),IFERROR(TIMEVALUE(SUBSTITUTE($H7,"：",":")),""))</f>
        <v/>
      </c>
      <c r="R7">
        <f>IF(ISNUMBER($I7),IF($I7&lt;1,$I7,(INT($I7/100)*60+MOD($I7,100))/1440),IFERROR(TIMEVALUE(SUBSTITUTE($I7,"：",":")),""))</f>
        <v/>
      </c>
      <c r="S7">
        <f>IF(ISNUMBER($J7),IF($J7&lt;1,$J7,(INT($J7/100)*60+MOD($J7,100))/1440),IFERROR(TIMEVALUE(SUBSTITUTE($J7,"：",":")),""))</f>
        <v/>
      </c>
      <c r="T7">
        <f>IF(OR($N7="",$O7=""),"",MAX(0,MOD($O7-$N7,1)-MAX(0,MIN($O7,13/24)-MAX($N7,0.5))))</f>
        <v/>
      </c>
      <c r="U7">
        <f>IF($A7="","",IF(ISNUMBER(MATCH($A7,祝日リスト!$A$2:$A$40,0)),"祝",IF(WEEKDAY($A7,2)=6,"土",IF(WEEKDAY($A7,2)=7,"日","平"))))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IF(ISNUMBER($D8),IF($D8&lt;1,$D8,(INT($D8/100)*60+MOD($D8,100))/1440),IFERROR(TIMEVALUE(SUBSTITUTE($D8,"：",":")),""))</f>
        <v/>
      </c>
      <c r="O8" s="35">
        <f>IF(ISNUMBER($F8),IF($F8&lt;1,$F8,(INT($F8/100)*60+MOD($F8,100))/1440),IFERROR(TIMEVALUE(SUBSTITUTE($F8,"：",":")),""))</f>
        <v/>
      </c>
      <c r="P8">
        <f>IF(ISNUMBER($G8),IF($G8&lt;1,$G8,(INT($G8/100)*60+MOD($G8,100))/1440),IFERROR(TIMEVALUE(SUBSTITUTE($G8,"：",":")),""))</f>
        <v/>
      </c>
      <c r="Q8">
        <f>IF(ISNUMBER($H8),IF($H8&lt;1,$H8,(INT($H8/100)*60+MOD($H8,100))/1440),IFERROR(TIMEVALUE(SUBSTITUTE($H8,"：",":")),""))</f>
        <v/>
      </c>
      <c r="R8">
        <f>IF(ISNUMBER($I8),IF($I8&lt;1,$I8,(INT($I8/100)*60+MOD($I8,100))/1440),IFERROR(TIMEVALUE(SUBSTITUTE($I8,"：",":")),""))</f>
        <v/>
      </c>
      <c r="S8">
        <f>IF(ISNUMBER($J8),IF($J8&lt;1,$J8,(INT($J8/100)*60+MOD($J8,100))/1440),IFERROR(TIMEVALUE(SUBSTITUTE($J8,"：",":")),""))</f>
        <v/>
      </c>
      <c r="T8">
        <f>IF(OR($N8="",$O8=""),"",MAX(0,MOD($O8-$N8,1)-MAX(0,MIN($O8,13/24)-MAX($N8,0.5))))</f>
        <v/>
      </c>
      <c r="U8">
        <f>IF($A8="","",IF(ISNUMBER(MATCH($A8,祝日リスト!$A$2:$A$40,0)),"祝",IF(WEEKDAY($A8,2)=6,"土",IF(WEEKDAY($A8,2)=7,"日","平"))))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IF(ISNUMBER($D9),IF($D9&lt;1,$D9,(INT($D9/100)*60+MOD($D9,100))/1440),IFERROR(TIMEVALUE(SUBSTITUTE($D9,"：",":")),""))</f>
        <v/>
      </c>
      <c r="O9" s="35">
        <f>IF(ISNUMBER($F9),IF($F9&lt;1,$F9,(INT($F9/100)*60+MOD($F9,100))/1440),IFERROR(TIMEVALUE(SUBSTITUTE($F9,"：",":")),""))</f>
        <v/>
      </c>
      <c r="P9">
        <f>IF(ISNUMBER($G9),IF($G9&lt;1,$G9,(INT($G9/100)*60+MOD($G9,100))/1440),IFERROR(TIMEVALUE(SUBSTITUTE($G9,"：",":")),""))</f>
        <v/>
      </c>
      <c r="Q9">
        <f>IF(ISNUMBER($H9),IF($H9&lt;1,$H9,(INT($H9/100)*60+MOD($H9,100))/1440),IFERROR(TIMEVALUE(SUBSTITUTE($H9,"：",":")),""))</f>
        <v/>
      </c>
      <c r="R9">
        <f>IF(ISNUMBER($I9),IF($I9&lt;1,$I9,(INT($I9/100)*60+MOD($I9,100))/1440),IFERROR(TIMEVALUE(SUBSTITUTE($I9,"：",":")),""))</f>
        <v/>
      </c>
      <c r="S9">
        <f>IF(ISNUMBER($J9),IF($J9&lt;1,$J9,(INT($J9/100)*60+MOD($J9,100))/1440),IFERROR(TIMEVALUE(SUBSTITUTE($J9,"：",":")),""))</f>
        <v/>
      </c>
      <c r="T9">
        <f>IF(OR($N9="",$O9=""),"",MAX(0,MOD($O9-$N9,1)-MAX(0,MIN($O9,13/24)-MAX($N9,0.5))))</f>
        <v/>
      </c>
      <c r="U9">
        <f>IF($A9="","",IF(ISNUMBER(MATCH($A9,祝日リスト!$A$2:$A$40,0)),"祝",IF(WEEKDAY($A9,2)=6,"土",IF(WEEKDAY($A9,2)=7,"日","平"))))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IF(ISNUMBER($D10),IF($D10&lt;1,$D10,(INT($D10/100)*60+MOD($D10,100))/1440),IFERROR(TIMEVALUE(SUBSTITUTE($D10,"：",":")),""))</f>
        <v/>
      </c>
      <c r="O10" s="35">
        <f>IF(ISNUMBER($F10),IF($F10&lt;1,$F10,(INT($F10/100)*60+MOD($F10,100))/1440),IFERROR(TIMEVALUE(SUBSTITUTE($F10,"：",":")),""))</f>
        <v/>
      </c>
      <c r="P10">
        <f>IF(ISNUMBER($G10),IF($G10&lt;1,$G10,(INT($G10/100)*60+MOD($G10,100))/1440),IFERROR(TIMEVALUE(SUBSTITUTE($G10,"：",":")),""))</f>
        <v/>
      </c>
      <c r="Q10">
        <f>IF(ISNUMBER($H10),IF($H10&lt;1,$H10,(INT($H10/100)*60+MOD($H10,100))/1440),IFERROR(TIMEVALUE(SUBSTITUTE($H10,"：",":")),""))</f>
        <v/>
      </c>
      <c r="R10">
        <f>IF(ISNUMBER($I10),IF($I10&lt;1,$I10,(INT($I10/100)*60+MOD($I10,100))/1440),IFERROR(TIMEVALUE(SUBSTITUTE($I10,"：",":")),""))</f>
        <v/>
      </c>
      <c r="S10">
        <f>IF(ISNUMBER($J10),IF($J10&lt;1,$J10,(INT($J10/100)*60+MOD($J10,100))/1440),IFERROR(TIMEVALUE(SUBSTITUTE($J10,"：",":")),""))</f>
        <v/>
      </c>
      <c r="T10">
        <f>IF(OR($N10="",$O10=""),"",MAX(0,MOD($O10-$N10,1)-MAX(0,MIN($O10,13/24)-MAX($N10,0.5))))</f>
        <v/>
      </c>
      <c r="U10">
        <f>IF($A10="","",IF(ISNUMBER(MATCH($A10,祝日リスト!$A$2:$A$40,0)),"祝",IF(WEEKDAY($A10,2)=6,"土",IF(WEEKDAY($A10,2)=7,"日","平"))))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IF(ISNUMBER($D11),IF($D11&lt;1,$D11,(INT($D11/100)*60+MOD($D11,100))/1440),IFERROR(TIMEVALUE(SUBSTITUTE($D11,"：",":")),""))</f>
        <v/>
      </c>
      <c r="O11" s="35">
        <f>IF(ISNUMBER($F11),IF($F11&lt;1,$F11,(INT($F11/100)*60+MOD($F11,100))/1440),IFERROR(TIMEVALUE(SUBSTITUTE($F11,"：",":")),""))</f>
        <v/>
      </c>
      <c r="P11">
        <f>IF(ISNUMBER($G11),IF($G11&lt;1,$G11,(INT($G11/100)*60+MOD($G11,100))/1440),IFERROR(TIMEVALUE(SUBSTITUTE($G11,"：",":")),""))</f>
        <v/>
      </c>
      <c r="Q11">
        <f>IF(ISNUMBER($H11),IF($H11&lt;1,$H11,(INT($H11/100)*60+MOD($H11,100))/1440),IFERROR(TIMEVALUE(SUBSTITUTE($H11,"：",":")),""))</f>
        <v/>
      </c>
      <c r="R11">
        <f>IF(ISNUMBER($I11),IF($I11&lt;1,$I11,(INT($I11/100)*60+MOD($I11,100))/1440),IFERROR(TIMEVALUE(SUBSTITUTE($I11,"：",":")),""))</f>
        <v/>
      </c>
      <c r="S11">
        <f>IF(ISNUMBER($J11),IF($J11&lt;1,$J11,(INT($J11/100)*60+MOD($J11,100))/1440),IFERROR(TIMEVALUE(SUBSTITUTE($J11,"：",":")),""))</f>
        <v/>
      </c>
      <c r="T11">
        <f>IF(OR($N11="",$O11=""),"",MAX(0,MOD($O11-$N11,1)-MAX(0,MIN($O11,13/24)-MAX($N11,0.5))))</f>
        <v/>
      </c>
      <c r="U11">
        <f>IF($A11="","",IF(ISNUMBER(MATCH($A11,祝日リスト!$A$2:$A$40,0)),"祝",IF(WEEKDAY($A11,2)=6,"土",IF(WEEKDAY($A11,2)=7,"日","平"))))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IF(ISNUMBER($D12),IF($D12&lt;1,$D12,(INT($D12/100)*60+MOD($D12,100))/1440),IFERROR(TIMEVALUE(SUBSTITUTE($D12,"：",":")),""))</f>
        <v/>
      </c>
      <c r="O12" s="35">
        <f>IF(ISNUMBER($F12),IF($F12&lt;1,$F12,(INT($F12/100)*60+MOD($F12,100))/1440),IFERROR(TIMEVALUE(SUBSTITUTE($F12,"：",":")),""))</f>
        <v/>
      </c>
      <c r="P12">
        <f>IF(ISNUMBER($G12),IF($G12&lt;1,$G12,(INT($G12/100)*60+MOD($G12,100))/1440),IFERROR(TIMEVALUE(SUBSTITUTE($G12,"：",":")),""))</f>
        <v/>
      </c>
      <c r="Q12">
        <f>IF(ISNUMBER($H12),IF($H12&lt;1,$H12,(INT($H12/100)*60+MOD($H12,100))/1440),IFERROR(TIMEVALUE(SUBSTITUTE($H12,"：",":")),""))</f>
        <v/>
      </c>
      <c r="R12">
        <f>IF(ISNUMBER($I12),IF($I12&lt;1,$I12,(INT($I12/100)*60+MOD($I12,100))/1440),IFERROR(TIMEVALUE(SUBSTITUTE($I12,"：",":")),""))</f>
        <v/>
      </c>
      <c r="S12">
        <f>IF(ISNUMBER($J12),IF($J12&lt;1,$J12,(INT($J12/100)*60+MOD($J12,100))/1440),IFERROR(TIMEVALUE(SUBSTITUTE($J12,"：",":")),""))</f>
        <v/>
      </c>
      <c r="T12">
        <f>IF(OR($N12="",$O12=""),"",MAX(0,MOD($O12-$N12,1)-MAX(0,MIN($O12,13/24)-MAX($N12,0.5))))</f>
        <v/>
      </c>
      <c r="U12">
        <f>IF($A12="","",IF(ISNUMBER(MATCH($A12,祝日リスト!$A$2:$A$40,0)),"祝",IF(WEEKDAY($A12,2)=6,"土",IF(WEEKDAY($A12,2)=7,"日","平"))))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IF(ISNUMBER($D13),IF($D13&lt;1,$D13,(INT($D13/100)*60+MOD($D13,100))/1440),IFERROR(TIMEVALUE(SUBSTITUTE($D13,"：",":")),""))</f>
        <v/>
      </c>
      <c r="O13" s="35">
        <f>IF(ISNUMBER($F13),IF($F13&lt;1,$F13,(INT($F13/100)*60+MOD($F13,100))/1440),IFERROR(TIMEVALUE(SUBSTITUTE($F13,"：",":")),""))</f>
        <v/>
      </c>
      <c r="P13">
        <f>IF(ISNUMBER($G13),IF($G13&lt;1,$G13,(INT($G13/100)*60+MOD($G13,100))/1440),IFERROR(TIMEVALUE(SUBSTITUTE($G13,"：",":")),""))</f>
        <v/>
      </c>
      <c r="Q13">
        <f>IF(ISNUMBER($H13),IF($H13&lt;1,$H13,(INT($H13/100)*60+MOD($H13,100))/1440),IFERROR(TIMEVALUE(SUBSTITUTE($H13,"：",":")),""))</f>
        <v/>
      </c>
      <c r="R13">
        <f>IF(ISNUMBER($I13),IF($I13&lt;1,$I13,(INT($I13/100)*60+MOD($I13,100))/1440),IFERROR(TIMEVALUE(SUBSTITUTE($I13,"：",":")),""))</f>
        <v/>
      </c>
      <c r="S13">
        <f>IF(ISNUMBER($J13),IF($J13&lt;1,$J13,(INT($J13/100)*60+MOD($J13,100))/1440),IFERROR(TIMEVALUE(SUBSTITUTE($J13,"：",":")),""))</f>
        <v/>
      </c>
      <c r="T13">
        <f>IF(OR($N13="",$O13=""),"",MAX(0,MOD($O13-$N13,1)-MAX(0,MIN($O13,13/24)-MAX($N13,0.5))))</f>
        <v/>
      </c>
      <c r="U13">
        <f>IF($A13="","",IF(ISNUMBER(MATCH($A13,祝日リスト!$A$2:$A$40,0)),"祝",IF(WEEKDAY($A13,2)=6,"土",IF(WEEKDAY($A13,2)=7,"日","平"))))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IF(ISNUMBER($D14),IF($D14&lt;1,$D14,(INT($D14/100)*60+MOD($D14,100))/1440),IFERROR(TIMEVALUE(SUBSTITUTE($D14,"：",":")),""))</f>
        <v/>
      </c>
      <c r="O14" s="35">
        <f>IF(ISNUMBER($F14),IF($F14&lt;1,$F14,(INT($F14/100)*60+MOD($F14,100))/1440),IFERROR(TIMEVALUE(SUBSTITUTE($F14,"：",":")),""))</f>
        <v/>
      </c>
      <c r="P14">
        <f>IF(ISNUMBER($G14),IF($G14&lt;1,$G14,(INT($G14/100)*60+MOD($G14,100))/1440),IFERROR(TIMEVALUE(SUBSTITUTE($G14,"：",":")),""))</f>
        <v/>
      </c>
      <c r="Q14">
        <f>IF(ISNUMBER($H14),IF($H14&lt;1,$H14,(INT($H14/100)*60+MOD($H14,100))/1440),IFERROR(TIMEVALUE(SUBSTITUTE($H14,"：",":")),""))</f>
        <v/>
      </c>
      <c r="R14">
        <f>IF(ISNUMBER($I14),IF($I14&lt;1,$I14,(INT($I14/100)*60+MOD($I14,100))/1440),IFERROR(TIMEVALUE(SUBSTITUTE($I14,"：",":")),""))</f>
        <v/>
      </c>
      <c r="S14">
        <f>IF(ISNUMBER($J14),IF($J14&lt;1,$J14,(INT($J14/100)*60+MOD($J14,100))/1440),IFERROR(TIMEVALUE(SUBSTITUTE($J14,"：",":")),""))</f>
        <v/>
      </c>
      <c r="T14">
        <f>IF(OR($N14="",$O14=""),"",MAX(0,MOD($O14-$N14,1)-MAX(0,MIN($O14,13/24)-MAX($N14,0.5))))</f>
        <v/>
      </c>
      <c r="U14">
        <f>IF($A14="","",IF(ISNUMBER(MATCH($A14,祝日リスト!$A$2:$A$40,0)),"祝",IF(WEEKDAY($A14,2)=6,"土",IF(WEEKDAY($A14,2)=7,"日","平"))))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IF(ISNUMBER($D15),IF($D15&lt;1,$D15,(INT($D15/100)*60+MOD($D15,100))/1440),IFERROR(TIMEVALUE(SUBSTITUTE($D15,"：",":")),""))</f>
        <v/>
      </c>
      <c r="O15" s="35">
        <f>IF(ISNUMBER($F15),IF($F15&lt;1,$F15,(INT($F15/100)*60+MOD($F15,100))/1440),IFERROR(TIMEVALUE(SUBSTITUTE($F15,"：",":")),""))</f>
        <v/>
      </c>
      <c r="P15">
        <f>IF(ISNUMBER($G15),IF($G15&lt;1,$G15,(INT($G15/100)*60+MOD($G15,100))/1440),IFERROR(TIMEVALUE(SUBSTITUTE($G15,"：",":")),""))</f>
        <v/>
      </c>
      <c r="Q15">
        <f>IF(ISNUMBER($H15),IF($H15&lt;1,$H15,(INT($H15/100)*60+MOD($H15,100))/1440),IFERROR(TIMEVALUE(SUBSTITUTE($H15,"：",":")),""))</f>
        <v/>
      </c>
      <c r="R15">
        <f>IF(ISNUMBER($I15),IF($I15&lt;1,$I15,(INT($I15/100)*60+MOD($I15,100))/1440),IFERROR(TIMEVALUE(SUBSTITUTE($I15,"：",":")),""))</f>
        <v/>
      </c>
      <c r="S15">
        <f>IF(ISNUMBER($J15),IF($J15&lt;1,$J15,(INT($J15/100)*60+MOD($J15,100))/1440),IFERROR(TIMEVALUE(SUBSTITUTE($J15,"：",":")),""))</f>
        <v/>
      </c>
      <c r="T15">
        <f>IF(OR($N15="",$O15=""),"",MAX(0,MOD($O15-$N15,1)-MAX(0,MIN($O15,13/24)-MAX($N15,0.5))))</f>
        <v/>
      </c>
      <c r="U15">
        <f>IF($A15="","",IF(ISNUMBER(MATCH($A15,祝日リスト!$A$2:$A$40,0)),"祝",IF(WEEKDAY($A15,2)=6,"土",IF(WEEKDAY($A15,2)=7,"日","平"))))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IF(ISNUMBER($D16),IF($D16&lt;1,$D16,(INT($D16/100)*60+MOD($D16,100))/1440),IFERROR(TIMEVALUE(SUBSTITUTE($D16,"：",":")),""))</f>
        <v/>
      </c>
      <c r="O16" s="35">
        <f>IF(ISNUMBER($F16),IF($F16&lt;1,$F16,(INT($F16/100)*60+MOD($F16,100))/1440),IFERROR(TIMEVALUE(SUBSTITUTE($F16,"：",":")),""))</f>
        <v/>
      </c>
      <c r="P16">
        <f>IF(ISNUMBER($G16),IF($G16&lt;1,$G16,(INT($G16/100)*60+MOD($G16,100))/1440),IFERROR(TIMEVALUE(SUBSTITUTE($G16,"：",":")),""))</f>
        <v/>
      </c>
      <c r="Q16">
        <f>IF(ISNUMBER($H16),IF($H16&lt;1,$H16,(INT($H16/100)*60+MOD($H16,100))/1440),IFERROR(TIMEVALUE(SUBSTITUTE($H16,"：",":")),""))</f>
        <v/>
      </c>
      <c r="R16">
        <f>IF(ISNUMBER($I16),IF($I16&lt;1,$I16,(INT($I16/100)*60+MOD($I16,100))/1440),IFERROR(TIMEVALUE(SUBSTITUTE($I16,"：",":")),""))</f>
        <v/>
      </c>
      <c r="S16">
        <f>IF(ISNUMBER($J16),IF($J16&lt;1,$J16,(INT($J16/100)*60+MOD($J16,100))/1440),IFERROR(TIMEVALUE(SUBSTITUTE($J16,"：",":")),""))</f>
        <v/>
      </c>
      <c r="T16">
        <f>IF(OR($N16="",$O16=""),"",MAX(0,MOD($O16-$N16,1)-MAX(0,MIN($O16,13/24)-MAX($N16,0.5))))</f>
        <v/>
      </c>
      <c r="U16">
        <f>IF($A16="","",IF(ISNUMBER(MATCH($A16,祝日リスト!$A$2:$A$40,0)),"祝",IF(WEEKDAY($A16,2)=6,"土",IF(WEEKDAY($A16,2)=7,"日","平"))))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IF(ISNUMBER($D17),IF($D17&lt;1,$D17,(INT($D17/100)*60+MOD($D17,100))/1440),IFERROR(TIMEVALUE(SUBSTITUTE($D17,"：",":")),""))</f>
        <v/>
      </c>
      <c r="O17" s="35">
        <f>IF(ISNUMBER($F17),IF($F17&lt;1,$F17,(INT($F17/100)*60+MOD($F17,100))/1440),IFERROR(TIMEVALUE(SUBSTITUTE($F17,"：",":")),""))</f>
        <v/>
      </c>
      <c r="P17">
        <f>IF(ISNUMBER($G17),IF($G17&lt;1,$G17,(INT($G17/100)*60+MOD($G17,100))/1440),IFERROR(TIMEVALUE(SUBSTITUTE($G17,"：",":")),""))</f>
        <v/>
      </c>
      <c r="Q17">
        <f>IF(ISNUMBER($H17),IF($H17&lt;1,$H17,(INT($H17/100)*60+MOD($H17,100))/1440),IFERROR(TIMEVALUE(SUBSTITUTE($H17,"：",":")),""))</f>
        <v/>
      </c>
      <c r="R17">
        <f>IF(ISNUMBER($I17),IF($I17&lt;1,$I17,(INT($I17/100)*60+MOD($I17,100))/1440),IFERROR(TIMEVALUE(SUBSTITUTE($I17,"：",":")),""))</f>
        <v/>
      </c>
      <c r="S17">
        <f>IF(ISNUMBER($J17),IF($J17&lt;1,$J17,(INT($J17/100)*60+MOD($J17,100))/1440),IFERROR(TIMEVALUE(SUBSTITUTE($J17,"：",":")),""))</f>
        <v/>
      </c>
      <c r="T17">
        <f>IF(OR($N17="",$O17=""),"",MAX(0,MOD($O17-$N17,1)-MAX(0,MIN($O17,13/24)-MAX($N17,0.5))))</f>
        <v/>
      </c>
      <c r="U17">
        <f>IF($A17="","",IF(ISNUMBER(MATCH($A17,祝日リスト!$A$2:$A$40,0)),"祝",IF(WEEKDAY($A17,2)=6,"土",IF(WEEKDAY($A17,2)=7,"日","平"))))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IF(ISNUMBER($D18),IF($D18&lt;1,$D18,(INT($D18/100)*60+MOD($D18,100))/1440),IFERROR(TIMEVALUE(SUBSTITUTE($D18,"：",":")),""))</f>
        <v/>
      </c>
      <c r="O18" s="35">
        <f>IF(ISNUMBER($F18),IF($F18&lt;1,$F18,(INT($F18/100)*60+MOD($F18,100))/1440),IFERROR(TIMEVALUE(SUBSTITUTE($F18,"：",":")),""))</f>
        <v/>
      </c>
      <c r="P18">
        <f>IF(ISNUMBER($G18),IF($G18&lt;1,$G18,(INT($G18/100)*60+MOD($G18,100))/1440),IFERROR(TIMEVALUE(SUBSTITUTE($G18,"：",":")),""))</f>
        <v/>
      </c>
      <c r="Q18">
        <f>IF(ISNUMBER($H18),IF($H18&lt;1,$H18,(INT($H18/100)*60+MOD($H18,100))/1440),IFERROR(TIMEVALUE(SUBSTITUTE($H18,"：",":")),""))</f>
        <v/>
      </c>
      <c r="R18">
        <f>IF(ISNUMBER($I18),IF($I18&lt;1,$I18,(INT($I18/100)*60+MOD($I18,100))/1440),IFERROR(TIMEVALUE(SUBSTITUTE($I18,"：",":")),""))</f>
        <v/>
      </c>
      <c r="S18">
        <f>IF(ISNUMBER($J18),IF($J18&lt;1,$J18,(INT($J18/100)*60+MOD($J18,100))/1440),IFERROR(TIMEVALUE(SUBSTITUTE($J18,"：",":")),""))</f>
        <v/>
      </c>
      <c r="T18">
        <f>IF(OR($N18="",$O18=""),"",MAX(0,MOD($O18-$N18,1)-MAX(0,MIN($O18,13/24)-MAX($N18,0.5))))</f>
        <v/>
      </c>
      <c r="U18">
        <f>IF($A18="","",IF(ISNUMBER(MATCH($A18,祝日リスト!$A$2:$A$40,0)),"祝",IF(WEEKDAY($A18,2)=6,"土",IF(WEEKDAY($A18,2)=7,"日","平"))))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IF(ISNUMBER($D19),IF($D19&lt;1,$D19,(INT($D19/100)*60+MOD($D19,100))/1440),IFERROR(TIMEVALUE(SUBSTITUTE($D19,"：",":")),""))</f>
        <v/>
      </c>
      <c r="O19" s="35">
        <f>IF(ISNUMBER($F19),IF($F19&lt;1,$F19,(INT($F19/100)*60+MOD($F19,100))/1440),IFERROR(TIMEVALUE(SUBSTITUTE($F19,"：",":")),""))</f>
        <v/>
      </c>
      <c r="P19">
        <f>IF(ISNUMBER($G19),IF($G19&lt;1,$G19,(INT($G19/100)*60+MOD($G19,100))/1440),IFERROR(TIMEVALUE(SUBSTITUTE($G19,"：",":")),""))</f>
        <v/>
      </c>
      <c r="Q19">
        <f>IF(ISNUMBER($H19),IF($H19&lt;1,$H19,(INT($H19/100)*60+MOD($H19,100))/1440),IFERROR(TIMEVALUE(SUBSTITUTE($H19,"：",":")),""))</f>
        <v/>
      </c>
      <c r="R19">
        <f>IF(ISNUMBER($I19),IF($I19&lt;1,$I19,(INT($I19/100)*60+MOD($I19,100))/1440),IFERROR(TIMEVALUE(SUBSTITUTE($I19,"：",":")),""))</f>
        <v/>
      </c>
      <c r="S19">
        <f>IF(ISNUMBER($J19),IF($J19&lt;1,$J19,(INT($J19/100)*60+MOD($J19,100))/1440),IFERROR(TIMEVALUE(SUBSTITUTE($J19,"：",":")),""))</f>
        <v/>
      </c>
      <c r="T19">
        <f>IF(OR($N19="",$O19=""),"",MAX(0,MOD($O19-$N19,1)-MAX(0,MIN($O19,13/24)-MAX($N19,0.5))))</f>
        <v/>
      </c>
      <c r="U19">
        <f>IF($A19="","",IF(ISNUMBER(MATCH($A19,祝日リスト!$A$2:$A$40,0)),"祝",IF(WEEKDAY($A19,2)=6,"土",IF(WEEKDAY($A19,2)=7,"日","平"))))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IF(ISNUMBER($D20),IF($D20&lt;1,$D20,(INT($D20/100)*60+MOD($D20,100))/1440),IFERROR(TIMEVALUE(SUBSTITUTE($D20,"：",":")),""))</f>
        <v/>
      </c>
      <c r="O20" s="35">
        <f>IF(ISNUMBER($F20),IF($F20&lt;1,$F20,(INT($F20/100)*60+MOD($F20,100))/1440),IFERROR(TIMEVALUE(SUBSTITUTE($F20,"：",":")),""))</f>
        <v/>
      </c>
      <c r="P20">
        <f>IF(ISNUMBER($G20),IF($G20&lt;1,$G20,(INT($G20/100)*60+MOD($G20,100))/1440),IFERROR(TIMEVALUE(SUBSTITUTE($G20,"：",":")),""))</f>
        <v/>
      </c>
      <c r="Q20">
        <f>IF(ISNUMBER($H20),IF($H20&lt;1,$H20,(INT($H20/100)*60+MOD($H20,100))/1440),IFERROR(TIMEVALUE(SUBSTITUTE($H20,"：",":")),""))</f>
        <v/>
      </c>
      <c r="R20">
        <f>IF(ISNUMBER($I20),IF($I20&lt;1,$I20,(INT($I20/100)*60+MOD($I20,100))/1440),IFERROR(TIMEVALUE(SUBSTITUTE($I20,"：",":")),""))</f>
        <v/>
      </c>
      <c r="S20">
        <f>IF(ISNUMBER($J20),IF($J20&lt;1,$J20,(INT($J20/100)*60+MOD($J20,100))/1440),IFERROR(TIMEVALUE(SUBSTITUTE($J20,"：",":")),""))</f>
        <v/>
      </c>
      <c r="T20">
        <f>IF(OR($N20="",$O20=""),"",MAX(0,MOD($O20-$N20,1)-MAX(0,MIN($O20,13/24)-MAX($N20,0.5))))</f>
        <v/>
      </c>
      <c r="U20">
        <f>IF($A20="","",IF(ISNUMBER(MATCH($A20,祝日リスト!$A$2:$A$40,0)),"祝",IF(WEEKDAY($A20,2)=6,"土",IF(WEEKDAY($A20,2)=7,"日","平"))))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IF(ISNUMBER($D21),IF($D21&lt;1,$D21,(INT($D21/100)*60+MOD($D21,100))/1440),IFERROR(TIMEVALUE(SUBSTITUTE($D21,"：",":")),""))</f>
        <v/>
      </c>
      <c r="O21" s="35">
        <f>IF(ISNUMBER($F21),IF($F21&lt;1,$F21,(INT($F21/100)*60+MOD($F21,100))/1440),IFERROR(TIMEVALUE(SUBSTITUTE($F21,"：",":")),""))</f>
        <v/>
      </c>
      <c r="P21">
        <f>IF(ISNUMBER($G21),IF($G21&lt;1,$G21,(INT($G21/100)*60+MOD($G21,100))/1440),IFERROR(TIMEVALUE(SUBSTITUTE($G21,"：",":")),""))</f>
        <v/>
      </c>
      <c r="Q21">
        <f>IF(ISNUMBER($H21),IF($H21&lt;1,$H21,(INT($H21/100)*60+MOD($H21,100))/1440),IFERROR(TIMEVALUE(SUBSTITUTE($H21,"：",":")),""))</f>
        <v/>
      </c>
      <c r="R21">
        <f>IF(ISNUMBER($I21),IF($I21&lt;1,$I21,(INT($I21/100)*60+MOD($I21,100))/1440),IFERROR(TIMEVALUE(SUBSTITUTE($I21,"：",":")),""))</f>
        <v/>
      </c>
      <c r="S21">
        <f>IF(ISNUMBER($J21),IF($J21&lt;1,$J21,(INT($J21/100)*60+MOD($J21,100))/1440),IFERROR(TIMEVALUE(SUBSTITUTE($J21,"：",":")),""))</f>
        <v/>
      </c>
      <c r="T21">
        <f>IF(OR($N21="",$O21=""),"",MAX(0,MOD($O21-$N21,1)-MAX(0,MIN($O21,13/24)-MAX($N21,0.5))))</f>
        <v/>
      </c>
      <c r="U21">
        <f>IF($A21="","",IF(ISNUMBER(MATCH($A21,祝日リスト!$A$2:$A$40,0)),"祝",IF(WEEKDAY($A21,2)=6,"土",IF(WEEKDAY($A21,2)=7,"日","平"))))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IF(ISNUMBER($D22),IF($D22&lt;1,$D22,(INT($D22/100)*60+MOD($D22,100))/1440),IFERROR(TIMEVALUE(SUBSTITUTE($D22,"：",":")),""))</f>
        <v/>
      </c>
      <c r="O22" s="35">
        <f>IF(ISNUMBER($F22),IF($F22&lt;1,$F22,(INT($F22/100)*60+MOD($F22,100))/1440),IFERROR(TIMEVALUE(SUBSTITUTE($F22,"：",":")),""))</f>
        <v/>
      </c>
      <c r="P22" s="4">
        <f>IF(ISNUMBER($G22),IF($G22&lt;1,$G22,(INT($G22/100)*60+MOD($G22,100))/1440),IFERROR(TIMEVALUE(SUBSTITUTE($G22,"：",":")),""))</f>
        <v/>
      </c>
      <c r="Q22" s="4">
        <f>IF(ISNUMBER($H22),IF($H22&lt;1,$H22,(INT($H22/100)*60+MOD($H22,100))/1440),IFERROR(TIMEVALUE(SUBSTITUTE($H22,"：",":")),""))</f>
        <v/>
      </c>
      <c r="R22" s="4">
        <f>IF(ISNUMBER($I22),IF($I22&lt;1,$I22,(INT($I22/100)*60+MOD($I22,100))/1440),IFERROR(TIMEVALUE(SUBSTITUTE($I22,"：",":")),""))</f>
        <v/>
      </c>
      <c r="S22" s="4">
        <f>IF(ISNUMBER($J22),IF($J22&lt;1,$J22,(INT($J22/100)*60+MOD($J22,100))/1440),IFERROR(TIMEVALUE(SUBSTITUTE($J22,"：",":")),""))</f>
        <v/>
      </c>
      <c r="T22" s="4">
        <f>IF(OR($N22="",$O22=""),"",MAX(0,MOD($O22-$N22,1)-MAX(0,MIN($O22,13/24)-MAX($N22,0.5))))</f>
        <v/>
      </c>
      <c r="U22" s="4">
        <f>IF($A22="","",IF(ISNUMBER(MATCH($A22,祝日リスト!$A$2:$A$40,0)),"祝",IF(WEEKDAY($A22,2)=6,"土",IF(WEEKDAY($A22,2)=7,"日","平"))))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IF(ISNUMBER($D23),IF($D23&lt;1,$D23,(INT($D23/100)*60+MOD($D23,100))/1440),IFERROR(TIMEVALUE(SUBSTITUTE($D23,"：",":")),""))</f>
        <v/>
      </c>
      <c r="O23" s="35">
        <f>IF(ISNUMBER($F23),IF($F23&lt;1,$F23,(INT($F23/100)*60+MOD($F23,100))/1440),IFERROR(TIMEVALUE(SUBSTITUTE($F23,"：",":")),""))</f>
        <v/>
      </c>
      <c r="P23">
        <f>IF(ISNUMBER($G23),IF($G23&lt;1,$G23,(INT($G23/100)*60+MOD($G23,100))/1440),IFERROR(TIMEVALUE(SUBSTITUTE($G23,"：",":")),""))</f>
        <v/>
      </c>
      <c r="Q23">
        <f>IF(ISNUMBER($H23),IF($H23&lt;1,$H23,(INT($H23/100)*60+MOD($H23,100))/1440),IFERROR(TIMEVALUE(SUBSTITUTE($H23,"：",":")),""))</f>
        <v/>
      </c>
      <c r="R23">
        <f>IF(ISNUMBER($I23),IF($I23&lt;1,$I23,(INT($I23/100)*60+MOD($I23,100))/1440),IFERROR(TIMEVALUE(SUBSTITUTE($I23,"：",":")),""))</f>
        <v/>
      </c>
      <c r="S23">
        <f>IF(ISNUMBER($J23),IF($J23&lt;1,$J23,(INT($J23/100)*60+MOD($J23,100))/1440),IFERROR(TIMEVALUE(SUBSTITUTE($J23,"：",":")),""))</f>
        <v/>
      </c>
      <c r="T23">
        <f>IF(OR($N23="",$O23=""),"",MAX(0,MOD($O23-$N23,1)-MAX(0,MIN($O23,13/24)-MAX($N23,0.5))))</f>
        <v/>
      </c>
      <c r="U23">
        <f>IF($A23="","",IF(ISNUMBER(MATCH($A23,祝日リスト!$A$2:$A$40,0)),"祝",IF(WEEKDAY($A23,2)=6,"土",IF(WEEKDAY($A23,2)=7,"日","平"))))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IF(ISNUMBER($D24),IF($D24&lt;1,$D24,(INT($D24/100)*60+MOD($D24,100))/1440),IFERROR(TIMEVALUE(SUBSTITUTE($D24,"：",":")),""))</f>
        <v/>
      </c>
      <c r="O24" s="35">
        <f>IF(ISNUMBER($F24),IF($F24&lt;1,$F24,(INT($F24/100)*60+MOD($F24,100))/1440),IFERROR(TIMEVALUE(SUBSTITUTE($F24,"：",":")),""))</f>
        <v/>
      </c>
      <c r="P24">
        <f>IF(ISNUMBER($G24),IF($G24&lt;1,$G24,(INT($G24/100)*60+MOD($G24,100))/1440),IFERROR(TIMEVALUE(SUBSTITUTE($G24,"：",":")),""))</f>
        <v/>
      </c>
      <c r="Q24">
        <f>IF(ISNUMBER($H24),IF($H24&lt;1,$H24,(INT($H24/100)*60+MOD($H24,100))/1440),IFERROR(TIMEVALUE(SUBSTITUTE($H24,"：",":")),""))</f>
        <v/>
      </c>
      <c r="R24">
        <f>IF(ISNUMBER($I24),IF($I24&lt;1,$I24,(INT($I24/100)*60+MOD($I24,100))/1440),IFERROR(TIMEVALUE(SUBSTITUTE($I24,"：",":")),""))</f>
        <v/>
      </c>
      <c r="S24">
        <f>IF(ISNUMBER($J24),IF($J24&lt;1,$J24,(INT($J24/100)*60+MOD($J24,100))/1440),IFERROR(TIMEVALUE(SUBSTITUTE($J24,"：",":")),""))</f>
        <v/>
      </c>
      <c r="T24">
        <f>IF(OR($N24="",$O24=""),"",MAX(0,MOD($O24-$N24,1)-MAX(0,MIN($O24,13/24)-MAX($N24,0.5))))</f>
        <v/>
      </c>
      <c r="U24">
        <f>IF($A24="","",IF(ISNUMBER(MATCH($A24,祝日リスト!$A$2:$A$40,0)),"祝",IF(WEEKDAY($A24,2)=6,"土",IF(WEEKDAY($A24,2)=7,"日","平"))))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IF(ISNUMBER($D25),IF($D25&lt;1,$D25,(INT($D25/100)*60+MOD($D25,100))/1440),IFERROR(TIMEVALUE(SUBSTITUTE($D25,"：",":")),""))</f>
        <v/>
      </c>
      <c r="O25" s="35">
        <f>IF(ISNUMBER($F25),IF($F25&lt;1,$F25,(INT($F25/100)*60+MOD($F25,100))/1440),IFERROR(TIMEVALUE(SUBSTITUTE($F25,"：",":")),""))</f>
        <v/>
      </c>
      <c r="P25">
        <f>IF(ISNUMBER($G25),IF($G25&lt;1,$G25,(INT($G25/100)*60+MOD($G25,100))/1440),IFERROR(TIMEVALUE(SUBSTITUTE($G25,"：",":")),""))</f>
        <v/>
      </c>
      <c r="Q25">
        <f>IF(ISNUMBER($H25),IF($H25&lt;1,$H25,(INT($H25/100)*60+MOD($H25,100))/1440),IFERROR(TIMEVALUE(SUBSTITUTE($H25,"：",":")),""))</f>
        <v/>
      </c>
      <c r="R25">
        <f>IF(ISNUMBER($I25),IF($I25&lt;1,$I25,(INT($I25/100)*60+MOD($I25,100))/1440),IFERROR(TIMEVALUE(SUBSTITUTE($I25,"：",":")),""))</f>
        <v/>
      </c>
      <c r="S25">
        <f>IF(ISNUMBER($J25),IF($J25&lt;1,$J25,(INT($J25/100)*60+MOD($J25,100))/1440),IFERROR(TIMEVALUE(SUBSTITUTE($J25,"：",":")),""))</f>
        <v/>
      </c>
      <c r="T25">
        <f>IF(OR($N25="",$O25=""),"",MAX(0,MOD($O25-$N25,1)-MAX(0,MIN($O25,13/24)-MAX($N25,0.5))))</f>
        <v/>
      </c>
      <c r="U25">
        <f>IF($A25="","",IF(ISNUMBER(MATCH($A25,祝日リスト!$A$2:$A$40,0)),"祝",IF(WEEKDAY($A25,2)=6,"土",IF(WEEKDAY($A25,2)=7,"日","平"))))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IF(ISNUMBER($D26),IF($D26&lt;1,$D26,(INT($D26/100)*60+MOD($D26,100))/1440),IFERROR(TIMEVALUE(SUBSTITUTE($D26,"：",":")),""))</f>
        <v/>
      </c>
      <c r="O26" s="35">
        <f>IF(ISNUMBER($F26),IF($F26&lt;1,$F26,(INT($F26/100)*60+MOD($F26,100))/1440),IFERROR(TIMEVALUE(SUBSTITUTE($F26,"：",":")),""))</f>
        <v/>
      </c>
      <c r="P26" s="4">
        <f>IF(ISNUMBER($G26),IF($G26&lt;1,$G26,(INT($G26/100)*60+MOD($G26,100))/1440),IFERROR(TIMEVALUE(SUBSTITUTE($G26,"：",":")),""))</f>
        <v/>
      </c>
      <c r="Q26" s="4">
        <f>IF(ISNUMBER($H26),IF($H26&lt;1,$H26,(INT($H26/100)*60+MOD($H26,100))/1440),IFERROR(TIMEVALUE(SUBSTITUTE($H26,"：",":")),""))</f>
        <v/>
      </c>
      <c r="R26" s="4">
        <f>IF(ISNUMBER($I26),IF($I26&lt;1,$I26,(INT($I26/100)*60+MOD($I26,100))/1440),IFERROR(TIMEVALUE(SUBSTITUTE($I26,"：",":")),""))</f>
        <v/>
      </c>
      <c r="S26" s="4">
        <f>IF(ISNUMBER($J26),IF($J26&lt;1,$J26,(INT($J26/100)*60+MOD($J26,100))/1440),IFERROR(TIMEVALUE(SUBSTITUTE($J26,"：",":")),""))</f>
        <v/>
      </c>
      <c r="T26" s="4">
        <f>IF(OR($N26="",$O26=""),"",MAX(0,MOD($O26-$N26,1)-MAX(0,MIN($O26,13/24)-MAX($N26,0.5))))</f>
        <v/>
      </c>
      <c r="U26" s="4">
        <f>IF($A26="","",IF(ISNUMBER(MATCH($A26,祝日リスト!$A$2:$A$40,0)),"祝",IF(WEEKDAY($A26,2)=6,"土",IF(WEEKDAY($A26,2)=7,"日","平"))))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IF(ISNUMBER($D27),IF($D27&lt;1,$D27,(INT($D27/100)*60+MOD($D27,100))/1440),IFERROR(TIMEVALUE(SUBSTITUTE($D27,"：",":")),""))</f>
        <v/>
      </c>
      <c r="O27" s="35">
        <f>IF(ISNUMBER($F27),IF($F27&lt;1,$F27,(INT($F27/100)*60+MOD($F27,100))/1440),IFERROR(TIMEVALUE(SUBSTITUTE($F27,"：",":")),""))</f>
        <v/>
      </c>
      <c r="P27">
        <f>IF(ISNUMBER($G27),IF($G27&lt;1,$G27,(INT($G27/100)*60+MOD($G27,100))/1440),IFERROR(TIMEVALUE(SUBSTITUTE($G27,"：",":")),""))</f>
        <v/>
      </c>
      <c r="Q27">
        <f>IF(ISNUMBER($H27),IF($H27&lt;1,$H27,(INT($H27/100)*60+MOD($H27,100))/1440),IFERROR(TIMEVALUE(SUBSTITUTE($H27,"：",":")),""))</f>
        <v/>
      </c>
      <c r="R27">
        <f>IF(ISNUMBER($I27),IF($I27&lt;1,$I27,(INT($I27/100)*60+MOD($I27,100))/1440),IFERROR(TIMEVALUE(SUBSTITUTE($I27,"：",":")),""))</f>
        <v/>
      </c>
      <c r="S27">
        <f>IF(ISNUMBER($J27),IF($J27&lt;1,$J27,(INT($J27/100)*60+MOD($J27,100))/1440),IFERROR(TIMEVALUE(SUBSTITUTE($J27,"：",":")),""))</f>
        <v/>
      </c>
      <c r="T27">
        <f>IF(OR($N27="",$O27=""),"",MAX(0,MOD($O27-$N27,1)-MAX(0,MIN($O27,13/24)-MAX($N27,0.5))))</f>
        <v/>
      </c>
      <c r="U27">
        <f>IF($A27="","",IF(ISNUMBER(MATCH($A27,祝日リスト!$A$2:$A$40,0)),"祝",IF(WEEKDAY($A27,2)=6,"土",IF(WEEKDAY($A27,2)=7,"日","平"))))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IF(ISNUMBER($D28),IF($D28&lt;1,$D28,(INT($D28/100)*60+MOD($D28,100))/1440),IFERROR(TIMEVALUE(SUBSTITUTE($D28,"：",":")),""))</f>
        <v/>
      </c>
      <c r="O28" s="35">
        <f>IF(ISNUMBER($F28),IF($F28&lt;1,$F28,(INT($F28/100)*60+MOD($F28,100))/1440),IFERROR(TIMEVALUE(SUBSTITUTE($F28,"：",":")),""))</f>
        <v/>
      </c>
      <c r="P28">
        <f>IF(ISNUMBER($G28),IF($G28&lt;1,$G28,(INT($G28/100)*60+MOD($G28,100))/1440),IFERROR(TIMEVALUE(SUBSTITUTE($G28,"：",":")),""))</f>
        <v/>
      </c>
      <c r="Q28">
        <f>IF(ISNUMBER($H28),IF($H28&lt;1,$H28,(INT($H28/100)*60+MOD($H28,100))/1440),IFERROR(TIMEVALUE(SUBSTITUTE($H28,"：",":")),""))</f>
        <v/>
      </c>
      <c r="R28">
        <f>IF(ISNUMBER($I28),IF($I28&lt;1,$I28,(INT($I28/100)*60+MOD($I28,100))/1440),IFERROR(TIMEVALUE(SUBSTITUTE($I28,"：",":")),""))</f>
        <v/>
      </c>
      <c r="S28">
        <f>IF(ISNUMBER($J28),IF($J28&lt;1,$J28,(INT($J28/100)*60+MOD($J28,100))/1440),IFERROR(TIMEVALUE(SUBSTITUTE($J28,"：",":")),""))</f>
        <v/>
      </c>
      <c r="T28">
        <f>IF(OR($N28="",$O28=""),"",MAX(0,MOD($O28-$N28,1)-MAX(0,MIN($O28,13/24)-MAX($N28,0.5))))</f>
        <v/>
      </c>
      <c r="U28">
        <f>IF($A28="","",IF(ISNUMBER(MATCH($A28,祝日リスト!$A$2:$A$40,0)),"祝",IF(WEEKDAY($A28,2)=6,"土",IF(WEEKDAY($A28,2)=7,"日","平"))))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IF(ISNUMBER($D29),IF($D29&lt;1,$D29,(INT($D29/100)*60+MOD($D29,100))/1440),IFERROR(TIMEVALUE(SUBSTITUTE($D29,"：",":")),""))</f>
        <v/>
      </c>
      <c r="O29" s="35">
        <f>IF(ISNUMBER($F29),IF($F29&lt;1,$F29,(INT($F29/100)*60+MOD($F29,100))/1440),IFERROR(TIMEVALUE(SUBSTITUTE($F29,"：",":")),""))</f>
        <v/>
      </c>
      <c r="P29">
        <f>IF(ISNUMBER($G29),IF($G29&lt;1,$G29,(INT($G29/100)*60+MOD($G29,100))/1440),IFERROR(TIMEVALUE(SUBSTITUTE($G29,"：",":")),""))</f>
        <v/>
      </c>
      <c r="Q29">
        <f>IF(ISNUMBER($H29),IF($H29&lt;1,$H29,(INT($H29/100)*60+MOD($H29,100))/1440),IFERROR(TIMEVALUE(SUBSTITUTE($H29,"：",":")),""))</f>
        <v/>
      </c>
      <c r="R29">
        <f>IF(ISNUMBER($I29),IF($I29&lt;1,$I29,(INT($I29/100)*60+MOD($I29,100))/1440),IFERROR(TIMEVALUE(SUBSTITUTE($I29,"：",":")),""))</f>
        <v/>
      </c>
      <c r="S29">
        <f>IF(ISNUMBER($J29),IF($J29&lt;1,$J29,(INT($J29/100)*60+MOD($J29,100))/1440),IFERROR(TIMEVALUE(SUBSTITUTE($J29,"：",":")),""))</f>
        <v/>
      </c>
      <c r="T29">
        <f>IF(OR($N29="",$O29=""),"",MAX(0,MOD($O29-$N29,1)-MAX(0,MIN($O29,13/24)-MAX($N29,0.5))))</f>
        <v/>
      </c>
      <c r="U29">
        <f>IF($A29="","",IF(ISNUMBER(MATCH($A29,祝日リスト!$A$2:$A$40,0)),"祝",IF(WEEKDAY($A29,2)=6,"土",IF(WEEKDAY($A29,2)=7,"日","平"))))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IF(ISNUMBER($D30),IF($D30&lt;1,$D30,(INT($D30/100)*60+MOD($D30,100))/1440),IFERROR(TIMEVALUE(SUBSTITUTE($D30,"：",":")),""))</f>
        <v/>
      </c>
      <c r="O30" s="35">
        <f>IF(ISNUMBER($F30),IF($F30&lt;1,$F30,(INT($F30/100)*60+MOD($F30,100))/1440),IFERROR(TIMEVALUE(SUBSTITUTE($F30,"：",":")),""))</f>
        <v/>
      </c>
      <c r="P30">
        <f>IF(ISNUMBER($G30),IF($G30&lt;1,$G30,(INT($G30/100)*60+MOD($G30,100))/1440),IFERROR(TIMEVALUE(SUBSTITUTE($G30,"：",":")),""))</f>
        <v/>
      </c>
      <c r="Q30">
        <f>IF(ISNUMBER($H30),IF($H30&lt;1,$H30,(INT($H30/100)*60+MOD($H30,100))/1440),IFERROR(TIMEVALUE(SUBSTITUTE($H30,"：",":")),""))</f>
        <v/>
      </c>
      <c r="R30">
        <f>IF(ISNUMBER($I30),IF($I30&lt;1,$I30,(INT($I30/100)*60+MOD($I30,100))/1440),IFERROR(TIMEVALUE(SUBSTITUTE($I30,"：",":")),""))</f>
        <v/>
      </c>
      <c r="S30">
        <f>IF(ISNUMBER($J30),IF($J30&lt;1,$J30,(INT($J30/100)*60+MOD($J30,100))/1440),IFERROR(TIMEVALUE(SUBSTITUTE($J30,"：",":")),""))</f>
        <v/>
      </c>
      <c r="T30">
        <f>IF(OR($N30="",$O30=""),"",MAX(0,MOD($O30-$N30,1)-MAX(0,MIN($O30,13/24)-MAX($N30,0.5))))</f>
        <v/>
      </c>
      <c r="U30">
        <f>IF($A30="","",IF(ISNUMBER(MATCH($A30,祝日リスト!$A$2:$A$40,0)),"祝",IF(WEEKDAY($A30,2)=6,"土",IF(WEEKDAY($A30,2)=7,"日","平"))))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IF(ISNUMBER($D31),IF($D31&lt;1,$D31,(INT($D31/100)*60+MOD($D31,100))/1440),IFERROR(TIMEVALUE(SUBSTITUTE($D31,"：",":")),""))</f>
        <v/>
      </c>
      <c r="O31" s="35">
        <f>IF(ISNUMBER($F31),IF($F31&lt;1,$F31,(INT($F31/100)*60+MOD($F31,100))/1440),IFERROR(TIMEVALUE(SUBSTITUTE($F31,"：",":")),""))</f>
        <v/>
      </c>
      <c r="P31">
        <f>IF(ISNUMBER($G31),IF($G31&lt;1,$G31,(INT($G31/100)*60+MOD($G31,100))/1440),IFERROR(TIMEVALUE(SUBSTITUTE($G31,"：",":")),""))</f>
        <v/>
      </c>
      <c r="Q31">
        <f>IF(ISNUMBER($H31),IF($H31&lt;1,$H31,(INT($H31/100)*60+MOD($H31,100))/1440),IFERROR(TIMEVALUE(SUBSTITUTE($H31,"：",":")),""))</f>
        <v/>
      </c>
      <c r="R31">
        <f>IF(ISNUMBER($I31),IF($I31&lt;1,$I31,(INT($I31/100)*60+MOD($I31,100))/1440),IFERROR(TIMEVALUE(SUBSTITUTE($I31,"：",":")),""))</f>
        <v/>
      </c>
      <c r="S31">
        <f>IF(ISNUMBER($J31),IF($J31&lt;1,$J31,(INT($J31/100)*60+MOD($J31,100))/1440),IFERROR(TIMEVALUE(SUBSTITUTE($J31,"：",":")),""))</f>
        <v/>
      </c>
      <c r="T31">
        <f>IF(OR($N31="",$O31=""),"",MAX(0,MOD($O31-$N31,1)-MAX(0,MIN($O31,13/24)-MAX($N31,0.5))))</f>
        <v/>
      </c>
      <c r="U31">
        <f>IF($A31="","",IF(ISNUMBER(MATCH($A31,祝日リスト!$A$2:$A$40,0)),"祝",IF(WEEKDAY($A31,2)=6,"土",IF(WEEKDAY($A31,2)=7,"日","平"))))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IF(ISNUMBER($D32),IF($D32&lt;1,$D32,(INT($D32/100)*60+MOD($D32,100))/1440),IFERROR(TIMEVALUE(SUBSTITUTE($D32,"：",":")),""))</f>
        <v/>
      </c>
      <c r="O32" s="35">
        <f>IF(ISNUMBER($F32),IF($F32&lt;1,$F32,(INT($F32/100)*60+MOD($F32,100))/1440),IFERROR(TIMEVALUE(SUBSTITUTE($F32,"：",":")),""))</f>
        <v/>
      </c>
      <c r="P32">
        <f>IF(ISNUMBER($G32),IF($G32&lt;1,$G32,(INT($G32/100)*60+MOD($G32,100))/1440),IFERROR(TIMEVALUE(SUBSTITUTE($G32,"：",":")),""))</f>
        <v/>
      </c>
      <c r="Q32">
        <f>IF(ISNUMBER($H32),IF($H32&lt;1,$H32,(INT($H32/100)*60+MOD($H32,100))/1440),IFERROR(TIMEVALUE(SUBSTITUTE($H32,"：",":")),""))</f>
        <v/>
      </c>
      <c r="R32">
        <f>IF(ISNUMBER($I32),IF($I32&lt;1,$I32,(INT($I32/100)*60+MOD($I32,100))/1440),IFERROR(TIMEVALUE(SUBSTITUTE($I32,"：",":")),""))</f>
        <v/>
      </c>
      <c r="S32">
        <f>IF(ISNUMBER($J32),IF($J32&lt;1,$J32,(INT($J32/100)*60+MOD($J32,100))/1440),IFERROR(TIMEVALUE(SUBSTITUTE($J32,"：",":")),""))</f>
        <v/>
      </c>
      <c r="T32">
        <f>IF(OR($N32="",$O32=""),"",MAX(0,MOD($O32-$N32,1)-MAX(0,MIN($O32,13/24)-MAX($N32,0.5))))</f>
        <v/>
      </c>
      <c r="U32">
        <f>IF($A32="","",IF(ISNUMBER(MATCH($A32,祝日リスト!$A$2:$A$40,0)),"祝",IF(WEEKDAY($A32,2)=6,"土",IF(WEEKDAY($A32,2)=7,"日","平"))))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IF(ISNUMBER($D33),IF($D33&lt;1,$D33,(INT($D33/100)*60+MOD($D33,100))/1440),IFERROR(TIMEVALUE(SUBSTITUTE($D33,"：",":")),""))</f>
        <v/>
      </c>
      <c r="O33" s="35">
        <f>IF(ISNUMBER($F33),IF($F33&lt;1,$F33,(INT($F33/100)*60+MOD($F33,100))/1440),IFERROR(TIMEVALUE(SUBSTITUTE($F33,"：",":")),""))</f>
        <v/>
      </c>
      <c r="P33">
        <f>IF(ISNUMBER($G33),IF($G33&lt;1,$G33,(INT($G33/100)*60+MOD($G33,100))/1440),IFERROR(TIMEVALUE(SUBSTITUTE($G33,"：",":")),""))</f>
        <v/>
      </c>
      <c r="Q33">
        <f>IF(ISNUMBER($H33),IF($H33&lt;1,$H33,(INT($H33/100)*60+MOD($H33,100))/1440),IFERROR(TIMEVALUE(SUBSTITUTE($H33,"：",":")),""))</f>
        <v/>
      </c>
      <c r="R33">
        <f>IF(ISNUMBER($I33),IF($I33&lt;1,$I33,(INT($I33/100)*60+MOD($I33,100))/1440),IFERROR(TIMEVALUE(SUBSTITUTE($I33,"：",":")),""))</f>
        <v/>
      </c>
      <c r="S33">
        <f>IF(ISNUMBER($J33),IF($J33&lt;1,$J33,(INT($J33/100)*60+MOD($J33,100))/1440),IFERROR(TIMEVALUE(SUBSTITUTE($J33,"：",":")),""))</f>
        <v/>
      </c>
      <c r="T33">
        <f>IF(OR($N33="",$O33=""),"",MAX(0,MOD($O33-$N33,1)-MAX(0,MIN($O33,13/24)-MAX($N33,0.5))))</f>
        <v/>
      </c>
      <c r="U33">
        <f>IF($A33="","",IF(ISNUMBER(MATCH($A33,祝日リスト!$A$2:$A$40,0)),"祝",IF(WEEKDAY($A33,2)=6,"土",IF(WEEKDAY($A33,2)=7,"日","平"))))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IF(ISNUMBER($D34),IF($D34&lt;1,$D34,(INT($D34/100)*60+MOD($D34,100))/1440),IFERROR(TIMEVALUE(SUBSTITUTE($D34,"：",":")),""))</f>
        <v/>
      </c>
      <c r="O34" s="35">
        <f>IF(ISNUMBER($F34),IF($F34&lt;1,$F34,(INT($F34/100)*60+MOD($F34,100))/1440),IFERROR(TIMEVALUE(SUBSTITUTE($F34,"：",":")),""))</f>
        <v/>
      </c>
      <c r="P34">
        <f>IF(ISNUMBER($G34),IF($G34&lt;1,$G34,(INT($G34/100)*60+MOD($G34,100))/1440),IFERROR(TIMEVALUE(SUBSTITUTE($G34,"：",":")),""))</f>
        <v/>
      </c>
      <c r="Q34">
        <f>IF(ISNUMBER($H34),IF($H34&lt;1,$H34,(INT($H34/100)*60+MOD($H34,100))/1440),IFERROR(TIMEVALUE(SUBSTITUTE($H34,"：",":")),""))</f>
        <v/>
      </c>
      <c r="R34">
        <f>IF(ISNUMBER($I34),IF($I34&lt;1,$I34,(INT($I34/100)*60+MOD($I34,100))/1440),IFERROR(TIMEVALUE(SUBSTITUTE($I34,"：",":")),""))</f>
        <v/>
      </c>
      <c r="S34">
        <f>IF(ISNUMBER($J34),IF($J34&lt;1,$J34,(INT($J34/100)*60+MOD($J34,100))/1440),IFERROR(TIMEVALUE(SUBSTITUTE($J34,"：",":")),""))</f>
        <v/>
      </c>
      <c r="T34">
        <f>IF(OR($N34="",$O34=""),"",MAX(0,MOD($O34-$N34,1)-MAX(0,MIN($O34,13/24)-MAX($N34,0.5))))</f>
        <v/>
      </c>
      <c r="U34">
        <f>IF($A34="","",IF(ISNUMBER(MATCH($A34,祝日リスト!$A$2:$A$40,0)),"祝",IF(WEEKDAY($A34,2)=6,"土",IF(WEEKDAY($A34,2)=7,"日","平"))))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IF(ISNUMBER($D35),IF($D35&lt;1,$D35,(INT($D35/100)*60+MOD($D35,100))/1440),IFERROR(TIMEVALUE(SUBSTITUTE($D35,"：",":")),""))</f>
        <v/>
      </c>
      <c r="O35" s="35">
        <f>IF(ISNUMBER($F35),IF($F35&lt;1,$F35,(INT($F35/100)*60+MOD($F35,100))/1440),IFERROR(TIMEVALUE(SUBSTITUTE($F35,"：",":")),""))</f>
        <v/>
      </c>
      <c r="P35">
        <f>IF(ISNUMBER($G35),IF($G35&lt;1,$G35,(INT($G35/100)*60+MOD($G35,100))/1440),IFERROR(TIMEVALUE(SUBSTITUTE($G35,"：",":")),""))</f>
        <v/>
      </c>
      <c r="Q35">
        <f>IF(ISNUMBER($H35),IF($H35&lt;1,$H35,(INT($H35/100)*60+MOD($H35,100))/1440),IFERROR(TIMEVALUE(SUBSTITUTE($H35,"：",":")),""))</f>
        <v/>
      </c>
      <c r="R35">
        <f>IF(ISNUMBER($I35),IF($I35&lt;1,$I35,(INT($I35/100)*60+MOD($I35,100))/1440),IFERROR(TIMEVALUE(SUBSTITUTE($I35,"：",":")),""))</f>
        <v/>
      </c>
      <c r="S35">
        <f>IF(ISNUMBER($J35),IF($J35&lt;1,$J35,(INT($J35/100)*60+MOD($J35,100))/1440),IFERROR(TIMEVALUE(SUBSTITUTE($J35,"：",":")),""))</f>
        <v/>
      </c>
      <c r="T35">
        <f>IF(OR($N35="",$O35=""),"",MAX(0,MOD($O35-$N35,1)-MAX(0,MIN($O35,13/24)-MAX($N35,0.5))))</f>
        <v/>
      </c>
      <c r="U35">
        <f>IF($A35="","",IF(ISNUMBER(MATCH($A35,祝日リスト!$A$2:$A$40,0)),"祝",IF(WEEKDAY($A35,2)=6,"土",IF(WEEKDAY($A35,2)=7,"日","平"))))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IF(ISNUMBER($D36),IF($D36&lt;1,$D36,(INT($D36/100)*60+MOD($D36,100))/1440),IFERROR(TIMEVALUE(SUBSTITUTE($D36,"：",":")),""))</f>
        <v/>
      </c>
      <c r="O36" s="35">
        <f>IF(ISNUMBER($F36),IF($F36&lt;1,$F36,(INT($F36/100)*60+MOD($F36,100))/1440),IFERROR(TIMEVALUE(SUBSTITUTE($F36,"：",":")),""))</f>
        <v/>
      </c>
      <c r="P36">
        <f>IF(ISNUMBER($G36),IF($G36&lt;1,$G36,(INT($G36/100)*60+MOD($G36,100))/1440),IFERROR(TIMEVALUE(SUBSTITUTE($G36,"：",":")),""))</f>
        <v/>
      </c>
      <c r="Q36">
        <f>IF(ISNUMBER($H36),IF($H36&lt;1,$H36,(INT($H36/100)*60+MOD($H36,100))/1440),IFERROR(TIMEVALUE(SUBSTITUTE($H36,"：",":")),""))</f>
        <v/>
      </c>
      <c r="R36">
        <f>IF(ISNUMBER($I36),IF($I36&lt;1,$I36,(INT($I36/100)*60+MOD($I36,100))/1440),IFERROR(TIMEVALUE(SUBSTITUTE($I36,"：",":")),""))</f>
        <v/>
      </c>
      <c r="S36">
        <f>IF(ISNUMBER($J36),IF($J36&lt;1,$J36,(INT($J36/100)*60+MOD($J36,100))/1440),IFERROR(TIMEVALUE(SUBSTITUTE($J36,"：",":")),""))</f>
        <v/>
      </c>
      <c r="T36">
        <f>IF(OR($N36="",$O36=""),"",MAX(0,MOD($O36-$N36,1)-MAX(0,MIN($O36,13/24)-MAX($N36,0.5))))</f>
        <v/>
      </c>
      <c r="U36">
        <f>IF($A36="","",IF(ISNUMBER(MATCH($A36,祝日リスト!$A$2:$A$40,0)),"祝",IF(WEEKDAY($A36,2)=6,"土",IF(WEEKDAY($A36,2)=7,"日","平"))))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IF(ISNUMBER($D37),IF($D37&lt;1,$D37,(INT($D37/100)*60+MOD($D37,100))/1440),IFERROR(TIMEVALUE(SUBSTITUTE($D37,"：",":")),""))</f>
        <v/>
      </c>
      <c r="O37">
        <f>IF(ISNUMBER($F37),IF($F37&lt;1,$F37,(INT($F37/100)*60+MOD($F37,100))/1440),IFERROR(TIMEVALUE(SUBSTITUTE($F37,"：",":")),""))</f>
        <v/>
      </c>
      <c r="P37">
        <f>IF(ISNUMBER($G37),IF($G37&lt;1,$G37,(INT($G37/100)*60+MOD($G37,100))/1440),IFERROR(TIMEVALUE(SUBSTITUTE($G37,"：",":")),""))</f>
        <v/>
      </c>
      <c r="Q37">
        <f>IF(ISNUMBER($H37),IF($H37&lt;1,$H37,(INT($H37/100)*60+MOD($H37,100))/1440),IFERROR(TIMEVALUE(SUBSTITUTE($H37,"：",":")),""))</f>
        <v/>
      </c>
      <c r="R37">
        <f>IF(ISNUMBER($I37),IF($I37&lt;1,$I37,(INT($I37/100)*60+MOD($I37,100))/1440),IFERROR(TIMEVALUE(SUBSTITUTE($I37,"：",":")),""))</f>
        <v/>
      </c>
      <c r="S37">
        <f>IF(ISNUMBER($J37),IF($J37&lt;1,$J37,(INT($J37/100)*60+MOD($J37,100))/1440),IFERROR(TIMEVALUE(SUBSTITUTE($J37,"：",":")),""))</f>
        <v/>
      </c>
      <c r="T37">
        <f>IF(OR($N37="",$O37=""),"",MAX(0,MOD($O37-$N37,1)-MAX(0,MIN($O37,13/24)-MAX($N37,0.5))))</f>
        <v/>
      </c>
      <c r="U37">
        <f>IF($A37="","",IF(ISNUMBER(MATCH($A37,祝日リスト!$A$2:$A$40,0)),"祝",IF(WEEKDAY($A37,2)=6,"土",IF(WEEKDAY($A37,2)=7,"日","平"))))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AND($A7&lt;&gt;"",OR(WEEKDAY($A7,2)=6,WEEKDAY($A7,2)=7,WEEKDAY($A7,2)=3,ISNUMBER(MATCH($A7,祝日リスト!$A$2:$A$40,0))))</formula>
    </cfRule>
  </conditionalFormatting>
  <dataValidations count="1">
    <dataValidation sqref="D7:D37 F7:F37 G7:G37 H7:H37 I7:I37 J7:J37" showDropDown="0" showInputMessage="0" showErrorMessage="1" allowBlank="1" errorTitle="時刻の入力" error="9:30 のように、コロン付きで入力してください（全角の 9：00 でも可）。" type="custom">
      <formula1>=OR(AND(ISNUMBER(D7),D7&gt;=0,D7&lt;1),IFERROR(ISNUMBER(TIMEVALUE(SUBSTITUTE(D7,"：",":"))),FALSE))</formula1>
    </dataValidation>
  </dataValidations>
  <pageMargins left="0.25" right="0.25" top="0.75" bottom="0.75" header="0" footer="0"/>
  <pageSetup orientation="portrait" paperSize="9" scale="96" fitToWidth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2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IF(ISNUMBER($D7),IF($D7&lt;1,$D7,(INT($D7/100)*60+MOD($D7,100))/1440),IFERROR(TIMEVALUE(SUBSTITUTE($D7,"：",":")),""))</f>
        <v/>
      </c>
      <c r="O7">
        <f>IF(ISNUMBER($F7),IF($F7&lt;1,$F7,(INT($F7/100)*60+MOD($F7,100))/1440),IFERROR(TIMEVALUE(SUBSTITUTE($F7,"：",":")),""))</f>
        <v/>
      </c>
      <c r="P7">
        <f>IF(ISNUMBER($G7),IF($G7&lt;1,$G7,(INT($G7/100)*60+MOD($G7,100))/1440),IFERROR(TIMEVALUE(SUBSTITUTE($G7,"：",":")),""))</f>
        <v/>
      </c>
      <c r="Q7">
        <f>IF(ISNUMBER($H7),IF($H7&lt;1,$H7,(INT($H7/100)*60+MOD($H7,100))/1440),IFERROR(TIMEVALUE(SUBSTITUTE($H7,"：",":")),""))</f>
        <v/>
      </c>
      <c r="R7">
        <f>IF(ISNUMBER($I7),IF($I7&lt;1,$I7,(INT($I7/100)*60+MOD($I7,100))/1440),IFERROR(TIMEVALUE(SUBSTITUTE($I7,"：",":")),""))</f>
        <v/>
      </c>
      <c r="S7">
        <f>IF(ISNUMBER($J7),IF($J7&lt;1,$J7,(INT($J7/100)*60+MOD($J7,100))/1440),IFERROR(TIMEVALUE(SUBSTITUTE($J7,"：",":")),""))</f>
        <v/>
      </c>
      <c r="T7">
        <f>IF(OR($N7="",$O7=""),"",MAX(0,MOD($O7-$N7,1)-MAX(0,MIN($O7,13/24)-MAX($N7,0.5))))</f>
        <v/>
      </c>
      <c r="U7">
        <f>IF($A7="","",IF(ISNUMBER(MATCH($A7,祝日リスト!$A$2:$A$40,0)),"祝",IF(WEEKDAY($A7,2)=6,"土",IF(WEEKDAY($A7,2)=7,"日","平"))))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IF(ISNUMBER($D8),IF($D8&lt;1,$D8,(INT($D8/100)*60+MOD($D8,100))/1440),IFERROR(TIMEVALUE(SUBSTITUTE($D8,"：",":")),""))</f>
        <v/>
      </c>
      <c r="O8" s="35">
        <f>IF(ISNUMBER($F8),IF($F8&lt;1,$F8,(INT($F8/100)*60+MOD($F8,100))/1440),IFERROR(TIMEVALUE(SUBSTITUTE($F8,"：",":")),""))</f>
        <v/>
      </c>
      <c r="P8">
        <f>IF(ISNUMBER($G8),IF($G8&lt;1,$G8,(INT($G8/100)*60+MOD($G8,100))/1440),IFERROR(TIMEVALUE(SUBSTITUTE($G8,"：",":")),""))</f>
        <v/>
      </c>
      <c r="Q8">
        <f>IF(ISNUMBER($H8),IF($H8&lt;1,$H8,(INT($H8/100)*60+MOD($H8,100))/1440),IFERROR(TIMEVALUE(SUBSTITUTE($H8,"：",":")),""))</f>
        <v/>
      </c>
      <c r="R8">
        <f>IF(ISNUMBER($I8),IF($I8&lt;1,$I8,(INT($I8/100)*60+MOD($I8,100))/1440),IFERROR(TIMEVALUE(SUBSTITUTE($I8,"：",":")),""))</f>
        <v/>
      </c>
      <c r="S8">
        <f>IF(ISNUMBER($J8),IF($J8&lt;1,$J8,(INT($J8/100)*60+MOD($J8,100))/1440),IFERROR(TIMEVALUE(SUBSTITUTE($J8,"：",":")),""))</f>
        <v/>
      </c>
      <c r="T8">
        <f>IF(OR($N8="",$O8=""),"",MAX(0,MOD($O8-$N8,1)-MAX(0,MIN($O8,13/24)-MAX($N8,0.5))))</f>
        <v/>
      </c>
      <c r="U8">
        <f>IF($A8="","",IF(ISNUMBER(MATCH($A8,祝日リスト!$A$2:$A$40,0)),"祝",IF(WEEKDAY($A8,2)=6,"土",IF(WEEKDAY($A8,2)=7,"日","平"))))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IF(ISNUMBER($D9),IF($D9&lt;1,$D9,(INT($D9/100)*60+MOD($D9,100))/1440),IFERROR(TIMEVALUE(SUBSTITUTE($D9,"：",":")),""))</f>
        <v/>
      </c>
      <c r="O9" s="35">
        <f>IF(ISNUMBER($F9),IF($F9&lt;1,$F9,(INT($F9/100)*60+MOD($F9,100))/1440),IFERROR(TIMEVALUE(SUBSTITUTE($F9,"：",":")),""))</f>
        <v/>
      </c>
      <c r="P9">
        <f>IF(ISNUMBER($G9),IF($G9&lt;1,$G9,(INT($G9/100)*60+MOD($G9,100))/1440),IFERROR(TIMEVALUE(SUBSTITUTE($G9,"：",":")),""))</f>
        <v/>
      </c>
      <c r="Q9">
        <f>IF(ISNUMBER($H9),IF($H9&lt;1,$H9,(INT($H9/100)*60+MOD($H9,100))/1440),IFERROR(TIMEVALUE(SUBSTITUTE($H9,"：",":")),""))</f>
        <v/>
      </c>
      <c r="R9">
        <f>IF(ISNUMBER($I9),IF($I9&lt;1,$I9,(INT($I9/100)*60+MOD($I9,100))/1440),IFERROR(TIMEVALUE(SUBSTITUTE($I9,"：",":")),""))</f>
        <v/>
      </c>
      <c r="S9">
        <f>IF(ISNUMBER($J9),IF($J9&lt;1,$J9,(INT($J9/100)*60+MOD($J9,100))/1440),IFERROR(TIMEVALUE(SUBSTITUTE($J9,"：",":")),""))</f>
        <v/>
      </c>
      <c r="T9">
        <f>IF(OR($N9="",$O9=""),"",MAX(0,MOD($O9-$N9,1)-MAX(0,MIN($O9,13/24)-MAX($N9,0.5))))</f>
        <v/>
      </c>
      <c r="U9">
        <f>IF($A9="","",IF(ISNUMBER(MATCH($A9,祝日リスト!$A$2:$A$40,0)),"祝",IF(WEEKDAY($A9,2)=6,"土",IF(WEEKDAY($A9,2)=7,"日","平"))))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IF(ISNUMBER($D10),IF($D10&lt;1,$D10,(INT($D10/100)*60+MOD($D10,100))/1440),IFERROR(TIMEVALUE(SUBSTITUTE($D10,"：",":")),""))</f>
        <v/>
      </c>
      <c r="O10" s="35">
        <f>IF(ISNUMBER($F10),IF($F10&lt;1,$F10,(INT($F10/100)*60+MOD($F10,100))/1440),IFERROR(TIMEVALUE(SUBSTITUTE($F10,"：",":")),""))</f>
        <v/>
      </c>
      <c r="P10">
        <f>IF(ISNUMBER($G10),IF($G10&lt;1,$G10,(INT($G10/100)*60+MOD($G10,100))/1440),IFERROR(TIMEVALUE(SUBSTITUTE($G10,"：",":")),""))</f>
        <v/>
      </c>
      <c r="Q10">
        <f>IF(ISNUMBER($H10),IF($H10&lt;1,$H10,(INT($H10/100)*60+MOD($H10,100))/1440),IFERROR(TIMEVALUE(SUBSTITUTE($H10,"：",":")),""))</f>
        <v/>
      </c>
      <c r="R10">
        <f>IF(ISNUMBER($I10),IF($I10&lt;1,$I10,(INT($I10/100)*60+MOD($I10,100))/1440),IFERROR(TIMEVALUE(SUBSTITUTE($I10,"：",":")),""))</f>
        <v/>
      </c>
      <c r="S10">
        <f>IF(ISNUMBER($J10),IF($J10&lt;1,$J10,(INT($J10/100)*60+MOD($J10,100))/1440),IFERROR(TIMEVALUE(SUBSTITUTE($J10,"：",":")),""))</f>
        <v/>
      </c>
      <c r="T10">
        <f>IF(OR($N10="",$O10=""),"",MAX(0,MOD($O10-$N10,1)-MAX(0,MIN($O10,13/24)-MAX($N10,0.5))))</f>
        <v/>
      </c>
      <c r="U10">
        <f>IF($A10="","",IF(ISNUMBER(MATCH($A10,祝日リスト!$A$2:$A$40,0)),"祝",IF(WEEKDAY($A10,2)=6,"土",IF(WEEKDAY($A10,2)=7,"日","平"))))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IF(ISNUMBER($D11),IF($D11&lt;1,$D11,(INT($D11/100)*60+MOD($D11,100))/1440),IFERROR(TIMEVALUE(SUBSTITUTE($D11,"：",":")),""))</f>
        <v/>
      </c>
      <c r="O11" s="35">
        <f>IF(ISNUMBER($F11),IF($F11&lt;1,$F11,(INT($F11/100)*60+MOD($F11,100))/1440),IFERROR(TIMEVALUE(SUBSTITUTE($F11,"：",":")),""))</f>
        <v/>
      </c>
      <c r="P11">
        <f>IF(ISNUMBER($G11),IF($G11&lt;1,$G11,(INT($G11/100)*60+MOD($G11,100))/1440),IFERROR(TIMEVALUE(SUBSTITUTE($G11,"：",":")),""))</f>
        <v/>
      </c>
      <c r="Q11">
        <f>IF(ISNUMBER($H11),IF($H11&lt;1,$H11,(INT($H11/100)*60+MOD($H11,100))/1440),IFERROR(TIMEVALUE(SUBSTITUTE($H11,"：",":")),""))</f>
        <v/>
      </c>
      <c r="R11">
        <f>IF(ISNUMBER($I11),IF($I11&lt;1,$I11,(INT($I11/100)*60+MOD($I11,100))/1440),IFERROR(TIMEVALUE(SUBSTITUTE($I11,"：",":")),""))</f>
        <v/>
      </c>
      <c r="S11">
        <f>IF(ISNUMBER($J11),IF($J11&lt;1,$J11,(INT($J11/100)*60+MOD($J11,100))/1440),IFERROR(TIMEVALUE(SUBSTITUTE($J11,"：",":")),""))</f>
        <v/>
      </c>
      <c r="T11">
        <f>IF(OR($N11="",$O11=""),"",MAX(0,MOD($O11-$N11,1)-MAX(0,MIN($O11,13/24)-MAX($N11,0.5))))</f>
        <v/>
      </c>
      <c r="U11">
        <f>IF($A11="","",IF(ISNUMBER(MATCH($A11,祝日リスト!$A$2:$A$40,0)),"祝",IF(WEEKDAY($A11,2)=6,"土",IF(WEEKDAY($A11,2)=7,"日","平"))))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IF(ISNUMBER($D12),IF($D12&lt;1,$D12,(INT($D12/100)*60+MOD($D12,100))/1440),IFERROR(TIMEVALUE(SUBSTITUTE($D12,"：",":")),""))</f>
        <v/>
      </c>
      <c r="O12" s="35">
        <f>IF(ISNUMBER($F12),IF($F12&lt;1,$F12,(INT($F12/100)*60+MOD($F12,100))/1440),IFERROR(TIMEVALUE(SUBSTITUTE($F12,"：",":")),""))</f>
        <v/>
      </c>
      <c r="P12">
        <f>IF(ISNUMBER($G12),IF($G12&lt;1,$G12,(INT($G12/100)*60+MOD($G12,100))/1440),IFERROR(TIMEVALUE(SUBSTITUTE($G12,"：",":")),""))</f>
        <v/>
      </c>
      <c r="Q12">
        <f>IF(ISNUMBER($H12),IF($H12&lt;1,$H12,(INT($H12/100)*60+MOD($H12,100))/1440),IFERROR(TIMEVALUE(SUBSTITUTE($H12,"：",":")),""))</f>
        <v/>
      </c>
      <c r="R12">
        <f>IF(ISNUMBER($I12),IF($I12&lt;1,$I12,(INT($I12/100)*60+MOD($I12,100))/1440),IFERROR(TIMEVALUE(SUBSTITUTE($I12,"：",":")),""))</f>
        <v/>
      </c>
      <c r="S12">
        <f>IF(ISNUMBER($J12),IF($J12&lt;1,$J12,(INT($J12/100)*60+MOD($J12,100))/1440),IFERROR(TIMEVALUE(SUBSTITUTE($J12,"：",":")),""))</f>
        <v/>
      </c>
      <c r="T12">
        <f>IF(OR($N12="",$O12=""),"",MAX(0,MOD($O12-$N12,1)-MAX(0,MIN($O12,13/24)-MAX($N12,0.5))))</f>
        <v/>
      </c>
      <c r="U12">
        <f>IF($A12="","",IF(ISNUMBER(MATCH($A12,祝日リスト!$A$2:$A$40,0)),"祝",IF(WEEKDAY($A12,2)=6,"土",IF(WEEKDAY($A12,2)=7,"日","平"))))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IF(ISNUMBER($D13),IF($D13&lt;1,$D13,(INT($D13/100)*60+MOD($D13,100))/1440),IFERROR(TIMEVALUE(SUBSTITUTE($D13,"：",":")),""))</f>
        <v/>
      </c>
      <c r="O13" s="35">
        <f>IF(ISNUMBER($F13),IF($F13&lt;1,$F13,(INT($F13/100)*60+MOD($F13,100))/1440),IFERROR(TIMEVALUE(SUBSTITUTE($F13,"：",":")),""))</f>
        <v/>
      </c>
      <c r="P13">
        <f>IF(ISNUMBER($G13),IF($G13&lt;1,$G13,(INT($G13/100)*60+MOD($G13,100))/1440),IFERROR(TIMEVALUE(SUBSTITUTE($G13,"：",":")),""))</f>
        <v/>
      </c>
      <c r="Q13">
        <f>IF(ISNUMBER($H13),IF($H13&lt;1,$H13,(INT($H13/100)*60+MOD($H13,100))/1440),IFERROR(TIMEVALUE(SUBSTITUTE($H13,"：",":")),""))</f>
        <v/>
      </c>
      <c r="R13">
        <f>IF(ISNUMBER($I13),IF($I13&lt;1,$I13,(INT($I13/100)*60+MOD($I13,100))/1440),IFERROR(TIMEVALUE(SUBSTITUTE($I13,"：",":")),""))</f>
        <v/>
      </c>
      <c r="S13">
        <f>IF(ISNUMBER($J13),IF($J13&lt;1,$J13,(INT($J13/100)*60+MOD($J13,100))/1440),IFERROR(TIMEVALUE(SUBSTITUTE($J13,"：",":")),""))</f>
        <v/>
      </c>
      <c r="T13">
        <f>IF(OR($N13="",$O13=""),"",MAX(0,MOD($O13-$N13,1)-MAX(0,MIN($O13,13/24)-MAX($N13,0.5))))</f>
        <v/>
      </c>
      <c r="U13">
        <f>IF($A13="","",IF(ISNUMBER(MATCH($A13,祝日リスト!$A$2:$A$40,0)),"祝",IF(WEEKDAY($A13,2)=6,"土",IF(WEEKDAY($A13,2)=7,"日","平"))))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IF(ISNUMBER($D14),IF($D14&lt;1,$D14,(INT($D14/100)*60+MOD($D14,100))/1440),IFERROR(TIMEVALUE(SUBSTITUTE($D14,"：",":")),""))</f>
        <v/>
      </c>
      <c r="O14" s="35">
        <f>IF(ISNUMBER($F14),IF($F14&lt;1,$F14,(INT($F14/100)*60+MOD($F14,100))/1440),IFERROR(TIMEVALUE(SUBSTITUTE($F14,"：",":")),""))</f>
        <v/>
      </c>
      <c r="P14">
        <f>IF(ISNUMBER($G14),IF($G14&lt;1,$G14,(INT($G14/100)*60+MOD($G14,100))/1440),IFERROR(TIMEVALUE(SUBSTITUTE($G14,"：",":")),""))</f>
        <v/>
      </c>
      <c r="Q14">
        <f>IF(ISNUMBER($H14),IF($H14&lt;1,$H14,(INT($H14/100)*60+MOD($H14,100))/1440),IFERROR(TIMEVALUE(SUBSTITUTE($H14,"：",":")),""))</f>
        <v/>
      </c>
      <c r="R14">
        <f>IF(ISNUMBER($I14),IF($I14&lt;1,$I14,(INT($I14/100)*60+MOD($I14,100))/1440),IFERROR(TIMEVALUE(SUBSTITUTE($I14,"：",":")),""))</f>
        <v/>
      </c>
      <c r="S14">
        <f>IF(ISNUMBER($J14),IF($J14&lt;1,$J14,(INT($J14/100)*60+MOD($J14,100))/1440),IFERROR(TIMEVALUE(SUBSTITUTE($J14,"：",":")),""))</f>
        <v/>
      </c>
      <c r="T14">
        <f>IF(OR($N14="",$O14=""),"",MAX(0,MOD($O14-$N14,1)-MAX(0,MIN($O14,13/24)-MAX($N14,0.5))))</f>
        <v/>
      </c>
      <c r="U14">
        <f>IF($A14="","",IF(ISNUMBER(MATCH($A14,祝日リスト!$A$2:$A$40,0)),"祝",IF(WEEKDAY($A14,2)=6,"土",IF(WEEKDAY($A14,2)=7,"日","平"))))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IF(ISNUMBER($D15),IF($D15&lt;1,$D15,(INT($D15/100)*60+MOD($D15,100))/1440),IFERROR(TIMEVALUE(SUBSTITUTE($D15,"：",":")),""))</f>
        <v/>
      </c>
      <c r="O15" s="35">
        <f>IF(ISNUMBER($F15),IF($F15&lt;1,$F15,(INT($F15/100)*60+MOD($F15,100))/1440),IFERROR(TIMEVALUE(SUBSTITUTE($F15,"：",":")),""))</f>
        <v/>
      </c>
      <c r="P15">
        <f>IF(ISNUMBER($G15),IF($G15&lt;1,$G15,(INT($G15/100)*60+MOD($G15,100))/1440),IFERROR(TIMEVALUE(SUBSTITUTE($G15,"：",":")),""))</f>
        <v/>
      </c>
      <c r="Q15">
        <f>IF(ISNUMBER($H15),IF($H15&lt;1,$H15,(INT($H15/100)*60+MOD($H15,100))/1440),IFERROR(TIMEVALUE(SUBSTITUTE($H15,"：",":")),""))</f>
        <v/>
      </c>
      <c r="R15">
        <f>IF(ISNUMBER($I15),IF($I15&lt;1,$I15,(INT($I15/100)*60+MOD($I15,100))/1440),IFERROR(TIMEVALUE(SUBSTITUTE($I15,"：",":")),""))</f>
        <v/>
      </c>
      <c r="S15">
        <f>IF(ISNUMBER($J15),IF($J15&lt;1,$J15,(INT($J15/100)*60+MOD($J15,100))/1440),IFERROR(TIMEVALUE(SUBSTITUTE($J15,"：",":")),""))</f>
        <v/>
      </c>
      <c r="T15">
        <f>IF(OR($N15="",$O15=""),"",MAX(0,MOD($O15-$N15,1)-MAX(0,MIN($O15,13/24)-MAX($N15,0.5))))</f>
        <v/>
      </c>
      <c r="U15">
        <f>IF($A15="","",IF(ISNUMBER(MATCH($A15,祝日リスト!$A$2:$A$40,0)),"祝",IF(WEEKDAY($A15,2)=6,"土",IF(WEEKDAY($A15,2)=7,"日","平"))))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IF(ISNUMBER($D16),IF($D16&lt;1,$D16,(INT($D16/100)*60+MOD($D16,100))/1440),IFERROR(TIMEVALUE(SUBSTITUTE($D16,"：",":")),""))</f>
        <v/>
      </c>
      <c r="O16" s="35">
        <f>IF(ISNUMBER($F16),IF($F16&lt;1,$F16,(INT($F16/100)*60+MOD($F16,100))/1440),IFERROR(TIMEVALUE(SUBSTITUTE($F16,"：",":")),""))</f>
        <v/>
      </c>
      <c r="P16">
        <f>IF(ISNUMBER($G16),IF($G16&lt;1,$G16,(INT($G16/100)*60+MOD($G16,100))/1440),IFERROR(TIMEVALUE(SUBSTITUTE($G16,"：",":")),""))</f>
        <v/>
      </c>
      <c r="Q16">
        <f>IF(ISNUMBER($H16),IF($H16&lt;1,$H16,(INT($H16/100)*60+MOD($H16,100))/1440),IFERROR(TIMEVALUE(SUBSTITUTE($H16,"：",":")),""))</f>
        <v/>
      </c>
      <c r="R16">
        <f>IF(ISNUMBER($I16),IF($I16&lt;1,$I16,(INT($I16/100)*60+MOD($I16,100))/1440),IFERROR(TIMEVALUE(SUBSTITUTE($I16,"：",":")),""))</f>
        <v/>
      </c>
      <c r="S16">
        <f>IF(ISNUMBER($J16),IF($J16&lt;1,$J16,(INT($J16/100)*60+MOD($J16,100))/1440),IFERROR(TIMEVALUE(SUBSTITUTE($J16,"：",":")),""))</f>
        <v/>
      </c>
      <c r="T16">
        <f>IF(OR($N16="",$O16=""),"",MAX(0,MOD($O16-$N16,1)-MAX(0,MIN($O16,13/24)-MAX($N16,0.5))))</f>
        <v/>
      </c>
      <c r="U16">
        <f>IF($A16="","",IF(ISNUMBER(MATCH($A16,祝日リスト!$A$2:$A$40,0)),"祝",IF(WEEKDAY($A16,2)=6,"土",IF(WEEKDAY($A16,2)=7,"日","平"))))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IF(ISNUMBER($D17),IF($D17&lt;1,$D17,(INT($D17/100)*60+MOD($D17,100))/1440),IFERROR(TIMEVALUE(SUBSTITUTE($D17,"：",":")),""))</f>
        <v/>
      </c>
      <c r="O17" s="35">
        <f>IF(ISNUMBER($F17),IF($F17&lt;1,$F17,(INT($F17/100)*60+MOD($F17,100))/1440),IFERROR(TIMEVALUE(SUBSTITUTE($F17,"：",":")),""))</f>
        <v/>
      </c>
      <c r="P17">
        <f>IF(ISNUMBER($G17),IF($G17&lt;1,$G17,(INT($G17/100)*60+MOD($G17,100))/1440),IFERROR(TIMEVALUE(SUBSTITUTE($G17,"：",":")),""))</f>
        <v/>
      </c>
      <c r="Q17">
        <f>IF(ISNUMBER($H17),IF($H17&lt;1,$H17,(INT($H17/100)*60+MOD($H17,100))/1440),IFERROR(TIMEVALUE(SUBSTITUTE($H17,"：",":")),""))</f>
        <v/>
      </c>
      <c r="R17">
        <f>IF(ISNUMBER($I17),IF($I17&lt;1,$I17,(INT($I17/100)*60+MOD($I17,100))/1440),IFERROR(TIMEVALUE(SUBSTITUTE($I17,"：",":")),""))</f>
        <v/>
      </c>
      <c r="S17">
        <f>IF(ISNUMBER($J17),IF($J17&lt;1,$J17,(INT($J17/100)*60+MOD($J17,100))/1440),IFERROR(TIMEVALUE(SUBSTITUTE($J17,"：",":")),""))</f>
        <v/>
      </c>
      <c r="T17">
        <f>IF(OR($N17="",$O17=""),"",MAX(0,MOD($O17-$N17,1)-MAX(0,MIN($O17,13/24)-MAX($N17,0.5))))</f>
        <v/>
      </c>
      <c r="U17">
        <f>IF($A17="","",IF(ISNUMBER(MATCH($A17,祝日リスト!$A$2:$A$40,0)),"祝",IF(WEEKDAY($A17,2)=6,"土",IF(WEEKDAY($A17,2)=7,"日","平"))))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IF(ISNUMBER($D18),IF($D18&lt;1,$D18,(INT($D18/100)*60+MOD($D18,100))/1440),IFERROR(TIMEVALUE(SUBSTITUTE($D18,"：",":")),""))</f>
        <v/>
      </c>
      <c r="O18" s="35">
        <f>IF(ISNUMBER($F18),IF($F18&lt;1,$F18,(INT($F18/100)*60+MOD($F18,100))/1440),IFERROR(TIMEVALUE(SUBSTITUTE($F18,"：",":")),""))</f>
        <v/>
      </c>
      <c r="P18">
        <f>IF(ISNUMBER($G18),IF($G18&lt;1,$G18,(INT($G18/100)*60+MOD($G18,100))/1440),IFERROR(TIMEVALUE(SUBSTITUTE($G18,"：",":")),""))</f>
        <v/>
      </c>
      <c r="Q18">
        <f>IF(ISNUMBER($H18),IF($H18&lt;1,$H18,(INT($H18/100)*60+MOD($H18,100))/1440),IFERROR(TIMEVALUE(SUBSTITUTE($H18,"：",":")),""))</f>
        <v/>
      </c>
      <c r="R18">
        <f>IF(ISNUMBER($I18),IF($I18&lt;1,$I18,(INT($I18/100)*60+MOD($I18,100))/1440),IFERROR(TIMEVALUE(SUBSTITUTE($I18,"：",":")),""))</f>
        <v/>
      </c>
      <c r="S18">
        <f>IF(ISNUMBER($J18),IF($J18&lt;1,$J18,(INT($J18/100)*60+MOD($J18,100))/1440),IFERROR(TIMEVALUE(SUBSTITUTE($J18,"：",":")),""))</f>
        <v/>
      </c>
      <c r="T18">
        <f>IF(OR($N18="",$O18=""),"",MAX(0,MOD($O18-$N18,1)-MAX(0,MIN($O18,13/24)-MAX($N18,0.5))))</f>
        <v/>
      </c>
      <c r="U18">
        <f>IF($A18="","",IF(ISNUMBER(MATCH($A18,祝日リスト!$A$2:$A$40,0)),"祝",IF(WEEKDAY($A18,2)=6,"土",IF(WEEKDAY($A18,2)=7,"日","平"))))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IF(ISNUMBER($D19),IF($D19&lt;1,$D19,(INT($D19/100)*60+MOD($D19,100))/1440),IFERROR(TIMEVALUE(SUBSTITUTE($D19,"：",":")),""))</f>
        <v/>
      </c>
      <c r="O19" s="35">
        <f>IF(ISNUMBER($F19),IF($F19&lt;1,$F19,(INT($F19/100)*60+MOD($F19,100))/1440),IFERROR(TIMEVALUE(SUBSTITUTE($F19,"：",":")),""))</f>
        <v/>
      </c>
      <c r="P19">
        <f>IF(ISNUMBER($G19),IF($G19&lt;1,$G19,(INT($G19/100)*60+MOD($G19,100))/1440),IFERROR(TIMEVALUE(SUBSTITUTE($G19,"：",":")),""))</f>
        <v/>
      </c>
      <c r="Q19">
        <f>IF(ISNUMBER($H19),IF($H19&lt;1,$H19,(INT($H19/100)*60+MOD($H19,100))/1440),IFERROR(TIMEVALUE(SUBSTITUTE($H19,"：",":")),""))</f>
        <v/>
      </c>
      <c r="R19">
        <f>IF(ISNUMBER($I19),IF($I19&lt;1,$I19,(INT($I19/100)*60+MOD($I19,100))/1440),IFERROR(TIMEVALUE(SUBSTITUTE($I19,"：",":")),""))</f>
        <v/>
      </c>
      <c r="S19">
        <f>IF(ISNUMBER($J19),IF($J19&lt;1,$J19,(INT($J19/100)*60+MOD($J19,100))/1440),IFERROR(TIMEVALUE(SUBSTITUTE($J19,"：",":")),""))</f>
        <v/>
      </c>
      <c r="T19">
        <f>IF(OR($N19="",$O19=""),"",MAX(0,MOD($O19-$N19,1)-MAX(0,MIN($O19,13/24)-MAX($N19,0.5))))</f>
        <v/>
      </c>
      <c r="U19">
        <f>IF($A19="","",IF(ISNUMBER(MATCH($A19,祝日リスト!$A$2:$A$40,0)),"祝",IF(WEEKDAY($A19,2)=6,"土",IF(WEEKDAY($A19,2)=7,"日","平"))))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IF(ISNUMBER($D20),IF($D20&lt;1,$D20,(INT($D20/100)*60+MOD($D20,100))/1440),IFERROR(TIMEVALUE(SUBSTITUTE($D20,"：",":")),""))</f>
        <v/>
      </c>
      <c r="O20" s="35">
        <f>IF(ISNUMBER($F20),IF($F20&lt;1,$F20,(INT($F20/100)*60+MOD($F20,100))/1440),IFERROR(TIMEVALUE(SUBSTITUTE($F20,"：",":")),""))</f>
        <v/>
      </c>
      <c r="P20">
        <f>IF(ISNUMBER($G20),IF($G20&lt;1,$G20,(INT($G20/100)*60+MOD($G20,100))/1440),IFERROR(TIMEVALUE(SUBSTITUTE($G20,"：",":")),""))</f>
        <v/>
      </c>
      <c r="Q20">
        <f>IF(ISNUMBER($H20),IF($H20&lt;1,$H20,(INT($H20/100)*60+MOD($H20,100))/1440),IFERROR(TIMEVALUE(SUBSTITUTE($H20,"：",":")),""))</f>
        <v/>
      </c>
      <c r="R20">
        <f>IF(ISNUMBER($I20),IF($I20&lt;1,$I20,(INT($I20/100)*60+MOD($I20,100))/1440),IFERROR(TIMEVALUE(SUBSTITUTE($I20,"：",":")),""))</f>
        <v/>
      </c>
      <c r="S20">
        <f>IF(ISNUMBER($J20),IF($J20&lt;1,$J20,(INT($J20/100)*60+MOD($J20,100))/1440),IFERROR(TIMEVALUE(SUBSTITUTE($J20,"：",":")),""))</f>
        <v/>
      </c>
      <c r="T20">
        <f>IF(OR($N20="",$O20=""),"",MAX(0,MOD($O20-$N20,1)-MAX(0,MIN($O20,13/24)-MAX($N20,0.5))))</f>
        <v/>
      </c>
      <c r="U20">
        <f>IF($A20="","",IF(ISNUMBER(MATCH($A20,祝日リスト!$A$2:$A$40,0)),"祝",IF(WEEKDAY($A20,2)=6,"土",IF(WEEKDAY($A20,2)=7,"日","平"))))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IF(ISNUMBER($D21),IF($D21&lt;1,$D21,(INT($D21/100)*60+MOD($D21,100))/1440),IFERROR(TIMEVALUE(SUBSTITUTE($D21,"：",":")),""))</f>
        <v/>
      </c>
      <c r="O21" s="35">
        <f>IF(ISNUMBER($F21),IF($F21&lt;1,$F21,(INT($F21/100)*60+MOD($F21,100))/1440),IFERROR(TIMEVALUE(SUBSTITUTE($F21,"：",":")),""))</f>
        <v/>
      </c>
      <c r="P21">
        <f>IF(ISNUMBER($G21),IF($G21&lt;1,$G21,(INT($G21/100)*60+MOD($G21,100))/1440),IFERROR(TIMEVALUE(SUBSTITUTE($G21,"：",":")),""))</f>
        <v/>
      </c>
      <c r="Q21">
        <f>IF(ISNUMBER($H21),IF($H21&lt;1,$H21,(INT($H21/100)*60+MOD($H21,100))/1440),IFERROR(TIMEVALUE(SUBSTITUTE($H21,"：",":")),""))</f>
        <v/>
      </c>
      <c r="R21">
        <f>IF(ISNUMBER($I21),IF($I21&lt;1,$I21,(INT($I21/100)*60+MOD($I21,100))/1440),IFERROR(TIMEVALUE(SUBSTITUTE($I21,"：",":")),""))</f>
        <v/>
      </c>
      <c r="S21">
        <f>IF(ISNUMBER($J21),IF($J21&lt;1,$J21,(INT($J21/100)*60+MOD($J21,100))/1440),IFERROR(TIMEVALUE(SUBSTITUTE($J21,"：",":")),""))</f>
        <v/>
      </c>
      <c r="T21">
        <f>IF(OR($N21="",$O21=""),"",MAX(0,MOD($O21-$N21,1)-MAX(0,MIN($O21,13/24)-MAX($N21,0.5))))</f>
        <v/>
      </c>
      <c r="U21">
        <f>IF($A21="","",IF(ISNUMBER(MATCH($A21,祝日リスト!$A$2:$A$40,0)),"祝",IF(WEEKDAY($A21,2)=6,"土",IF(WEEKDAY($A21,2)=7,"日","平"))))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IF(ISNUMBER($D22),IF($D22&lt;1,$D22,(INT($D22/100)*60+MOD($D22,100))/1440),IFERROR(TIMEVALUE(SUBSTITUTE($D22,"：",":")),""))</f>
        <v/>
      </c>
      <c r="O22" s="35">
        <f>IF(ISNUMBER($F22),IF($F22&lt;1,$F22,(INT($F22/100)*60+MOD($F22,100))/1440),IFERROR(TIMEVALUE(SUBSTITUTE($F22,"：",":")),""))</f>
        <v/>
      </c>
      <c r="P22" s="4">
        <f>IF(ISNUMBER($G22),IF($G22&lt;1,$G22,(INT($G22/100)*60+MOD($G22,100))/1440),IFERROR(TIMEVALUE(SUBSTITUTE($G22,"：",":")),""))</f>
        <v/>
      </c>
      <c r="Q22" s="4">
        <f>IF(ISNUMBER($H22),IF($H22&lt;1,$H22,(INT($H22/100)*60+MOD($H22,100))/1440),IFERROR(TIMEVALUE(SUBSTITUTE($H22,"：",":")),""))</f>
        <v/>
      </c>
      <c r="R22" s="4">
        <f>IF(ISNUMBER($I22),IF($I22&lt;1,$I22,(INT($I22/100)*60+MOD($I22,100))/1440),IFERROR(TIMEVALUE(SUBSTITUTE($I22,"：",":")),""))</f>
        <v/>
      </c>
      <c r="S22" s="4">
        <f>IF(ISNUMBER($J22),IF($J22&lt;1,$J22,(INT($J22/100)*60+MOD($J22,100))/1440),IFERROR(TIMEVALUE(SUBSTITUTE($J22,"：",":")),""))</f>
        <v/>
      </c>
      <c r="T22" s="4">
        <f>IF(OR($N22="",$O22=""),"",MAX(0,MOD($O22-$N22,1)-MAX(0,MIN($O22,13/24)-MAX($N22,0.5))))</f>
        <v/>
      </c>
      <c r="U22" s="4">
        <f>IF($A22="","",IF(ISNUMBER(MATCH($A22,祝日リスト!$A$2:$A$40,0)),"祝",IF(WEEKDAY($A22,2)=6,"土",IF(WEEKDAY($A22,2)=7,"日","平"))))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IF(ISNUMBER($D23),IF($D23&lt;1,$D23,(INT($D23/100)*60+MOD($D23,100))/1440),IFERROR(TIMEVALUE(SUBSTITUTE($D23,"：",":")),""))</f>
        <v/>
      </c>
      <c r="O23" s="35">
        <f>IF(ISNUMBER($F23),IF($F23&lt;1,$F23,(INT($F23/100)*60+MOD($F23,100))/1440),IFERROR(TIMEVALUE(SUBSTITUTE($F23,"：",":")),""))</f>
        <v/>
      </c>
      <c r="P23">
        <f>IF(ISNUMBER($G23),IF($G23&lt;1,$G23,(INT($G23/100)*60+MOD($G23,100))/1440),IFERROR(TIMEVALUE(SUBSTITUTE($G23,"：",":")),""))</f>
        <v/>
      </c>
      <c r="Q23">
        <f>IF(ISNUMBER($H23),IF($H23&lt;1,$H23,(INT($H23/100)*60+MOD($H23,100))/1440),IFERROR(TIMEVALUE(SUBSTITUTE($H23,"：",":")),""))</f>
        <v/>
      </c>
      <c r="R23">
        <f>IF(ISNUMBER($I23),IF($I23&lt;1,$I23,(INT($I23/100)*60+MOD($I23,100))/1440),IFERROR(TIMEVALUE(SUBSTITUTE($I23,"：",":")),""))</f>
        <v/>
      </c>
      <c r="S23">
        <f>IF(ISNUMBER($J23),IF($J23&lt;1,$J23,(INT($J23/100)*60+MOD($J23,100))/1440),IFERROR(TIMEVALUE(SUBSTITUTE($J23,"：",":")),""))</f>
        <v/>
      </c>
      <c r="T23">
        <f>IF(OR($N23="",$O23=""),"",MAX(0,MOD($O23-$N23,1)-MAX(0,MIN($O23,13/24)-MAX($N23,0.5))))</f>
        <v/>
      </c>
      <c r="U23">
        <f>IF($A23="","",IF(ISNUMBER(MATCH($A23,祝日リスト!$A$2:$A$40,0)),"祝",IF(WEEKDAY($A23,2)=6,"土",IF(WEEKDAY($A23,2)=7,"日","平"))))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IF(ISNUMBER($D24),IF($D24&lt;1,$D24,(INT($D24/100)*60+MOD($D24,100))/1440),IFERROR(TIMEVALUE(SUBSTITUTE($D24,"：",":")),""))</f>
        <v/>
      </c>
      <c r="O24" s="35">
        <f>IF(ISNUMBER($F24),IF($F24&lt;1,$F24,(INT($F24/100)*60+MOD($F24,100))/1440),IFERROR(TIMEVALUE(SUBSTITUTE($F24,"：",":")),""))</f>
        <v/>
      </c>
      <c r="P24">
        <f>IF(ISNUMBER($G24),IF($G24&lt;1,$G24,(INT($G24/100)*60+MOD($G24,100))/1440),IFERROR(TIMEVALUE(SUBSTITUTE($G24,"：",":")),""))</f>
        <v/>
      </c>
      <c r="Q24">
        <f>IF(ISNUMBER($H24),IF($H24&lt;1,$H24,(INT($H24/100)*60+MOD($H24,100))/1440),IFERROR(TIMEVALUE(SUBSTITUTE($H24,"：",":")),""))</f>
        <v/>
      </c>
      <c r="R24">
        <f>IF(ISNUMBER($I24),IF($I24&lt;1,$I24,(INT($I24/100)*60+MOD($I24,100))/1440),IFERROR(TIMEVALUE(SUBSTITUTE($I24,"：",":")),""))</f>
        <v/>
      </c>
      <c r="S24">
        <f>IF(ISNUMBER($J24),IF($J24&lt;1,$J24,(INT($J24/100)*60+MOD($J24,100))/1440),IFERROR(TIMEVALUE(SUBSTITUTE($J24,"：",":")),""))</f>
        <v/>
      </c>
      <c r="T24">
        <f>IF(OR($N24="",$O24=""),"",MAX(0,MOD($O24-$N24,1)-MAX(0,MIN($O24,13/24)-MAX($N24,0.5))))</f>
        <v/>
      </c>
      <c r="U24">
        <f>IF($A24="","",IF(ISNUMBER(MATCH($A24,祝日リスト!$A$2:$A$40,0)),"祝",IF(WEEKDAY($A24,2)=6,"土",IF(WEEKDAY($A24,2)=7,"日","平"))))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IF(ISNUMBER($D25),IF($D25&lt;1,$D25,(INT($D25/100)*60+MOD($D25,100))/1440),IFERROR(TIMEVALUE(SUBSTITUTE($D25,"：",":")),""))</f>
        <v/>
      </c>
      <c r="O25" s="35">
        <f>IF(ISNUMBER($F25),IF($F25&lt;1,$F25,(INT($F25/100)*60+MOD($F25,100))/1440),IFERROR(TIMEVALUE(SUBSTITUTE($F25,"：",":")),""))</f>
        <v/>
      </c>
      <c r="P25">
        <f>IF(ISNUMBER($G25),IF($G25&lt;1,$G25,(INT($G25/100)*60+MOD($G25,100))/1440),IFERROR(TIMEVALUE(SUBSTITUTE($G25,"：",":")),""))</f>
        <v/>
      </c>
      <c r="Q25">
        <f>IF(ISNUMBER($H25),IF($H25&lt;1,$H25,(INT($H25/100)*60+MOD($H25,100))/1440),IFERROR(TIMEVALUE(SUBSTITUTE($H25,"：",":")),""))</f>
        <v/>
      </c>
      <c r="R25">
        <f>IF(ISNUMBER($I25),IF($I25&lt;1,$I25,(INT($I25/100)*60+MOD($I25,100))/1440),IFERROR(TIMEVALUE(SUBSTITUTE($I25,"：",":")),""))</f>
        <v/>
      </c>
      <c r="S25">
        <f>IF(ISNUMBER($J25),IF($J25&lt;1,$J25,(INT($J25/100)*60+MOD($J25,100))/1440),IFERROR(TIMEVALUE(SUBSTITUTE($J25,"：",":")),""))</f>
        <v/>
      </c>
      <c r="T25">
        <f>IF(OR($N25="",$O25=""),"",MAX(0,MOD($O25-$N25,1)-MAX(0,MIN($O25,13/24)-MAX($N25,0.5))))</f>
        <v/>
      </c>
      <c r="U25">
        <f>IF($A25="","",IF(ISNUMBER(MATCH($A25,祝日リスト!$A$2:$A$40,0)),"祝",IF(WEEKDAY($A25,2)=6,"土",IF(WEEKDAY($A25,2)=7,"日","平"))))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IF(ISNUMBER($D26),IF($D26&lt;1,$D26,(INT($D26/100)*60+MOD($D26,100))/1440),IFERROR(TIMEVALUE(SUBSTITUTE($D26,"：",":")),""))</f>
        <v/>
      </c>
      <c r="O26" s="35">
        <f>IF(ISNUMBER($F26),IF($F26&lt;1,$F26,(INT($F26/100)*60+MOD($F26,100))/1440),IFERROR(TIMEVALUE(SUBSTITUTE($F26,"：",":")),""))</f>
        <v/>
      </c>
      <c r="P26" s="4">
        <f>IF(ISNUMBER($G26),IF($G26&lt;1,$G26,(INT($G26/100)*60+MOD($G26,100))/1440),IFERROR(TIMEVALUE(SUBSTITUTE($G26,"：",":")),""))</f>
        <v/>
      </c>
      <c r="Q26" s="4">
        <f>IF(ISNUMBER($H26),IF($H26&lt;1,$H26,(INT($H26/100)*60+MOD($H26,100))/1440),IFERROR(TIMEVALUE(SUBSTITUTE($H26,"：",":")),""))</f>
        <v/>
      </c>
      <c r="R26" s="4">
        <f>IF(ISNUMBER($I26),IF($I26&lt;1,$I26,(INT($I26/100)*60+MOD($I26,100))/1440),IFERROR(TIMEVALUE(SUBSTITUTE($I26,"：",":")),""))</f>
        <v/>
      </c>
      <c r="S26" s="4">
        <f>IF(ISNUMBER($J26),IF($J26&lt;1,$J26,(INT($J26/100)*60+MOD($J26,100))/1440),IFERROR(TIMEVALUE(SUBSTITUTE($J26,"：",":")),""))</f>
        <v/>
      </c>
      <c r="T26" s="4">
        <f>IF(OR($N26="",$O26=""),"",MAX(0,MOD($O26-$N26,1)-MAX(0,MIN($O26,13/24)-MAX($N26,0.5))))</f>
        <v/>
      </c>
      <c r="U26" s="4">
        <f>IF($A26="","",IF(ISNUMBER(MATCH($A26,祝日リスト!$A$2:$A$40,0)),"祝",IF(WEEKDAY($A26,2)=6,"土",IF(WEEKDAY($A26,2)=7,"日","平"))))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IF(ISNUMBER($D27),IF($D27&lt;1,$D27,(INT($D27/100)*60+MOD($D27,100))/1440),IFERROR(TIMEVALUE(SUBSTITUTE($D27,"：",":")),""))</f>
        <v/>
      </c>
      <c r="O27" s="35">
        <f>IF(ISNUMBER($F27),IF($F27&lt;1,$F27,(INT($F27/100)*60+MOD($F27,100))/1440),IFERROR(TIMEVALUE(SUBSTITUTE($F27,"：",":")),""))</f>
        <v/>
      </c>
      <c r="P27">
        <f>IF(ISNUMBER($G27),IF($G27&lt;1,$G27,(INT($G27/100)*60+MOD($G27,100))/1440),IFERROR(TIMEVALUE(SUBSTITUTE($G27,"：",":")),""))</f>
        <v/>
      </c>
      <c r="Q27">
        <f>IF(ISNUMBER($H27),IF($H27&lt;1,$H27,(INT($H27/100)*60+MOD($H27,100))/1440),IFERROR(TIMEVALUE(SUBSTITUTE($H27,"：",":")),""))</f>
        <v/>
      </c>
      <c r="R27">
        <f>IF(ISNUMBER($I27),IF($I27&lt;1,$I27,(INT($I27/100)*60+MOD($I27,100))/1440),IFERROR(TIMEVALUE(SUBSTITUTE($I27,"：",":")),""))</f>
        <v/>
      </c>
      <c r="S27">
        <f>IF(ISNUMBER($J27),IF($J27&lt;1,$J27,(INT($J27/100)*60+MOD($J27,100))/1440),IFERROR(TIMEVALUE(SUBSTITUTE($J27,"：",":")),""))</f>
        <v/>
      </c>
      <c r="T27">
        <f>IF(OR($N27="",$O27=""),"",MAX(0,MOD($O27-$N27,1)-MAX(0,MIN($O27,13/24)-MAX($N27,0.5))))</f>
        <v/>
      </c>
      <c r="U27">
        <f>IF($A27="","",IF(ISNUMBER(MATCH($A27,祝日リスト!$A$2:$A$40,0)),"祝",IF(WEEKDAY($A27,2)=6,"土",IF(WEEKDAY($A27,2)=7,"日","平"))))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IF(ISNUMBER($D28),IF($D28&lt;1,$D28,(INT($D28/100)*60+MOD($D28,100))/1440),IFERROR(TIMEVALUE(SUBSTITUTE($D28,"：",":")),""))</f>
        <v/>
      </c>
      <c r="O28" s="35">
        <f>IF(ISNUMBER($F28),IF($F28&lt;1,$F28,(INT($F28/100)*60+MOD($F28,100))/1440),IFERROR(TIMEVALUE(SUBSTITUTE($F28,"：",":")),""))</f>
        <v/>
      </c>
      <c r="P28">
        <f>IF(ISNUMBER($G28),IF($G28&lt;1,$G28,(INT($G28/100)*60+MOD($G28,100))/1440),IFERROR(TIMEVALUE(SUBSTITUTE($G28,"：",":")),""))</f>
        <v/>
      </c>
      <c r="Q28">
        <f>IF(ISNUMBER($H28),IF($H28&lt;1,$H28,(INT($H28/100)*60+MOD($H28,100))/1440),IFERROR(TIMEVALUE(SUBSTITUTE($H28,"：",":")),""))</f>
        <v/>
      </c>
      <c r="R28">
        <f>IF(ISNUMBER($I28),IF($I28&lt;1,$I28,(INT($I28/100)*60+MOD($I28,100))/1440),IFERROR(TIMEVALUE(SUBSTITUTE($I28,"：",":")),""))</f>
        <v/>
      </c>
      <c r="S28">
        <f>IF(ISNUMBER($J28),IF($J28&lt;1,$J28,(INT($J28/100)*60+MOD($J28,100))/1440),IFERROR(TIMEVALUE(SUBSTITUTE($J28,"：",":")),""))</f>
        <v/>
      </c>
      <c r="T28">
        <f>IF(OR($N28="",$O28=""),"",MAX(0,MOD($O28-$N28,1)-MAX(0,MIN($O28,13/24)-MAX($N28,0.5))))</f>
        <v/>
      </c>
      <c r="U28">
        <f>IF($A28="","",IF(ISNUMBER(MATCH($A28,祝日リスト!$A$2:$A$40,0)),"祝",IF(WEEKDAY($A28,2)=6,"土",IF(WEEKDAY($A28,2)=7,"日","平"))))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IF(ISNUMBER($D29),IF($D29&lt;1,$D29,(INT($D29/100)*60+MOD($D29,100))/1440),IFERROR(TIMEVALUE(SUBSTITUTE($D29,"：",":")),""))</f>
        <v/>
      </c>
      <c r="O29" s="35">
        <f>IF(ISNUMBER($F29),IF($F29&lt;1,$F29,(INT($F29/100)*60+MOD($F29,100))/1440),IFERROR(TIMEVALUE(SUBSTITUTE($F29,"：",":")),""))</f>
        <v/>
      </c>
      <c r="P29">
        <f>IF(ISNUMBER($G29),IF($G29&lt;1,$G29,(INT($G29/100)*60+MOD($G29,100))/1440),IFERROR(TIMEVALUE(SUBSTITUTE($G29,"：",":")),""))</f>
        <v/>
      </c>
      <c r="Q29">
        <f>IF(ISNUMBER($H29),IF($H29&lt;1,$H29,(INT($H29/100)*60+MOD($H29,100))/1440),IFERROR(TIMEVALUE(SUBSTITUTE($H29,"：",":")),""))</f>
        <v/>
      </c>
      <c r="R29">
        <f>IF(ISNUMBER($I29),IF($I29&lt;1,$I29,(INT($I29/100)*60+MOD($I29,100))/1440),IFERROR(TIMEVALUE(SUBSTITUTE($I29,"：",":")),""))</f>
        <v/>
      </c>
      <c r="S29">
        <f>IF(ISNUMBER($J29),IF($J29&lt;1,$J29,(INT($J29/100)*60+MOD($J29,100))/1440),IFERROR(TIMEVALUE(SUBSTITUTE($J29,"：",":")),""))</f>
        <v/>
      </c>
      <c r="T29">
        <f>IF(OR($N29="",$O29=""),"",MAX(0,MOD($O29-$N29,1)-MAX(0,MIN($O29,13/24)-MAX($N29,0.5))))</f>
        <v/>
      </c>
      <c r="U29">
        <f>IF($A29="","",IF(ISNUMBER(MATCH($A29,祝日リスト!$A$2:$A$40,0)),"祝",IF(WEEKDAY($A29,2)=6,"土",IF(WEEKDAY($A29,2)=7,"日","平"))))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IF(ISNUMBER($D30),IF($D30&lt;1,$D30,(INT($D30/100)*60+MOD($D30,100))/1440),IFERROR(TIMEVALUE(SUBSTITUTE($D30,"：",":")),""))</f>
        <v/>
      </c>
      <c r="O30" s="35">
        <f>IF(ISNUMBER($F30),IF($F30&lt;1,$F30,(INT($F30/100)*60+MOD($F30,100))/1440),IFERROR(TIMEVALUE(SUBSTITUTE($F30,"：",":")),""))</f>
        <v/>
      </c>
      <c r="P30">
        <f>IF(ISNUMBER($G30),IF($G30&lt;1,$G30,(INT($G30/100)*60+MOD($G30,100))/1440),IFERROR(TIMEVALUE(SUBSTITUTE($G30,"：",":")),""))</f>
        <v/>
      </c>
      <c r="Q30">
        <f>IF(ISNUMBER($H30),IF($H30&lt;1,$H30,(INT($H30/100)*60+MOD($H30,100))/1440),IFERROR(TIMEVALUE(SUBSTITUTE($H30,"：",":")),""))</f>
        <v/>
      </c>
      <c r="R30">
        <f>IF(ISNUMBER($I30),IF($I30&lt;1,$I30,(INT($I30/100)*60+MOD($I30,100))/1440),IFERROR(TIMEVALUE(SUBSTITUTE($I30,"：",":")),""))</f>
        <v/>
      </c>
      <c r="S30">
        <f>IF(ISNUMBER($J30),IF($J30&lt;1,$J30,(INT($J30/100)*60+MOD($J30,100))/1440),IFERROR(TIMEVALUE(SUBSTITUTE($J30,"：",":")),""))</f>
        <v/>
      </c>
      <c r="T30">
        <f>IF(OR($N30="",$O30=""),"",MAX(0,MOD($O30-$N30,1)-MAX(0,MIN($O30,13/24)-MAX($N30,0.5))))</f>
        <v/>
      </c>
      <c r="U30">
        <f>IF($A30="","",IF(ISNUMBER(MATCH($A30,祝日リスト!$A$2:$A$40,0)),"祝",IF(WEEKDAY($A30,2)=6,"土",IF(WEEKDAY($A30,2)=7,"日","平"))))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IF(ISNUMBER($D31),IF($D31&lt;1,$D31,(INT($D31/100)*60+MOD($D31,100))/1440),IFERROR(TIMEVALUE(SUBSTITUTE($D31,"：",":")),""))</f>
        <v/>
      </c>
      <c r="O31" s="35">
        <f>IF(ISNUMBER($F31),IF($F31&lt;1,$F31,(INT($F31/100)*60+MOD($F31,100))/1440),IFERROR(TIMEVALUE(SUBSTITUTE($F31,"：",":")),""))</f>
        <v/>
      </c>
      <c r="P31">
        <f>IF(ISNUMBER($G31),IF($G31&lt;1,$G31,(INT($G31/100)*60+MOD($G31,100))/1440),IFERROR(TIMEVALUE(SUBSTITUTE($G31,"：",":")),""))</f>
        <v/>
      </c>
      <c r="Q31">
        <f>IF(ISNUMBER($H31),IF($H31&lt;1,$H31,(INT($H31/100)*60+MOD($H31,100))/1440),IFERROR(TIMEVALUE(SUBSTITUTE($H31,"：",":")),""))</f>
        <v/>
      </c>
      <c r="R31">
        <f>IF(ISNUMBER($I31),IF($I31&lt;1,$I31,(INT($I31/100)*60+MOD($I31,100))/1440),IFERROR(TIMEVALUE(SUBSTITUTE($I31,"：",":")),""))</f>
        <v/>
      </c>
      <c r="S31">
        <f>IF(ISNUMBER($J31),IF($J31&lt;1,$J31,(INT($J31/100)*60+MOD($J31,100))/1440),IFERROR(TIMEVALUE(SUBSTITUTE($J31,"：",":")),""))</f>
        <v/>
      </c>
      <c r="T31">
        <f>IF(OR($N31="",$O31=""),"",MAX(0,MOD($O31-$N31,1)-MAX(0,MIN($O31,13/24)-MAX($N31,0.5))))</f>
        <v/>
      </c>
      <c r="U31">
        <f>IF($A31="","",IF(ISNUMBER(MATCH($A31,祝日リスト!$A$2:$A$40,0)),"祝",IF(WEEKDAY($A31,2)=6,"土",IF(WEEKDAY($A31,2)=7,"日","平"))))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IF(ISNUMBER($D32),IF($D32&lt;1,$D32,(INT($D32/100)*60+MOD($D32,100))/1440),IFERROR(TIMEVALUE(SUBSTITUTE($D32,"：",":")),""))</f>
        <v/>
      </c>
      <c r="O32" s="35">
        <f>IF(ISNUMBER($F32),IF($F32&lt;1,$F32,(INT($F32/100)*60+MOD($F32,100))/1440),IFERROR(TIMEVALUE(SUBSTITUTE($F32,"：",":")),""))</f>
        <v/>
      </c>
      <c r="P32">
        <f>IF(ISNUMBER($G32),IF($G32&lt;1,$G32,(INT($G32/100)*60+MOD($G32,100))/1440),IFERROR(TIMEVALUE(SUBSTITUTE($G32,"：",":")),""))</f>
        <v/>
      </c>
      <c r="Q32">
        <f>IF(ISNUMBER($H32),IF($H32&lt;1,$H32,(INT($H32/100)*60+MOD($H32,100))/1440),IFERROR(TIMEVALUE(SUBSTITUTE($H32,"：",":")),""))</f>
        <v/>
      </c>
      <c r="R32">
        <f>IF(ISNUMBER($I32),IF($I32&lt;1,$I32,(INT($I32/100)*60+MOD($I32,100))/1440),IFERROR(TIMEVALUE(SUBSTITUTE($I32,"：",":")),""))</f>
        <v/>
      </c>
      <c r="S32">
        <f>IF(ISNUMBER($J32),IF($J32&lt;1,$J32,(INT($J32/100)*60+MOD($J32,100))/1440),IFERROR(TIMEVALUE(SUBSTITUTE($J32,"：",":")),""))</f>
        <v/>
      </c>
      <c r="T32">
        <f>IF(OR($N32="",$O32=""),"",MAX(0,MOD($O32-$N32,1)-MAX(0,MIN($O32,13/24)-MAX($N32,0.5))))</f>
        <v/>
      </c>
      <c r="U32">
        <f>IF($A32="","",IF(ISNUMBER(MATCH($A32,祝日リスト!$A$2:$A$40,0)),"祝",IF(WEEKDAY($A32,2)=6,"土",IF(WEEKDAY($A32,2)=7,"日","平"))))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IF(ISNUMBER($D33),IF($D33&lt;1,$D33,(INT($D33/100)*60+MOD($D33,100))/1440),IFERROR(TIMEVALUE(SUBSTITUTE($D33,"：",":")),""))</f>
        <v/>
      </c>
      <c r="O33" s="35">
        <f>IF(ISNUMBER($F33),IF($F33&lt;1,$F33,(INT($F33/100)*60+MOD($F33,100))/1440),IFERROR(TIMEVALUE(SUBSTITUTE($F33,"：",":")),""))</f>
        <v/>
      </c>
      <c r="P33">
        <f>IF(ISNUMBER($G33),IF($G33&lt;1,$G33,(INT($G33/100)*60+MOD($G33,100))/1440),IFERROR(TIMEVALUE(SUBSTITUTE($G33,"：",":")),""))</f>
        <v/>
      </c>
      <c r="Q33">
        <f>IF(ISNUMBER($H33),IF($H33&lt;1,$H33,(INT($H33/100)*60+MOD($H33,100))/1440),IFERROR(TIMEVALUE(SUBSTITUTE($H33,"：",":")),""))</f>
        <v/>
      </c>
      <c r="R33">
        <f>IF(ISNUMBER($I33),IF($I33&lt;1,$I33,(INT($I33/100)*60+MOD($I33,100))/1440),IFERROR(TIMEVALUE(SUBSTITUTE($I33,"：",":")),""))</f>
        <v/>
      </c>
      <c r="S33">
        <f>IF(ISNUMBER($J33),IF($J33&lt;1,$J33,(INT($J33/100)*60+MOD($J33,100))/1440),IFERROR(TIMEVALUE(SUBSTITUTE($J33,"：",":")),""))</f>
        <v/>
      </c>
      <c r="T33">
        <f>IF(OR($N33="",$O33=""),"",MAX(0,MOD($O33-$N33,1)-MAX(0,MIN($O33,13/24)-MAX($N33,0.5))))</f>
        <v/>
      </c>
      <c r="U33">
        <f>IF($A33="","",IF(ISNUMBER(MATCH($A33,祝日リスト!$A$2:$A$40,0)),"祝",IF(WEEKDAY($A33,2)=6,"土",IF(WEEKDAY($A33,2)=7,"日","平"))))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IF(ISNUMBER($D34),IF($D34&lt;1,$D34,(INT($D34/100)*60+MOD($D34,100))/1440),IFERROR(TIMEVALUE(SUBSTITUTE($D34,"：",":")),""))</f>
        <v/>
      </c>
      <c r="O34" s="35">
        <f>IF(ISNUMBER($F34),IF($F34&lt;1,$F34,(INT($F34/100)*60+MOD($F34,100))/1440),IFERROR(TIMEVALUE(SUBSTITUTE($F34,"：",":")),""))</f>
        <v/>
      </c>
      <c r="P34">
        <f>IF(ISNUMBER($G34),IF($G34&lt;1,$G34,(INT($G34/100)*60+MOD($G34,100))/1440),IFERROR(TIMEVALUE(SUBSTITUTE($G34,"：",":")),""))</f>
        <v/>
      </c>
      <c r="Q34">
        <f>IF(ISNUMBER($H34),IF($H34&lt;1,$H34,(INT($H34/100)*60+MOD($H34,100))/1440),IFERROR(TIMEVALUE(SUBSTITUTE($H34,"：",":")),""))</f>
        <v/>
      </c>
      <c r="R34">
        <f>IF(ISNUMBER($I34),IF($I34&lt;1,$I34,(INT($I34/100)*60+MOD($I34,100))/1440),IFERROR(TIMEVALUE(SUBSTITUTE($I34,"：",":")),""))</f>
        <v/>
      </c>
      <c r="S34">
        <f>IF(ISNUMBER($J34),IF($J34&lt;1,$J34,(INT($J34/100)*60+MOD($J34,100))/1440),IFERROR(TIMEVALUE(SUBSTITUTE($J34,"：",":")),""))</f>
        <v/>
      </c>
      <c r="T34">
        <f>IF(OR($N34="",$O34=""),"",MAX(0,MOD($O34-$N34,1)-MAX(0,MIN($O34,13/24)-MAX($N34,0.5))))</f>
        <v/>
      </c>
      <c r="U34">
        <f>IF($A34="","",IF(ISNUMBER(MATCH($A34,祝日リスト!$A$2:$A$40,0)),"祝",IF(WEEKDAY($A34,2)=6,"土",IF(WEEKDAY($A34,2)=7,"日","平"))))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IF(ISNUMBER($D35),IF($D35&lt;1,$D35,(INT($D35/100)*60+MOD($D35,100))/1440),IFERROR(TIMEVALUE(SUBSTITUTE($D35,"：",":")),""))</f>
        <v/>
      </c>
      <c r="O35" s="35">
        <f>IF(ISNUMBER($F35),IF($F35&lt;1,$F35,(INT($F35/100)*60+MOD($F35,100))/1440),IFERROR(TIMEVALUE(SUBSTITUTE($F35,"：",":")),""))</f>
        <v/>
      </c>
      <c r="P35">
        <f>IF(ISNUMBER($G35),IF($G35&lt;1,$G35,(INT($G35/100)*60+MOD($G35,100))/1440),IFERROR(TIMEVALUE(SUBSTITUTE($G35,"：",":")),""))</f>
        <v/>
      </c>
      <c r="Q35">
        <f>IF(ISNUMBER($H35),IF($H35&lt;1,$H35,(INT($H35/100)*60+MOD($H35,100))/1440),IFERROR(TIMEVALUE(SUBSTITUTE($H35,"：",":")),""))</f>
        <v/>
      </c>
      <c r="R35">
        <f>IF(ISNUMBER($I35),IF($I35&lt;1,$I35,(INT($I35/100)*60+MOD($I35,100))/1440),IFERROR(TIMEVALUE(SUBSTITUTE($I35,"：",":")),""))</f>
        <v/>
      </c>
      <c r="S35">
        <f>IF(ISNUMBER($J35),IF($J35&lt;1,$J35,(INT($J35/100)*60+MOD($J35,100))/1440),IFERROR(TIMEVALUE(SUBSTITUTE($J35,"：",":")),""))</f>
        <v/>
      </c>
      <c r="T35">
        <f>IF(OR($N35="",$O35=""),"",MAX(0,MOD($O35-$N35,1)-MAX(0,MIN($O35,13/24)-MAX($N35,0.5))))</f>
        <v/>
      </c>
      <c r="U35">
        <f>IF($A35="","",IF(ISNUMBER(MATCH($A35,祝日リスト!$A$2:$A$40,0)),"祝",IF(WEEKDAY($A35,2)=6,"土",IF(WEEKDAY($A35,2)=7,"日","平"))))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IF(ISNUMBER($D36),IF($D36&lt;1,$D36,(INT($D36/100)*60+MOD($D36,100))/1440),IFERROR(TIMEVALUE(SUBSTITUTE($D36,"：",":")),""))</f>
        <v/>
      </c>
      <c r="O36" s="35">
        <f>IF(ISNUMBER($F36),IF($F36&lt;1,$F36,(INT($F36/100)*60+MOD($F36,100))/1440),IFERROR(TIMEVALUE(SUBSTITUTE($F36,"：",":")),""))</f>
        <v/>
      </c>
      <c r="P36">
        <f>IF(ISNUMBER($G36),IF($G36&lt;1,$G36,(INT($G36/100)*60+MOD($G36,100))/1440),IFERROR(TIMEVALUE(SUBSTITUTE($G36,"：",":")),""))</f>
        <v/>
      </c>
      <c r="Q36">
        <f>IF(ISNUMBER($H36),IF($H36&lt;1,$H36,(INT($H36/100)*60+MOD($H36,100))/1440),IFERROR(TIMEVALUE(SUBSTITUTE($H36,"：",":")),""))</f>
        <v/>
      </c>
      <c r="R36">
        <f>IF(ISNUMBER($I36),IF($I36&lt;1,$I36,(INT($I36/100)*60+MOD($I36,100))/1440),IFERROR(TIMEVALUE(SUBSTITUTE($I36,"：",":")),""))</f>
        <v/>
      </c>
      <c r="S36">
        <f>IF(ISNUMBER($J36),IF($J36&lt;1,$J36,(INT($J36/100)*60+MOD($J36,100))/1440),IFERROR(TIMEVALUE(SUBSTITUTE($J36,"：",":")),""))</f>
        <v/>
      </c>
      <c r="T36">
        <f>IF(OR($N36="",$O36=""),"",MAX(0,MOD($O36-$N36,1)-MAX(0,MIN($O36,13/24)-MAX($N36,0.5))))</f>
        <v/>
      </c>
      <c r="U36">
        <f>IF($A36="","",IF(ISNUMBER(MATCH($A36,祝日リスト!$A$2:$A$40,0)),"祝",IF(WEEKDAY($A36,2)=6,"土",IF(WEEKDAY($A36,2)=7,"日","平"))))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IF(ISNUMBER($D37),IF($D37&lt;1,$D37,(INT($D37/100)*60+MOD($D37,100))/1440),IFERROR(TIMEVALUE(SUBSTITUTE($D37,"：",":")),""))</f>
        <v/>
      </c>
      <c r="O37">
        <f>IF(ISNUMBER($F37),IF($F37&lt;1,$F37,(INT($F37/100)*60+MOD($F37,100))/1440),IFERROR(TIMEVALUE(SUBSTITUTE($F37,"：",":")),""))</f>
        <v/>
      </c>
      <c r="P37">
        <f>IF(ISNUMBER($G37),IF($G37&lt;1,$G37,(INT($G37/100)*60+MOD($G37,100))/1440),IFERROR(TIMEVALUE(SUBSTITUTE($G37,"：",":")),""))</f>
        <v/>
      </c>
      <c r="Q37">
        <f>IF(ISNUMBER($H37),IF($H37&lt;1,$H37,(INT($H37/100)*60+MOD($H37,100))/1440),IFERROR(TIMEVALUE(SUBSTITUTE($H37,"：",":")),""))</f>
        <v/>
      </c>
      <c r="R37">
        <f>IF(ISNUMBER($I37),IF($I37&lt;1,$I37,(INT($I37/100)*60+MOD($I37,100))/1440),IFERROR(TIMEVALUE(SUBSTITUTE($I37,"：",":")),""))</f>
        <v/>
      </c>
      <c r="S37">
        <f>IF(ISNUMBER($J37),IF($J37&lt;1,$J37,(INT($J37/100)*60+MOD($J37,100))/1440),IFERROR(TIMEVALUE(SUBSTITUTE($J37,"：",":")),""))</f>
        <v/>
      </c>
      <c r="T37">
        <f>IF(OR($N37="",$O37=""),"",MAX(0,MOD($O37-$N37,1)-MAX(0,MIN($O37,13/24)-MAX($N37,0.5))))</f>
        <v/>
      </c>
      <c r="U37">
        <f>IF($A37="","",IF(ISNUMBER(MATCH($A37,祝日リスト!$A$2:$A$40,0)),"祝",IF(WEEKDAY($A37,2)=6,"土",IF(WEEKDAY($A37,2)=7,"日","平"))))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AND($A7&lt;&gt;"",OR(WEEKDAY($A7,2)=6,WEEKDAY($A7,2)=7,WEEKDAY($A7,2)=3,ISNUMBER(MATCH($A7,祝日リスト!$A$2:$A$40,0))))</formula>
    </cfRule>
  </conditionalFormatting>
  <dataValidations count="1">
    <dataValidation sqref="D7:D37 F7:F37 G7:G37 H7:H37 I7:I37 J7:J37" showDropDown="0" showInputMessage="0" showErrorMessage="1" allowBlank="1" errorTitle="時刻の入力" error="9:30 のように、コロン付きで入力してください（全角の 9：00 でも可）。" type="custom">
      <formula1>=OR(AND(ISNUMBER(D7),D7&gt;=0,D7&lt;1),IFERROR(ISNUMBER(TIMEVALUE(SUBSTITUTE(D7,"：",":"))),FALSE))</formula1>
    </dataValidation>
  </dataValidations>
  <pageMargins left="0.25" right="0.25" top="0.75" bottom="0.75" header="0" footer="0"/>
  <pageSetup orientation="portrait" paperSize="9" scale="96" fitToWidth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3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IF(ISNUMBER($D7),IF($D7&lt;1,$D7,(INT($D7/100)*60+MOD($D7,100))/1440),IFERROR(TIMEVALUE(SUBSTITUTE($D7,"：",":")),""))</f>
        <v/>
      </c>
      <c r="O7">
        <f>IF(ISNUMBER($F7),IF($F7&lt;1,$F7,(INT($F7/100)*60+MOD($F7,100))/1440),IFERROR(TIMEVALUE(SUBSTITUTE($F7,"：",":")),""))</f>
        <v/>
      </c>
      <c r="P7">
        <f>IF(ISNUMBER($G7),IF($G7&lt;1,$G7,(INT($G7/100)*60+MOD($G7,100))/1440),IFERROR(TIMEVALUE(SUBSTITUTE($G7,"：",":")),""))</f>
        <v/>
      </c>
      <c r="Q7">
        <f>IF(ISNUMBER($H7),IF($H7&lt;1,$H7,(INT($H7/100)*60+MOD($H7,100))/1440),IFERROR(TIMEVALUE(SUBSTITUTE($H7,"：",":")),""))</f>
        <v/>
      </c>
      <c r="R7">
        <f>IF(ISNUMBER($I7),IF($I7&lt;1,$I7,(INT($I7/100)*60+MOD($I7,100))/1440),IFERROR(TIMEVALUE(SUBSTITUTE($I7,"：",":")),""))</f>
        <v/>
      </c>
      <c r="S7">
        <f>IF(ISNUMBER($J7),IF($J7&lt;1,$J7,(INT($J7/100)*60+MOD($J7,100))/1440),IFERROR(TIMEVALUE(SUBSTITUTE($J7,"：",":")),""))</f>
        <v/>
      </c>
      <c r="T7">
        <f>IF(OR($N7="",$O7=""),"",MAX(0,MOD($O7-$N7,1)-MAX(0,MIN($O7,13/24)-MAX($N7,0.5))))</f>
        <v/>
      </c>
      <c r="U7">
        <f>IF($A7="","",IF(ISNUMBER(MATCH($A7,祝日リスト!$A$2:$A$40,0)),"祝",IF(WEEKDAY($A7,2)=6,"土",IF(WEEKDAY($A7,2)=7,"日","平"))))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IF(ISNUMBER($D8),IF($D8&lt;1,$D8,(INT($D8/100)*60+MOD($D8,100))/1440),IFERROR(TIMEVALUE(SUBSTITUTE($D8,"：",":")),""))</f>
        <v/>
      </c>
      <c r="O8" s="35">
        <f>IF(ISNUMBER($F8),IF($F8&lt;1,$F8,(INT($F8/100)*60+MOD($F8,100))/1440),IFERROR(TIMEVALUE(SUBSTITUTE($F8,"：",":")),""))</f>
        <v/>
      </c>
      <c r="P8">
        <f>IF(ISNUMBER($G8),IF($G8&lt;1,$G8,(INT($G8/100)*60+MOD($G8,100))/1440),IFERROR(TIMEVALUE(SUBSTITUTE($G8,"：",":")),""))</f>
        <v/>
      </c>
      <c r="Q8">
        <f>IF(ISNUMBER($H8),IF($H8&lt;1,$H8,(INT($H8/100)*60+MOD($H8,100))/1440),IFERROR(TIMEVALUE(SUBSTITUTE($H8,"：",":")),""))</f>
        <v/>
      </c>
      <c r="R8">
        <f>IF(ISNUMBER($I8),IF($I8&lt;1,$I8,(INT($I8/100)*60+MOD($I8,100))/1440),IFERROR(TIMEVALUE(SUBSTITUTE($I8,"：",":")),""))</f>
        <v/>
      </c>
      <c r="S8">
        <f>IF(ISNUMBER($J8),IF($J8&lt;1,$J8,(INT($J8/100)*60+MOD($J8,100))/1440),IFERROR(TIMEVALUE(SUBSTITUTE($J8,"：",":")),""))</f>
        <v/>
      </c>
      <c r="T8">
        <f>IF(OR($N8="",$O8=""),"",MAX(0,MOD($O8-$N8,1)-MAX(0,MIN($O8,13/24)-MAX($N8,0.5))))</f>
        <v/>
      </c>
      <c r="U8">
        <f>IF($A8="","",IF(ISNUMBER(MATCH($A8,祝日リスト!$A$2:$A$40,0)),"祝",IF(WEEKDAY($A8,2)=6,"土",IF(WEEKDAY($A8,2)=7,"日","平"))))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IF(ISNUMBER($D9),IF($D9&lt;1,$D9,(INT($D9/100)*60+MOD($D9,100))/1440),IFERROR(TIMEVALUE(SUBSTITUTE($D9,"：",":")),""))</f>
        <v/>
      </c>
      <c r="O9" s="35">
        <f>IF(ISNUMBER($F9),IF($F9&lt;1,$F9,(INT($F9/100)*60+MOD($F9,100))/1440),IFERROR(TIMEVALUE(SUBSTITUTE($F9,"：",":")),""))</f>
        <v/>
      </c>
      <c r="P9">
        <f>IF(ISNUMBER($G9),IF($G9&lt;1,$G9,(INT($G9/100)*60+MOD($G9,100))/1440),IFERROR(TIMEVALUE(SUBSTITUTE($G9,"：",":")),""))</f>
        <v/>
      </c>
      <c r="Q9">
        <f>IF(ISNUMBER($H9),IF($H9&lt;1,$H9,(INT($H9/100)*60+MOD($H9,100))/1440),IFERROR(TIMEVALUE(SUBSTITUTE($H9,"：",":")),""))</f>
        <v/>
      </c>
      <c r="R9">
        <f>IF(ISNUMBER($I9),IF($I9&lt;1,$I9,(INT($I9/100)*60+MOD($I9,100))/1440),IFERROR(TIMEVALUE(SUBSTITUTE($I9,"：",":")),""))</f>
        <v/>
      </c>
      <c r="S9">
        <f>IF(ISNUMBER($J9),IF($J9&lt;1,$J9,(INT($J9/100)*60+MOD($J9,100))/1440),IFERROR(TIMEVALUE(SUBSTITUTE($J9,"：",":")),""))</f>
        <v/>
      </c>
      <c r="T9">
        <f>IF(OR($N9="",$O9=""),"",MAX(0,MOD($O9-$N9,1)-MAX(0,MIN($O9,13/24)-MAX($N9,0.5))))</f>
        <v/>
      </c>
      <c r="U9">
        <f>IF($A9="","",IF(ISNUMBER(MATCH($A9,祝日リスト!$A$2:$A$40,0)),"祝",IF(WEEKDAY($A9,2)=6,"土",IF(WEEKDAY($A9,2)=7,"日","平"))))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IF(ISNUMBER($D10),IF($D10&lt;1,$D10,(INT($D10/100)*60+MOD($D10,100))/1440),IFERROR(TIMEVALUE(SUBSTITUTE($D10,"：",":")),""))</f>
        <v/>
      </c>
      <c r="O10" s="35">
        <f>IF(ISNUMBER($F10),IF($F10&lt;1,$F10,(INT($F10/100)*60+MOD($F10,100))/1440),IFERROR(TIMEVALUE(SUBSTITUTE($F10,"：",":")),""))</f>
        <v/>
      </c>
      <c r="P10">
        <f>IF(ISNUMBER($G10),IF($G10&lt;1,$G10,(INT($G10/100)*60+MOD($G10,100))/1440),IFERROR(TIMEVALUE(SUBSTITUTE($G10,"：",":")),""))</f>
        <v/>
      </c>
      <c r="Q10">
        <f>IF(ISNUMBER($H10),IF($H10&lt;1,$H10,(INT($H10/100)*60+MOD($H10,100))/1440),IFERROR(TIMEVALUE(SUBSTITUTE($H10,"：",":")),""))</f>
        <v/>
      </c>
      <c r="R10">
        <f>IF(ISNUMBER($I10),IF($I10&lt;1,$I10,(INT($I10/100)*60+MOD($I10,100))/1440),IFERROR(TIMEVALUE(SUBSTITUTE($I10,"：",":")),""))</f>
        <v/>
      </c>
      <c r="S10">
        <f>IF(ISNUMBER($J10),IF($J10&lt;1,$J10,(INT($J10/100)*60+MOD($J10,100))/1440),IFERROR(TIMEVALUE(SUBSTITUTE($J10,"：",":")),""))</f>
        <v/>
      </c>
      <c r="T10">
        <f>IF(OR($N10="",$O10=""),"",MAX(0,MOD($O10-$N10,1)-MAX(0,MIN($O10,13/24)-MAX($N10,0.5))))</f>
        <v/>
      </c>
      <c r="U10">
        <f>IF($A10="","",IF(ISNUMBER(MATCH($A10,祝日リスト!$A$2:$A$40,0)),"祝",IF(WEEKDAY($A10,2)=6,"土",IF(WEEKDAY($A10,2)=7,"日","平"))))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IF(ISNUMBER($D11),IF($D11&lt;1,$D11,(INT($D11/100)*60+MOD($D11,100))/1440),IFERROR(TIMEVALUE(SUBSTITUTE($D11,"：",":")),""))</f>
        <v/>
      </c>
      <c r="O11" s="35">
        <f>IF(ISNUMBER($F11),IF($F11&lt;1,$F11,(INT($F11/100)*60+MOD($F11,100))/1440),IFERROR(TIMEVALUE(SUBSTITUTE($F11,"：",":")),""))</f>
        <v/>
      </c>
      <c r="P11">
        <f>IF(ISNUMBER($G11),IF($G11&lt;1,$G11,(INT($G11/100)*60+MOD($G11,100))/1440),IFERROR(TIMEVALUE(SUBSTITUTE($G11,"：",":")),""))</f>
        <v/>
      </c>
      <c r="Q11">
        <f>IF(ISNUMBER($H11),IF($H11&lt;1,$H11,(INT($H11/100)*60+MOD($H11,100))/1440),IFERROR(TIMEVALUE(SUBSTITUTE($H11,"：",":")),""))</f>
        <v/>
      </c>
      <c r="R11">
        <f>IF(ISNUMBER($I11),IF($I11&lt;1,$I11,(INT($I11/100)*60+MOD($I11,100))/1440),IFERROR(TIMEVALUE(SUBSTITUTE($I11,"：",":")),""))</f>
        <v/>
      </c>
      <c r="S11">
        <f>IF(ISNUMBER($J11),IF($J11&lt;1,$J11,(INT($J11/100)*60+MOD($J11,100))/1440),IFERROR(TIMEVALUE(SUBSTITUTE($J11,"：",":")),""))</f>
        <v/>
      </c>
      <c r="T11">
        <f>IF(OR($N11="",$O11=""),"",MAX(0,MOD($O11-$N11,1)-MAX(0,MIN($O11,13/24)-MAX($N11,0.5))))</f>
        <v/>
      </c>
      <c r="U11">
        <f>IF($A11="","",IF(ISNUMBER(MATCH($A11,祝日リスト!$A$2:$A$40,0)),"祝",IF(WEEKDAY($A11,2)=6,"土",IF(WEEKDAY($A11,2)=7,"日","平"))))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IF(ISNUMBER($D12),IF($D12&lt;1,$D12,(INT($D12/100)*60+MOD($D12,100))/1440),IFERROR(TIMEVALUE(SUBSTITUTE($D12,"：",":")),""))</f>
        <v/>
      </c>
      <c r="O12" s="35">
        <f>IF(ISNUMBER($F12),IF($F12&lt;1,$F12,(INT($F12/100)*60+MOD($F12,100))/1440),IFERROR(TIMEVALUE(SUBSTITUTE($F12,"：",":")),""))</f>
        <v/>
      </c>
      <c r="P12">
        <f>IF(ISNUMBER($G12),IF($G12&lt;1,$G12,(INT($G12/100)*60+MOD($G12,100))/1440),IFERROR(TIMEVALUE(SUBSTITUTE($G12,"：",":")),""))</f>
        <v/>
      </c>
      <c r="Q12">
        <f>IF(ISNUMBER($H12),IF($H12&lt;1,$H12,(INT($H12/100)*60+MOD($H12,100))/1440),IFERROR(TIMEVALUE(SUBSTITUTE($H12,"：",":")),""))</f>
        <v/>
      </c>
      <c r="R12">
        <f>IF(ISNUMBER($I12),IF($I12&lt;1,$I12,(INT($I12/100)*60+MOD($I12,100))/1440),IFERROR(TIMEVALUE(SUBSTITUTE($I12,"：",":")),""))</f>
        <v/>
      </c>
      <c r="S12">
        <f>IF(ISNUMBER($J12),IF($J12&lt;1,$J12,(INT($J12/100)*60+MOD($J12,100))/1440),IFERROR(TIMEVALUE(SUBSTITUTE($J12,"：",":")),""))</f>
        <v/>
      </c>
      <c r="T12">
        <f>IF(OR($N12="",$O12=""),"",MAX(0,MOD($O12-$N12,1)-MAX(0,MIN($O12,13/24)-MAX($N12,0.5))))</f>
        <v/>
      </c>
      <c r="U12">
        <f>IF($A12="","",IF(ISNUMBER(MATCH($A12,祝日リスト!$A$2:$A$40,0)),"祝",IF(WEEKDAY($A12,2)=6,"土",IF(WEEKDAY($A12,2)=7,"日","平"))))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IF(ISNUMBER($D13),IF($D13&lt;1,$D13,(INT($D13/100)*60+MOD($D13,100))/1440),IFERROR(TIMEVALUE(SUBSTITUTE($D13,"：",":")),""))</f>
        <v/>
      </c>
      <c r="O13" s="35">
        <f>IF(ISNUMBER($F13),IF($F13&lt;1,$F13,(INT($F13/100)*60+MOD($F13,100))/1440),IFERROR(TIMEVALUE(SUBSTITUTE($F13,"：",":")),""))</f>
        <v/>
      </c>
      <c r="P13">
        <f>IF(ISNUMBER($G13),IF($G13&lt;1,$G13,(INT($G13/100)*60+MOD($G13,100))/1440),IFERROR(TIMEVALUE(SUBSTITUTE($G13,"：",":")),""))</f>
        <v/>
      </c>
      <c r="Q13">
        <f>IF(ISNUMBER($H13),IF($H13&lt;1,$H13,(INT($H13/100)*60+MOD($H13,100))/1440),IFERROR(TIMEVALUE(SUBSTITUTE($H13,"：",":")),""))</f>
        <v/>
      </c>
      <c r="R13">
        <f>IF(ISNUMBER($I13),IF($I13&lt;1,$I13,(INT($I13/100)*60+MOD($I13,100))/1440),IFERROR(TIMEVALUE(SUBSTITUTE($I13,"：",":")),""))</f>
        <v/>
      </c>
      <c r="S13">
        <f>IF(ISNUMBER($J13),IF($J13&lt;1,$J13,(INT($J13/100)*60+MOD($J13,100))/1440),IFERROR(TIMEVALUE(SUBSTITUTE($J13,"：",":")),""))</f>
        <v/>
      </c>
      <c r="T13">
        <f>IF(OR($N13="",$O13=""),"",MAX(0,MOD($O13-$N13,1)-MAX(0,MIN($O13,13/24)-MAX($N13,0.5))))</f>
        <v/>
      </c>
      <c r="U13">
        <f>IF($A13="","",IF(ISNUMBER(MATCH($A13,祝日リスト!$A$2:$A$40,0)),"祝",IF(WEEKDAY($A13,2)=6,"土",IF(WEEKDAY($A13,2)=7,"日","平"))))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IF(ISNUMBER($D14),IF($D14&lt;1,$D14,(INT($D14/100)*60+MOD($D14,100))/1440),IFERROR(TIMEVALUE(SUBSTITUTE($D14,"：",":")),""))</f>
        <v/>
      </c>
      <c r="O14" s="35">
        <f>IF(ISNUMBER($F14),IF($F14&lt;1,$F14,(INT($F14/100)*60+MOD($F14,100))/1440),IFERROR(TIMEVALUE(SUBSTITUTE($F14,"：",":")),""))</f>
        <v/>
      </c>
      <c r="P14">
        <f>IF(ISNUMBER($G14),IF($G14&lt;1,$G14,(INT($G14/100)*60+MOD($G14,100))/1440),IFERROR(TIMEVALUE(SUBSTITUTE($G14,"：",":")),""))</f>
        <v/>
      </c>
      <c r="Q14">
        <f>IF(ISNUMBER($H14),IF($H14&lt;1,$H14,(INT($H14/100)*60+MOD($H14,100))/1440),IFERROR(TIMEVALUE(SUBSTITUTE($H14,"：",":")),""))</f>
        <v/>
      </c>
      <c r="R14">
        <f>IF(ISNUMBER($I14),IF($I14&lt;1,$I14,(INT($I14/100)*60+MOD($I14,100))/1440),IFERROR(TIMEVALUE(SUBSTITUTE($I14,"：",":")),""))</f>
        <v/>
      </c>
      <c r="S14">
        <f>IF(ISNUMBER($J14),IF($J14&lt;1,$J14,(INT($J14/100)*60+MOD($J14,100))/1440),IFERROR(TIMEVALUE(SUBSTITUTE($J14,"：",":")),""))</f>
        <v/>
      </c>
      <c r="T14">
        <f>IF(OR($N14="",$O14=""),"",MAX(0,MOD($O14-$N14,1)-MAX(0,MIN($O14,13/24)-MAX($N14,0.5))))</f>
        <v/>
      </c>
      <c r="U14">
        <f>IF($A14="","",IF(ISNUMBER(MATCH($A14,祝日リスト!$A$2:$A$40,0)),"祝",IF(WEEKDAY($A14,2)=6,"土",IF(WEEKDAY($A14,2)=7,"日","平"))))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IF(ISNUMBER($D15),IF($D15&lt;1,$D15,(INT($D15/100)*60+MOD($D15,100))/1440),IFERROR(TIMEVALUE(SUBSTITUTE($D15,"：",":")),""))</f>
        <v/>
      </c>
      <c r="O15" s="35">
        <f>IF(ISNUMBER($F15),IF($F15&lt;1,$F15,(INT($F15/100)*60+MOD($F15,100))/1440),IFERROR(TIMEVALUE(SUBSTITUTE($F15,"：",":")),""))</f>
        <v/>
      </c>
      <c r="P15">
        <f>IF(ISNUMBER($G15),IF($G15&lt;1,$G15,(INT($G15/100)*60+MOD($G15,100))/1440),IFERROR(TIMEVALUE(SUBSTITUTE($G15,"：",":")),""))</f>
        <v/>
      </c>
      <c r="Q15">
        <f>IF(ISNUMBER($H15),IF($H15&lt;1,$H15,(INT($H15/100)*60+MOD($H15,100))/1440),IFERROR(TIMEVALUE(SUBSTITUTE($H15,"：",":")),""))</f>
        <v/>
      </c>
      <c r="R15">
        <f>IF(ISNUMBER($I15),IF($I15&lt;1,$I15,(INT($I15/100)*60+MOD($I15,100))/1440),IFERROR(TIMEVALUE(SUBSTITUTE($I15,"：",":")),""))</f>
        <v/>
      </c>
      <c r="S15">
        <f>IF(ISNUMBER($J15),IF($J15&lt;1,$J15,(INT($J15/100)*60+MOD($J15,100))/1440),IFERROR(TIMEVALUE(SUBSTITUTE($J15,"：",":")),""))</f>
        <v/>
      </c>
      <c r="T15">
        <f>IF(OR($N15="",$O15=""),"",MAX(0,MOD($O15-$N15,1)-MAX(0,MIN($O15,13/24)-MAX($N15,0.5))))</f>
        <v/>
      </c>
      <c r="U15">
        <f>IF($A15="","",IF(ISNUMBER(MATCH($A15,祝日リスト!$A$2:$A$40,0)),"祝",IF(WEEKDAY($A15,2)=6,"土",IF(WEEKDAY($A15,2)=7,"日","平"))))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IF(ISNUMBER($D16),IF($D16&lt;1,$D16,(INT($D16/100)*60+MOD($D16,100))/1440),IFERROR(TIMEVALUE(SUBSTITUTE($D16,"：",":")),""))</f>
        <v/>
      </c>
      <c r="O16" s="35">
        <f>IF(ISNUMBER($F16),IF($F16&lt;1,$F16,(INT($F16/100)*60+MOD($F16,100))/1440),IFERROR(TIMEVALUE(SUBSTITUTE($F16,"：",":")),""))</f>
        <v/>
      </c>
      <c r="P16">
        <f>IF(ISNUMBER($G16),IF($G16&lt;1,$G16,(INT($G16/100)*60+MOD($G16,100))/1440),IFERROR(TIMEVALUE(SUBSTITUTE($G16,"：",":")),""))</f>
        <v/>
      </c>
      <c r="Q16">
        <f>IF(ISNUMBER($H16),IF($H16&lt;1,$H16,(INT($H16/100)*60+MOD($H16,100))/1440),IFERROR(TIMEVALUE(SUBSTITUTE($H16,"：",":")),""))</f>
        <v/>
      </c>
      <c r="R16">
        <f>IF(ISNUMBER($I16),IF($I16&lt;1,$I16,(INT($I16/100)*60+MOD($I16,100))/1440),IFERROR(TIMEVALUE(SUBSTITUTE($I16,"：",":")),""))</f>
        <v/>
      </c>
      <c r="S16">
        <f>IF(ISNUMBER($J16),IF($J16&lt;1,$J16,(INT($J16/100)*60+MOD($J16,100))/1440),IFERROR(TIMEVALUE(SUBSTITUTE($J16,"：",":")),""))</f>
        <v/>
      </c>
      <c r="T16">
        <f>IF(OR($N16="",$O16=""),"",MAX(0,MOD($O16-$N16,1)-MAX(0,MIN($O16,13/24)-MAX($N16,0.5))))</f>
        <v/>
      </c>
      <c r="U16">
        <f>IF($A16="","",IF(ISNUMBER(MATCH($A16,祝日リスト!$A$2:$A$40,0)),"祝",IF(WEEKDAY($A16,2)=6,"土",IF(WEEKDAY($A16,2)=7,"日","平"))))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IF(ISNUMBER($D17),IF($D17&lt;1,$D17,(INT($D17/100)*60+MOD($D17,100))/1440),IFERROR(TIMEVALUE(SUBSTITUTE($D17,"：",":")),""))</f>
        <v/>
      </c>
      <c r="O17" s="35">
        <f>IF(ISNUMBER($F17),IF($F17&lt;1,$F17,(INT($F17/100)*60+MOD($F17,100))/1440),IFERROR(TIMEVALUE(SUBSTITUTE($F17,"：",":")),""))</f>
        <v/>
      </c>
      <c r="P17">
        <f>IF(ISNUMBER($G17),IF($G17&lt;1,$G17,(INT($G17/100)*60+MOD($G17,100))/1440),IFERROR(TIMEVALUE(SUBSTITUTE($G17,"：",":")),""))</f>
        <v/>
      </c>
      <c r="Q17">
        <f>IF(ISNUMBER($H17),IF($H17&lt;1,$H17,(INT($H17/100)*60+MOD($H17,100))/1440),IFERROR(TIMEVALUE(SUBSTITUTE($H17,"：",":")),""))</f>
        <v/>
      </c>
      <c r="R17">
        <f>IF(ISNUMBER($I17),IF($I17&lt;1,$I17,(INT($I17/100)*60+MOD($I17,100))/1440),IFERROR(TIMEVALUE(SUBSTITUTE($I17,"：",":")),""))</f>
        <v/>
      </c>
      <c r="S17">
        <f>IF(ISNUMBER($J17),IF($J17&lt;1,$J17,(INT($J17/100)*60+MOD($J17,100))/1440),IFERROR(TIMEVALUE(SUBSTITUTE($J17,"：",":")),""))</f>
        <v/>
      </c>
      <c r="T17">
        <f>IF(OR($N17="",$O17=""),"",MAX(0,MOD($O17-$N17,1)-MAX(0,MIN($O17,13/24)-MAX($N17,0.5))))</f>
        <v/>
      </c>
      <c r="U17">
        <f>IF($A17="","",IF(ISNUMBER(MATCH($A17,祝日リスト!$A$2:$A$40,0)),"祝",IF(WEEKDAY($A17,2)=6,"土",IF(WEEKDAY($A17,2)=7,"日","平"))))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IF(ISNUMBER($D18),IF($D18&lt;1,$D18,(INT($D18/100)*60+MOD($D18,100))/1440),IFERROR(TIMEVALUE(SUBSTITUTE($D18,"：",":")),""))</f>
        <v/>
      </c>
      <c r="O18" s="35">
        <f>IF(ISNUMBER($F18),IF($F18&lt;1,$F18,(INT($F18/100)*60+MOD($F18,100))/1440),IFERROR(TIMEVALUE(SUBSTITUTE($F18,"：",":")),""))</f>
        <v/>
      </c>
      <c r="P18">
        <f>IF(ISNUMBER($G18),IF($G18&lt;1,$G18,(INT($G18/100)*60+MOD($G18,100))/1440),IFERROR(TIMEVALUE(SUBSTITUTE($G18,"：",":")),""))</f>
        <v/>
      </c>
      <c r="Q18">
        <f>IF(ISNUMBER($H18),IF($H18&lt;1,$H18,(INT($H18/100)*60+MOD($H18,100))/1440),IFERROR(TIMEVALUE(SUBSTITUTE($H18,"：",":")),""))</f>
        <v/>
      </c>
      <c r="R18">
        <f>IF(ISNUMBER($I18),IF($I18&lt;1,$I18,(INT($I18/100)*60+MOD($I18,100))/1440),IFERROR(TIMEVALUE(SUBSTITUTE($I18,"：",":")),""))</f>
        <v/>
      </c>
      <c r="S18">
        <f>IF(ISNUMBER($J18),IF($J18&lt;1,$J18,(INT($J18/100)*60+MOD($J18,100))/1440),IFERROR(TIMEVALUE(SUBSTITUTE($J18,"：",":")),""))</f>
        <v/>
      </c>
      <c r="T18">
        <f>IF(OR($N18="",$O18=""),"",MAX(0,MOD($O18-$N18,1)-MAX(0,MIN($O18,13/24)-MAX($N18,0.5))))</f>
        <v/>
      </c>
      <c r="U18">
        <f>IF($A18="","",IF(ISNUMBER(MATCH($A18,祝日リスト!$A$2:$A$40,0)),"祝",IF(WEEKDAY($A18,2)=6,"土",IF(WEEKDAY($A18,2)=7,"日","平"))))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IF(ISNUMBER($D19),IF($D19&lt;1,$D19,(INT($D19/100)*60+MOD($D19,100))/1440),IFERROR(TIMEVALUE(SUBSTITUTE($D19,"：",":")),""))</f>
        <v/>
      </c>
      <c r="O19" s="35">
        <f>IF(ISNUMBER($F19),IF($F19&lt;1,$F19,(INT($F19/100)*60+MOD($F19,100))/1440),IFERROR(TIMEVALUE(SUBSTITUTE($F19,"：",":")),""))</f>
        <v/>
      </c>
      <c r="P19">
        <f>IF(ISNUMBER($G19),IF($G19&lt;1,$G19,(INT($G19/100)*60+MOD($G19,100))/1440),IFERROR(TIMEVALUE(SUBSTITUTE($G19,"：",":")),""))</f>
        <v/>
      </c>
      <c r="Q19">
        <f>IF(ISNUMBER($H19),IF($H19&lt;1,$H19,(INT($H19/100)*60+MOD($H19,100))/1440),IFERROR(TIMEVALUE(SUBSTITUTE($H19,"：",":")),""))</f>
        <v/>
      </c>
      <c r="R19">
        <f>IF(ISNUMBER($I19),IF($I19&lt;1,$I19,(INT($I19/100)*60+MOD($I19,100))/1440),IFERROR(TIMEVALUE(SUBSTITUTE($I19,"：",":")),""))</f>
        <v/>
      </c>
      <c r="S19">
        <f>IF(ISNUMBER($J19),IF($J19&lt;1,$J19,(INT($J19/100)*60+MOD($J19,100))/1440),IFERROR(TIMEVALUE(SUBSTITUTE($J19,"：",":")),""))</f>
        <v/>
      </c>
      <c r="T19">
        <f>IF(OR($N19="",$O19=""),"",MAX(0,MOD($O19-$N19,1)-MAX(0,MIN($O19,13/24)-MAX($N19,0.5))))</f>
        <v/>
      </c>
      <c r="U19">
        <f>IF($A19="","",IF(ISNUMBER(MATCH($A19,祝日リスト!$A$2:$A$40,0)),"祝",IF(WEEKDAY($A19,2)=6,"土",IF(WEEKDAY($A19,2)=7,"日","平"))))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IF(ISNUMBER($D20),IF($D20&lt;1,$D20,(INT($D20/100)*60+MOD($D20,100))/1440),IFERROR(TIMEVALUE(SUBSTITUTE($D20,"：",":")),""))</f>
        <v/>
      </c>
      <c r="O20" s="35">
        <f>IF(ISNUMBER($F20),IF($F20&lt;1,$F20,(INT($F20/100)*60+MOD($F20,100))/1440),IFERROR(TIMEVALUE(SUBSTITUTE($F20,"：",":")),""))</f>
        <v/>
      </c>
      <c r="P20">
        <f>IF(ISNUMBER($G20),IF($G20&lt;1,$G20,(INT($G20/100)*60+MOD($G20,100))/1440),IFERROR(TIMEVALUE(SUBSTITUTE($G20,"：",":")),""))</f>
        <v/>
      </c>
      <c r="Q20">
        <f>IF(ISNUMBER($H20),IF($H20&lt;1,$H20,(INT($H20/100)*60+MOD($H20,100))/1440),IFERROR(TIMEVALUE(SUBSTITUTE($H20,"：",":")),""))</f>
        <v/>
      </c>
      <c r="R20">
        <f>IF(ISNUMBER($I20),IF($I20&lt;1,$I20,(INT($I20/100)*60+MOD($I20,100))/1440),IFERROR(TIMEVALUE(SUBSTITUTE($I20,"：",":")),""))</f>
        <v/>
      </c>
      <c r="S20">
        <f>IF(ISNUMBER($J20),IF($J20&lt;1,$J20,(INT($J20/100)*60+MOD($J20,100))/1440),IFERROR(TIMEVALUE(SUBSTITUTE($J20,"：",":")),""))</f>
        <v/>
      </c>
      <c r="T20">
        <f>IF(OR($N20="",$O20=""),"",MAX(0,MOD($O20-$N20,1)-MAX(0,MIN($O20,13/24)-MAX($N20,0.5))))</f>
        <v/>
      </c>
      <c r="U20">
        <f>IF($A20="","",IF(ISNUMBER(MATCH($A20,祝日リスト!$A$2:$A$40,0)),"祝",IF(WEEKDAY($A20,2)=6,"土",IF(WEEKDAY($A20,2)=7,"日","平"))))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IF(ISNUMBER($D21),IF($D21&lt;1,$D21,(INT($D21/100)*60+MOD($D21,100))/1440),IFERROR(TIMEVALUE(SUBSTITUTE($D21,"：",":")),""))</f>
        <v/>
      </c>
      <c r="O21" s="35">
        <f>IF(ISNUMBER($F21),IF($F21&lt;1,$F21,(INT($F21/100)*60+MOD($F21,100))/1440),IFERROR(TIMEVALUE(SUBSTITUTE($F21,"：",":")),""))</f>
        <v/>
      </c>
      <c r="P21">
        <f>IF(ISNUMBER($G21),IF($G21&lt;1,$G21,(INT($G21/100)*60+MOD($G21,100))/1440),IFERROR(TIMEVALUE(SUBSTITUTE($G21,"：",":")),""))</f>
        <v/>
      </c>
      <c r="Q21">
        <f>IF(ISNUMBER($H21),IF($H21&lt;1,$H21,(INT($H21/100)*60+MOD($H21,100))/1440),IFERROR(TIMEVALUE(SUBSTITUTE($H21,"：",":")),""))</f>
        <v/>
      </c>
      <c r="R21">
        <f>IF(ISNUMBER($I21),IF($I21&lt;1,$I21,(INT($I21/100)*60+MOD($I21,100))/1440),IFERROR(TIMEVALUE(SUBSTITUTE($I21,"：",":")),""))</f>
        <v/>
      </c>
      <c r="S21">
        <f>IF(ISNUMBER($J21),IF($J21&lt;1,$J21,(INT($J21/100)*60+MOD($J21,100))/1440),IFERROR(TIMEVALUE(SUBSTITUTE($J21,"：",":")),""))</f>
        <v/>
      </c>
      <c r="T21">
        <f>IF(OR($N21="",$O21=""),"",MAX(0,MOD($O21-$N21,1)-MAX(0,MIN($O21,13/24)-MAX($N21,0.5))))</f>
        <v/>
      </c>
      <c r="U21">
        <f>IF($A21="","",IF(ISNUMBER(MATCH($A21,祝日リスト!$A$2:$A$40,0)),"祝",IF(WEEKDAY($A21,2)=6,"土",IF(WEEKDAY($A21,2)=7,"日","平"))))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IF(ISNUMBER($D22),IF($D22&lt;1,$D22,(INT($D22/100)*60+MOD($D22,100))/1440),IFERROR(TIMEVALUE(SUBSTITUTE($D22,"：",":")),""))</f>
        <v/>
      </c>
      <c r="O22" s="35">
        <f>IF(ISNUMBER($F22),IF($F22&lt;1,$F22,(INT($F22/100)*60+MOD($F22,100))/1440),IFERROR(TIMEVALUE(SUBSTITUTE($F22,"：",":")),""))</f>
        <v/>
      </c>
      <c r="P22" s="4">
        <f>IF(ISNUMBER($G22),IF($G22&lt;1,$G22,(INT($G22/100)*60+MOD($G22,100))/1440),IFERROR(TIMEVALUE(SUBSTITUTE($G22,"：",":")),""))</f>
        <v/>
      </c>
      <c r="Q22" s="4">
        <f>IF(ISNUMBER($H22),IF($H22&lt;1,$H22,(INT($H22/100)*60+MOD($H22,100))/1440),IFERROR(TIMEVALUE(SUBSTITUTE($H22,"：",":")),""))</f>
        <v/>
      </c>
      <c r="R22" s="4">
        <f>IF(ISNUMBER($I22),IF($I22&lt;1,$I22,(INT($I22/100)*60+MOD($I22,100))/1440),IFERROR(TIMEVALUE(SUBSTITUTE($I22,"：",":")),""))</f>
        <v/>
      </c>
      <c r="S22" s="4">
        <f>IF(ISNUMBER($J22),IF($J22&lt;1,$J22,(INT($J22/100)*60+MOD($J22,100))/1440),IFERROR(TIMEVALUE(SUBSTITUTE($J22,"：",":")),""))</f>
        <v/>
      </c>
      <c r="T22" s="4">
        <f>IF(OR($N22="",$O22=""),"",MAX(0,MOD($O22-$N22,1)-MAX(0,MIN($O22,13/24)-MAX($N22,0.5))))</f>
        <v/>
      </c>
      <c r="U22" s="4">
        <f>IF($A22="","",IF(ISNUMBER(MATCH($A22,祝日リスト!$A$2:$A$40,0)),"祝",IF(WEEKDAY($A22,2)=6,"土",IF(WEEKDAY($A22,2)=7,"日","平"))))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IF(ISNUMBER($D23),IF($D23&lt;1,$D23,(INT($D23/100)*60+MOD($D23,100))/1440),IFERROR(TIMEVALUE(SUBSTITUTE($D23,"：",":")),""))</f>
        <v/>
      </c>
      <c r="O23" s="35">
        <f>IF(ISNUMBER($F23),IF($F23&lt;1,$F23,(INT($F23/100)*60+MOD($F23,100))/1440),IFERROR(TIMEVALUE(SUBSTITUTE($F23,"：",":")),""))</f>
        <v/>
      </c>
      <c r="P23">
        <f>IF(ISNUMBER($G23),IF($G23&lt;1,$G23,(INT($G23/100)*60+MOD($G23,100))/1440),IFERROR(TIMEVALUE(SUBSTITUTE($G23,"：",":")),""))</f>
        <v/>
      </c>
      <c r="Q23">
        <f>IF(ISNUMBER($H23),IF($H23&lt;1,$H23,(INT($H23/100)*60+MOD($H23,100))/1440),IFERROR(TIMEVALUE(SUBSTITUTE($H23,"：",":")),""))</f>
        <v/>
      </c>
      <c r="R23">
        <f>IF(ISNUMBER($I23),IF($I23&lt;1,$I23,(INT($I23/100)*60+MOD($I23,100))/1440),IFERROR(TIMEVALUE(SUBSTITUTE($I23,"：",":")),""))</f>
        <v/>
      </c>
      <c r="S23">
        <f>IF(ISNUMBER($J23),IF($J23&lt;1,$J23,(INT($J23/100)*60+MOD($J23,100))/1440),IFERROR(TIMEVALUE(SUBSTITUTE($J23,"：",":")),""))</f>
        <v/>
      </c>
      <c r="T23">
        <f>IF(OR($N23="",$O23=""),"",MAX(0,MOD($O23-$N23,1)-MAX(0,MIN($O23,13/24)-MAX($N23,0.5))))</f>
        <v/>
      </c>
      <c r="U23">
        <f>IF($A23="","",IF(ISNUMBER(MATCH($A23,祝日リスト!$A$2:$A$40,0)),"祝",IF(WEEKDAY($A23,2)=6,"土",IF(WEEKDAY($A23,2)=7,"日","平"))))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IF(ISNUMBER($D24),IF($D24&lt;1,$D24,(INT($D24/100)*60+MOD($D24,100))/1440),IFERROR(TIMEVALUE(SUBSTITUTE($D24,"：",":")),""))</f>
        <v/>
      </c>
      <c r="O24" s="35">
        <f>IF(ISNUMBER($F24),IF($F24&lt;1,$F24,(INT($F24/100)*60+MOD($F24,100))/1440),IFERROR(TIMEVALUE(SUBSTITUTE($F24,"：",":")),""))</f>
        <v/>
      </c>
      <c r="P24">
        <f>IF(ISNUMBER($G24),IF($G24&lt;1,$G24,(INT($G24/100)*60+MOD($G24,100))/1440),IFERROR(TIMEVALUE(SUBSTITUTE($G24,"：",":")),""))</f>
        <v/>
      </c>
      <c r="Q24">
        <f>IF(ISNUMBER($H24),IF($H24&lt;1,$H24,(INT($H24/100)*60+MOD($H24,100))/1440),IFERROR(TIMEVALUE(SUBSTITUTE($H24,"：",":")),""))</f>
        <v/>
      </c>
      <c r="R24">
        <f>IF(ISNUMBER($I24),IF($I24&lt;1,$I24,(INT($I24/100)*60+MOD($I24,100))/1440),IFERROR(TIMEVALUE(SUBSTITUTE($I24,"：",":")),""))</f>
        <v/>
      </c>
      <c r="S24">
        <f>IF(ISNUMBER($J24),IF($J24&lt;1,$J24,(INT($J24/100)*60+MOD($J24,100))/1440),IFERROR(TIMEVALUE(SUBSTITUTE($J24,"：",":")),""))</f>
        <v/>
      </c>
      <c r="T24">
        <f>IF(OR($N24="",$O24=""),"",MAX(0,MOD($O24-$N24,1)-MAX(0,MIN($O24,13/24)-MAX($N24,0.5))))</f>
        <v/>
      </c>
      <c r="U24">
        <f>IF($A24="","",IF(ISNUMBER(MATCH($A24,祝日リスト!$A$2:$A$40,0)),"祝",IF(WEEKDAY($A24,2)=6,"土",IF(WEEKDAY($A24,2)=7,"日","平"))))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IF(ISNUMBER($D25),IF($D25&lt;1,$D25,(INT($D25/100)*60+MOD($D25,100))/1440),IFERROR(TIMEVALUE(SUBSTITUTE($D25,"：",":")),""))</f>
        <v/>
      </c>
      <c r="O25" s="35">
        <f>IF(ISNUMBER($F25),IF($F25&lt;1,$F25,(INT($F25/100)*60+MOD($F25,100))/1440),IFERROR(TIMEVALUE(SUBSTITUTE($F25,"：",":")),""))</f>
        <v/>
      </c>
      <c r="P25">
        <f>IF(ISNUMBER($G25),IF($G25&lt;1,$G25,(INT($G25/100)*60+MOD($G25,100))/1440),IFERROR(TIMEVALUE(SUBSTITUTE($G25,"：",":")),""))</f>
        <v/>
      </c>
      <c r="Q25">
        <f>IF(ISNUMBER($H25),IF($H25&lt;1,$H25,(INT($H25/100)*60+MOD($H25,100))/1440),IFERROR(TIMEVALUE(SUBSTITUTE($H25,"：",":")),""))</f>
        <v/>
      </c>
      <c r="R25">
        <f>IF(ISNUMBER($I25),IF($I25&lt;1,$I25,(INT($I25/100)*60+MOD($I25,100))/1440),IFERROR(TIMEVALUE(SUBSTITUTE($I25,"：",":")),""))</f>
        <v/>
      </c>
      <c r="S25">
        <f>IF(ISNUMBER($J25),IF($J25&lt;1,$J25,(INT($J25/100)*60+MOD($J25,100))/1440),IFERROR(TIMEVALUE(SUBSTITUTE($J25,"：",":")),""))</f>
        <v/>
      </c>
      <c r="T25">
        <f>IF(OR($N25="",$O25=""),"",MAX(0,MOD($O25-$N25,1)-MAX(0,MIN($O25,13/24)-MAX($N25,0.5))))</f>
        <v/>
      </c>
      <c r="U25">
        <f>IF($A25="","",IF(ISNUMBER(MATCH($A25,祝日リスト!$A$2:$A$40,0)),"祝",IF(WEEKDAY($A25,2)=6,"土",IF(WEEKDAY($A25,2)=7,"日","平"))))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IF(ISNUMBER($D26),IF($D26&lt;1,$D26,(INT($D26/100)*60+MOD($D26,100))/1440),IFERROR(TIMEVALUE(SUBSTITUTE($D26,"：",":")),""))</f>
        <v/>
      </c>
      <c r="O26" s="35">
        <f>IF(ISNUMBER($F26),IF($F26&lt;1,$F26,(INT($F26/100)*60+MOD($F26,100))/1440),IFERROR(TIMEVALUE(SUBSTITUTE($F26,"：",":")),""))</f>
        <v/>
      </c>
      <c r="P26" s="4">
        <f>IF(ISNUMBER($G26),IF($G26&lt;1,$G26,(INT($G26/100)*60+MOD($G26,100))/1440),IFERROR(TIMEVALUE(SUBSTITUTE($G26,"：",":")),""))</f>
        <v/>
      </c>
      <c r="Q26" s="4">
        <f>IF(ISNUMBER($H26),IF($H26&lt;1,$H26,(INT($H26/100)*60+MOD($H26,100))/1440),IFERROR(TIMEVALUE(SUBSTITUTE($H26,"：",":")),""))</f>
        <v/>
      </c>
      <c r="R26" s="4">
        <f>IF(ISNUMBER($I26),IF($I26&lt;1,$I26,(INT($I26/100)*60+MOD($I26,100))/1440),IFERROR(TIMEVALUE(SUBSTITUTE($I26,"：",":")),""))</f>
        <v/>
      </c>
      <c r="S26" s="4">
        <f>IF(ISNUMBER($J26),IF($J26&lt;1,$J26,(INT($J26/100)*60+MOD($J26,100))/1440),IFERROR(TIMEVALUE(SUBSTITUTE($J26,"：",":")),""))</f>
        <v/>
      </c>
      <c r="T26" s="4">
        <f>IF(OR($N26="",$O26=""),"",MAX(0,MOD($O26-$N26,1)-MAX(0,MIN($O26,13/24)-MAX($N26,0.5))))</f>
        <v/>
      </c>
      <c r="U26" s="4">
        <f>IF($A26="","",IF(ISNUMBER(MATCH($A26,祝日リスト!$A$2:$A$40,0)),"祝",IF(WEEKDAY($A26,2)=6,"土",IF(WEEKDAY($A26,2)=7,"日","平"))))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IF(ISNUMBER($D27),IF($D27&lt;1,$D27,(INT($D27/100)*60+MOD($D27,100))/1440),IFERROR(TIMEVALUE(SUBSTITUTE($D27,"：",":")),""))</f>
        <v/>
      </c>
      <c r="O27" s="35">
        <f>IF(ISNUMBER($F27),IF($F27&lt;1,$F27,(INT($F27/100)*60+MOD($F27,100))/1440),IFERROR(TIMEVALUE(SUBSTITUTE($F27,"：",":")),""))</f>
        <v/>
      </c>
      <c r="P27">
        <f>IF(ISNUMBER($G27),IF($G27&lt;1,$G27,(INT($G27/100)*60+MOD($G27,100))/1440),IFERROR(TIMEVALUE(SUBSTITUTE($G27,"：",":")),""))</f>
        <v/>
      </c>
      <c r="Q27">
        <f>IF(ISNUMBER($H27),IF($H27&lt;1,$H27,(INT($H27/100)*60+MOD($H27,100))/1440),IFERROR(TIMEVALUE(SUBSTITUTE($H27,"：",":")),""))</f>
        <v/>
      </c>
      <c r="R27">
        <f>IF(ISNUMBER($I27),IF($I27&lt;1,$I27,(INT($I27/100)*60+MOD($I27,100))/1440),IFERROR(TIMEVALUE(SUBSTITUTE($I27,"：",":")),""))</f>
        <v/>
      </c>
      <c r="S27">
        <f>IF(ISNUMBER($J27),IF($J27&lt;1,$J27,(INT($J27/100)*60+MOD($J27,100))/1440),IFERROR(TIMEVALUE(SUBSTITUTE($J27,"：",":")),""))</f>
        <v/>
      </c>
      <c r="T27">
        <f>IF(OR($N27="",$O27=""),"",MAX(0,MOD($O27-$N27,1)-MAX(0,MIN($O27,13/24)-MAX($N27,0.5))))</f>
        <v/>
      </c>
      <c r="U27">
        <f>IF($A27="","",IF(ISNUMBER(MATCH($A27,祝日リスト!$A$2:$A$40,0)),"祝",IF(WEEKDAY($A27,2)=6,"土",IF(WEEKDAY($A27,2)=7,"日","平"))))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IF(ISNUMBER($D28),IF($D28&lt;1,$D28,(INT($D28/100)*60+MOD($D28,100))/1440),IFERROR(TIMEVALUE(SUBSTITUTE($D28,"：",":")),""))</f>
        <v/>
      </c>
      <c r="O28" s="35">
        <f>IF(ISNUMBER($F28),IF($F28&lt;1,$F28,(INT($F28/100)*60+MOD($F28,100))/1440),IFERROR(TIMEVALUE(SUBSTITUTE($F28,"：",":")),""))</f>
        <v/>
      </c>
      <c r="P28">
        <f>IF(ISNUMBER($G28),IF($G28&lt;1,$G28,(INT($G28/100)*60+MOD($G28,100))/1440),IFERROR(TIMEVALUE(SUBSTITUTE($G28,"：",":")),""))</f>
        <v/>
      </c>
      <c r="Q28">
        <f>IF(ISNUMBER($H28),IF($H28&lt;1,$H28,(INT($H28/100)*60+MOD($H28,100))/1440),IFERROR(TIMEVALUE(SUBSTITUTE($H28,"：",":")),""))</f>
        <v/>
      </c>
      <c r="R28">
        <f>IF(ISNUMBER($I28),IF($I28&lt;1,$I28,(INT($I28/100)*60+MOD($I28,100))/1440),IFERROR(TIMEVALUE(SUBSTITUTE($I28,"：",":")),""))</f>
        <v/>
      </c>
      <c r="S28">
        <f>IF(ISNUMBER($J28),IF($J28&lt;1,$J28,(INT($J28/100)*60+MOD($J28,100))/1440),IFERROR(TIMEVALUE(SUBSTITUTE($J28,"：",":")),""))</f>
        <v/>
      </c>
      <c r="T28">
        <f>IF(OR($N28="",$O28=""),"",MAX(0,MOD($O28-$N28,1)-MAX(0,MIN($O28,13/24)-MAX($N28,0.5))))</f>
        <v/>
      </c>
      <c r="U28">
        <f>IF($A28="","",IF(ISNUMBER(MATCH($A28,祝日リスト!$A$2:$A$40,0)),"祝",IF(WEEKDAY($A28,2)=6,"土",IF(WEEKDAY($A28,2)=7,"日","平"))))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IF(ISNUMBER($D29),IF($D29&lt;1,$D29,(INT($D29/100)*60+MOD($D29,100))/1440),IFERROR(TIMEVALUE(SUBSTITUTE($D29,"：",":")),""))</f>
        <v/>
      </c>
      <c r="O29" s="35">
        <f>IF(ISNUMBER($F29),IF($F29&lt;1,$F29,(INT($F29/100)*60+MOD($F29,100))/1440),IFERROR(TIMEVALUE(SUBSTITUTE($F29,"：",":")),""))</f>
        <v/>
      </c>
      <c r="P29">
        <f>IF(ISNUMBER($G29),IF($G29&lt;1,$G29,(INT($G29/100)*60+MOD($G29,100))/1440),IFERROR(TIMEVALUE(SUBSTITUTE($G29,"：",":")),""))</f>
        <v/>
      </c>
      <c r="Q29">
        <f>IF(ISNUMBER($H29),IF($H29&lt;1,$H29,(INT($H29/100)*60+MOD($H29,100))/1440),IFERROR(TIMEVALUE(SUBSTITUTE($H29,"：",":")),""))</f>
        <v/>
      </c>
      <c r="R29">
        <f>IF(ISNUMBER($I29),IF($I29&lt;1,$I29,(INT($I29/100)*60+MOD($I29,100))/1440),IFERROR(TIMEVALUE(SUBSTITUTE($I29,"：",":")),""))</f>
        <v/>
      </c>
      <c r="S29">
        <f>IF(ISNUMBER($J29),IF($J29&lt;1,$J29,(INT($J29/100)*60+MOD($J29,100))/1440),IFERROR(TIMEVALUE(SUBSTITUTE($J29,"：",":")),""))</f>
        <v/>
      </c>
      <c r="T29">
        <f>IF(OR($N29="",$O29=""),"",MAX(0,MOD($O29-$N29,1)-MAX(0,MIN($O29,13/24)-MAX($N29,0.5))))</f>
        <v/>
      </c>
      <c r="U29">
        <f>IF($A29="","",IF(ISNUMBER(MATCH($A29,祝日リスト!$A$2:$A$40,0)),"祝",IF(WEEKDAY($A29,2)=6,"土",IF(WEEKDAY($A29,2)=7,"日","平"))))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IF(ISNUMBER($D30),IF($D30&lt;1,$D30,(INT($D30/100)*60+MOD($D30,100))/1440),IFERROR(TIMEVALUE(SUBSTITUTE($D30,"：",":")),""))</f>
        <v/>
      </c>
      <c r="O30" s="35">
        <f>IF(ISNUMBER($F30),IF($F30&lt;1,$F30,(INT($F30/100)*60+MOD($F30,100))/1440),IFERROR(TIMEVALUE(SUBSTITUTE($F30,"：",":")),""))</f>
        <v/>
      </c>
      <c r="P30">
        <f>IF(ISNUMBER($G30),IF($G30&lt;1,$G30,(INT($G30/100)*60+MOD($G30,100))/1440),IFERROR(TIMEVALUE(SUBSTITUTE($G30,"：",":")),""))</f>
        <v/>
      </c>
      <c r="Q30">
        <f>IF(ISNUMBER($H30),IF($H30&lt;1,$H30,(INT($H30/100)*60+MOD($H30,100))/1440),IFERROR(TIMEVALUE(SUBSTITUTE($H30,"：",":")),""))</f>
        <v/>
      </c>
      <c r="R30">
        <f>IF(ISNUMBER($I30),IF($I30&lt;1,$I30,(INT($I30/100)*60+MOD($I30,100))/1440),IFERROR(TIMEVALUE(SUBSTITUTE($I30,"：",":")),""))</f>
        <v/>
      </c>
      <c r="S30">
        <f>IF(ISNUMBER($J30),IF($J30&lt;1,$J30,(INT($J30/100)*60+MOD($J30,100))/1440),IFERROR(TIMEVALUE(SUBSTITUTE($J30,"：",":")),""))</f>
        <v/>
      </c>
      <c r="T30">
        <f>IF(OR($N30="",$O30=""),"",MAX(0,MOD($O30-$N30,1)-MAX(0,MIN($O30,13/24)-MAX($N30,0.5))))</f>
        <v/>
      </c>
      <c r="U30">
        <f>IF($A30="","",IF(ISNUMBER(MATCH($A30,祝日リスト!$A$2:$A$40,0)),"祝",IF(WEEKDAY($A30,2)=6,"土",IF(WEEKDAY($A30,2)=7,"日","平"))))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IF(ISNUMBER($D31),IF($D31&lt;1,$D31,(INT($D31/100)*60+MOD($D31,100))/1440),IFERROR(TIMEVALUE(SUBSTITUTE($D31,"：",":")),""))</f>
        <v/>
      </c>
      <c r="O31" s="35">
        <f>IF(ISNUMBER($F31),IF($F31&lt;1,$F31,(INT($F31/100)*60+MOD($F31,100))/1440),IFERROR(TIMEVALUE(SUBSTITUTE($F31,"：",":")),""))</f>
        <v/>
      </c>
      <c r="P31">
        <f>IF(ISNUMBER($G31),IF($G31&lt;1,$G31,(INT($G31/100)*60+MOD($G31,100))/1440),IFERROR(TIMEVALUE(SUBSTITUTE($G31,"：",":")),""))</f>
        <v/>
      </c>
      <c r="Q31">
        <f>IF(ISNUMBER($H31),IF($H31&lt;1,$H31,(INT($H31/100)*60+MOD($H31,100))/1440),IFERROR(TIMEVALUE(SUBSTITUTE($H31,"：",":")),""))</f>
        <v/>
      </c>
      <c r="R31">
        <f>IF(ISNUMBER($I31),IF($I31&lt;1,$I31,(INT($I31/100)*60+MOD($I31,100))/1440),IFERROR(TIMEVALUE(SUBSTITUTE($I31,"：",":")),""))</f>
        <v/>
      </c>
      <c r="S31">
        <f>IF(ISNUMBER($J31),IF($J31&lt;1,$J31,(INT($J31/100)*60+MOD($J31,100))/1440),IFERROR(TIMEVALUE(SUBSTITUTE($J31,"：",":")),""))</f>
        <v/>
      </c>
      <c r="T31">
        <f>IF(OR($N31="",$O31=""),"",MAX(0,MOD($O31-$N31,1)-MAX(0,MIN($O31,13/24)-MAX($N31,0.5))))</f>
        <v/>
      </c>
      <c r="U31">
        <f>IF($A31="","",IF(ISNUMBER(MATCH($A31,祝日リスト!$A$2:$A$40,0)),"祝",IF(WEEKDAY($A31,2)=6,"土",IF(WEEKDAY($A31,2)=7,"日","平"))))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IF(ISNUMBER($D32),IF($D32&lt;1,$D32,(INT($D32/100)*60+MOD($D32,100))/1440),IFERROR(TIMEVALUE(SUBSTITUTE($D32,"：",":")),""))</f>
        <v/>
      </c>
      <c r="O32" s="35">
        <f>IF(ISNUMBER($F32),IF($F32&lt;1,$F32,(INT($F32/100)*60+MOD($F32,100))/1440),IFERROR(TIMEVALUE(SUBSTITUTE($F32,"：",":")),""))</f>
        <v/>
      </c>
      <c r="P32">
        <f>IF(ISNUMBER($G32),IF($G32&lt;1,$G32,(INT($G32/100)*60+MOD($G32,100))/1440),IFERROR(TIMEVALUE(SUBSTITUTE($G32,"：",":")),""))</f>
        <v/>
      </c>
      <c r="Q32">
        <f>IF(ISNUMBER($H32),IF($H32&lt;1,$H32,(INT($H32/100)*60+MOD($H32,100))/1440),IFERROR(TIMEVALUE(SUBSTITUTE($H32,"：",":")),""))</f>
        <v/>
      </c>
      <c r="R32">
        <f>IF(ISNUMBER($I32),IF($I32&lt;1,$I32,(INT($I32/100)*60+MOD($I32,100))/1440),IFERROR(TIMEVALUE(SUBSTITUTE($I32,"：",":")),""))</f>
        <v/>
      </c>
      <c r="S32">
        <f>IF(ISNUMBER($J32),IF($J32&lt;1,$J32,(INT($J32/100)*60+MOD($J32,100))/1440),IFERROR(TIMEVALUE(SUBSTITUTE($J32,"：",":")),""))</f>
        <v/>
      </c>
      <c r="T32">
        <f>IF(OR($N32="",$O32=""),"",MAX(0,MOD($O32-$N32,1)-MAX(0,MIN($O32,13/24)-MAX($N32,0.5))))</f>
        <v/>
      </c>
      <c r="U32">
        <f>IF($A32="","",IF(ISNUMBER(MATCH($A32,祝日リスト!$A$2:$A$40,0)),"祝",IF(WEEKDAY($A32,2)=6,"土",IF(WEEKDAY($A32,2)=7,"日","平"))))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IF(ISNUMBER($D33),IF($D33&lt;1,$D33,(INT($D33/100)*60+MOD($D33,100))/1440),IFERROR(TIMEVALUE(SUBSTITUTE($D33,"：",":")),""))</f>
        <v/>
      </c>
      <c r="O33" s="35">
        <f>IF(ISNUMBER($F33),IF($F33&lt;1,$F33,(INT($F33/100)*60+MOD($F33,100))/1440),IFERROR(TIMEVALUE(SUBSTITUTE($F33,"：",":")),""))</f>
        <v/>
      </c>
      <c r="P33">
        <f>IF(ISNUMBER($G33),IF($G33&lt;1,$G33,(INT($G33/100)*60+MOD($G33,100))/1440),IFERROR(TIMEVALUE(SUBSTITUTE($G33,"：",":")),""))</f>
        <v/>
      </c>
      <c r="Q33">
        <f>IF(ISNUMBER($H33),IF($H33&lt;1,$H33,(INT($H33/100)*60+MOD($H33,100))/1440),IFERROR(TIMEVALUE(SUBSTITUTE($H33,"：",":")),""))</f>
        <v/>
      </c>
      <c r="R33">
        <f>IF(ISNUMBER($I33),IF($I33&lt;1,$I33,(INT($I33/100)*60+MOD($I33,100))/1440),IFERROR(TIMEVALUE(SUBSTITUTE($I33,"：",":")),""))</f>
        <v/>
      </c>
      <c r="S33">
        <f>IF(ISNUMBER($J33),IF($J33&lt;1,$J33,(INT($J33/100)*60+MOD($J33,100))/1440),IFERROR(TIMEVALUE(SUBSTITUTE($J33,"：",":")),""))</f>
        <v/>
      </c>
      <c r="T33">
        <f>IF(OR($N33="",$O33=""),"",MAX(0,MOD($O33-$N33,1)-MAX(0,MIN($O33,13/24)-MAX($N33,0.5))))</f>
        <v/>
      </c>
      <c r="U33">
        <f>IF($A33="","",IF(ISNUMBER(MATCH($A33,祝日リスト!$A$2:$A$40,0)),"祝",IF(WEEKDAY($A33,2)=6,"土",IF(WEEKDAY($A33,2)=7,"日","平"))))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IF(ISNUMBER($D34),IF($D34&lt;1,$D34,(INT($D34/100)*60+MOD($D34,100))/1440),IFERROR(TIMEVALUE(SUBSTITUTE($D34,"：",":")),""))</f>
        <v/>
      </c>
      <c r="O34" s="35">
        <f>IF(ISNUMBER($F34),IF($F34&lt;1,$F34,(INT($F34/100)*60+MOD($F34,100))/1440),IFERROR(TIMEVALUE(SUBSTITUTE($F34,"：",":")),""))</f>
        <v/>
      </c>
      <c r="P34">
        <f>IF(ISNUMBER($G34),IF($G34&lt;1,$G34,(INT($G34/100)*60+MOD($G34,100))/1440),IFERROR(TIMEVALUE(SUBSTITUTE($G34,"：",":")),""))</f>
        <v/>
      </c>
      <c r="Q34">
        <f>IF(ISNUMBER($H34),IF($H34&lt;1,$H34,(INT($H34/100)*60+MOD($H34,100))/1440),IFERROR(TIMEVALUE(SUBSTITUTE($H34,"：",":")),""))</f>
        <v/>
      </c>
      <c r="R34">
        <f>IF(ISNUMBER($I34),IF($I34&lt;1,$I34,(INT($I34/100)*60+MOD($I34,100))/1440),IFERROR(TIMEVALUE(SUBSTITUTE($I34,"：",":")),""))</f>
        <v/>
      </c>
      <c r="S34">
        <f>IF(ISNUMBER($J34),IF($J34&lt;1,$J34,(INT($J34/100)*60+MOD($J34,100))/1440),IFERROR(TIMEVALUE(SUBSTITUTE($J34,"：",":")),""))</f>
        <v/>
      </c>
      <c r="T34">
        <f>IF(OR($N34="",$O34=""),"",MAX(0,MOD($O34-$N34,1)-MAX(0,MIN($O34,13/24)-MAX($N34,0.5))))</f>
        <v/>
      </c>
      <c r="U34">
        <f>IF($A34="","",IF(ISNUMBER(MATCH($A34,祝日リスト!$A$2:$A$40,0)),"祝",IF(WEEKDAY($A34,2)=6,"土",IF(WEEKDAY($A34,2)=7,"日","平"))))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IF(ISNUMBER($D35),IF($D35&lt;1,$D35,(INT($D35/100)*60+MOD($D35,100))/1440),IFERROR(TIMEVALUE(SUBSTITUTE($D35,"：",":")),""))</f>
        <v/>
      </c>
      <c r="O35" s="35">
        <f>IF(ISNUMBER($F35),IF($F35&lt;1,$F35,(INT($F35/100)*60+MOD($F35,100))/1440),IFERROR(TIMEVALUE(SUBSTITUTE($F35,"：",":")),""))</f>
        <v/>
      </c>
      <c r="P35">
        <f>IF(ISNUMBER($G35),IF($G35&lt;1,$G35,(INT($G35/100)*60+MOD($G35,100))/1440),IFERROR(TIMEVALUE(SUBSTITUTE($G35,"：",":")),""))</f>
        <v/>
      </c>
      <c r="Q35">
        <f>IF(ISNUMBER($H35),IF($H35&lt;1,$H35,(INT($H35/100)*60+MOD($H35,100))/1440),IFERROR(TIMEVALUE(SUBSTITUTE($H35,"：",":")),""))</f>
        <v/>
      </c>
      <c r="R35">
        <f>IF(ISNUMBER($I35),IF($I35&lt;1,$I35,(INT($I35/100)*60+MOD($I35,100))/1440),IFERROR(TIMEVALUE(SUBSTITUTE($I35,"：",":")),""))</f>
        <v/>
      </c>
      <c r="S35">
        <f>IF(ISNUMBER($J35),IF($J35&lt;1,$J35,(INT($J35/100)*60+MOD($J35,100))/1440),IFERROR(TIMEVALUE(SUBSTITUTE($J35,"：",":")),""))</f>
        <v/>
      </c>
      <c r="T35">
        <f>IF(OR($N35="",$O35=""),"",MAX(0,MOD($O35-$N35,1)-MAX(0,MIN($O35,13/24)-MAX($N35,0.5))))</f>
        <v/>
      </c>
      <c r="U35">
        <f>IF($A35="","",IF(ISNUMBER(MATCH($A35,祝日リスト!$A$2:$A$40,0)),"祝",IF(WEEKDAY($A35,2)=6,"土",IF(WEEKDAY($A35,2)=7,"日","平"))))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IF(ISNUMBER($D36),IF($D36&lt;1,$D36,(INT($D36/100)*60+MOD($D36,100))/1440),IFERROR(TIMEVALUE(SUBSTITUTE($D36,"：",":")),""))</f>
        <v/>
      </c>
      <c r="O36" s="35">
        <f>IF(ISNUMBER($F36),IF($F36&lt;1,$F36,(INT($F36/100)*60+MOD($F36,100))/1440),IFERROR(TIMEVALUE(SUBSTITUTE($F36,"：",":")),""))</f>
        <v/>
      </c>
      <c r="P36">
        <f>IF(ISNUMBER($G36),IF($G36&lt;1,$G36,(INT($G36/100)*60+MOD($G36,100))/1440),IFERROR(TIMEVALUE(SUBSTITUTE($G36,"：",":")),""))</f>
        <v/>
      </c>
      <c r="Q36">
        <f>IF(ISNUMBER($H36),IF($H36&lt;1,$H36,(INT($H36/100)*60+MOD($H36,100))/1440),IFERROR(TIMEVALUE(SUBSTITUTE($H36,"：",":")),""))</f>
        <v/>
      </c>
      <c r="R36">
        <f>IF(ISNUMBER($I36),IF($I36&lt;1,$I36,(INT($I36/100)*60+MOD($I36,100))/1440),IFERROR(TIMEVALUE(SUBSTITUTE($I36,"：",":")),""))</f>
        <v/>
      </c>
      <c r="S36">
        <f>IF(ISNUMBER($J36),IF($J36&lt;1,$J36,(INT($J36/100)*60+MOD($J36,100))/1440),IFERROR(TIMEVALUE(SUBSTITUTE($J36,"：",":")),""))</f>
        <v/>
      </c>
      <c r="T36">
        <f>IF(OR($N36="",$O36=""),"",MAX(0,MOD($O36-$N36,1)-MAX(0,MIN($O36,13/24)-MAX($N36,0.5))))</f>
        <v/>
      </c>
      <c r="U36">
        <f>IF($A36="","",IF(ISNUMBER(MATCH($A36,祝日リスト!$A$2:$A$40,0)),"祝",IF(WEEKDAY($A36,2)=6,"土",IF(WEEKDAY($A36,2)=7,"日","平"))))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IF(ISNUMBER($D37),IF($D37&lt;1,$D37,(INT($D37/100)*60+MOD($D37,100))/1440),IFERROR(TIMEVALUE(SUBSTITUTE($D37,"：",":")),""))</f>
        <v/>
      </c>
      <c r="O37">
        <f>IF(ISNUMBER($F37),IF($F37&lt;1,$F37,(INT($F37/100)*60+MOD($F37,100))/1440),IFERROR(TIMEVALUE(SUBSTITUTE($F37,"：",":")),""))</f>
        <v/>
      </c>
      <c r="P37">
        <f>IF(ISNUMBER($G37),IF($G37&lt;1,$G37,(INT($G37/100)*60+MOD($G37,100))/1440),IFERROR(TIMEVALUE(SUBSTITUTE($G37,"：",":")),""))</f>
        <v/>
      </c>
      <c r="Q37">
        <f>IF(ISNUMBER($H37),IF($H37&lt;1,$H37,(INT($H37/100)*60+MOD($H37,100))/1440),IFERROR(TIMEVALUE(SUBSTITUTE($H37,"：",":")),""))</f>
        <v/>
      </c>
      <c r="R37">
        <f>IF(ISNUMBER($I37),IF($I37&lt;1,$I37,(INT($I37/100)*60+MOD($I37,100))/1440),IFERROR(TIMEVALUE(SUBSTITUTE($I37,"：",":")),""))</f>
        <v/>
      </c>
      <c r="S37">
        <f>IF(ISNUMBER($J37),IF($J37&lt;1,$J37,(INT($J37/100)*60+MOD($J37,100))/1440),IFERROR(TIMEVALUE(SUBSTITUTE($J37,"：",":")),""))</f>
        <v/>
      </c>
      <c r="T37">
        <f>IF(OR($N37="",$O37=""),"",MAX(0,MOD($O37-$N37,1)-MAX(0,MIN($O37,13/24)-MAX($N37,0.5))))</f>
        <v/>
      </c>
      <c r="U37">
        <f>IF($A37="","",IF(ISNUMBER(MATCH($A37,祝日リスト!$A$2:$A$40,0)),"祝",IF(WEEKDAY($A37,2)=6,"土",IF(WEEKDAY($A37,2)=7,"日","平"))))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AND($A7&lt;&gt;"",OR(WEEKDAY($A7,2)=6,WEEKDAY($A7,2)=7,WEEKDAY($A7,2)=3,ISNUMBER(MATCH($A7,祝日リスト!$A$2:$A$40,0))))</formula>
    </cfRule>
  </conditionalFormatting>
  <dataValidations count="1">
    <dataValidation sqref="D7:D37 F7:F37 G7:G37 H7:H37 I7:I37 J7:J37" showDropDown="0" showInputMessage="0" showErrorMessage="1" allowBlank="1" errorTitle="時刻の入力" error="9:30 のように、コロン付きで入力してください（全角の 9：00 でも可）。" type="custom">
      <formula1>=OR(AND(ISNUMBER(D7),D7&gt;=0,D7&lt;1),IFERROR(ISNUMBER(TIMEVALUE(SUBSTITUTE(D7,"：",":"))),FALSE))</formula1>
    </dataValidation>
  </dataValidations>
  <pageMargins left="0.25" right="0.25" top="0.75" bottom="0.75" header="0" footer="0"/>
  <pageSetup orientation="portrait" paperSize="9" scale="96" fitToWidth="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4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IF(ISNUMBER($D7),IF($D7&lt;1,$D7,(INT($D7/100)*60+MOD($D7,100))/1440),IFERROR(TIMEVALUE(SUBSTITUTE($D7,"：",":")),""))</f>
        <v/>
      </c>
      <c r="O7">
        <f>IF(ISNUMBER($F7),IF($F7&lt;1,$F7,(INT($F7/100)*60+MOD($F7,100))/1440),IFERROR(TIMEVALUE(SUBSTITUTE($F7,"：",":")),""))</f>
        <v/>
      </c>
      <c r="P7">
        <f>IF(ISNUMBER($G7),IF($G7&lt;1,$G7,(INT($G7/100)*60+MOD($G7,100))/1440),IFERROR(TIMEVALUE(SUBSTITUTE($G7,"：",":")),""))</f>
        <v/>
      </c>
      <c r="Q7">
        <f>IF(ISNUMBER($H7),IF($H7&lt;1,$H7,(INT($H7/100)*60+MOD($H7,100))/1440),IFERROR(TIMEVALUE(SUBSTITUTE($H7,"：",":")),""))</f>
        <v/>
      </c>
      <c r="R7">
        <f>IF(ISNUMBER($I7),IF($I7&lt;1,$I7,(INT($I7/100)*60+MOD($I7,100))/1440),IFERROR(TIMEVALUE(SUBSTITUTE($I7,"：",":")),""))</f>
        <v/>
      </c>
      <c r="S7">
        <f>IF(ISNUMBER($J7),IF($J7&lt;1,$J7,(INT($J7/100)*60+MOD($J7,100))/1440),IFERROR(TIMEVALUE(SUBSTITUTE($J7,"：",":")),""))</f>
        <v/>
      </c>
      <c r="T7">
        <f>IF(OR($N7="",$O7=""),"",MAX(0,MOD($O7-$N7,1)-MAX(0,MIN($O7,13/24)-MAX($N7,0.5))))</f>
        <v/>
      </c>
      <c r="U7">
        <f>IF($A7="","",IF(ISNUMBER(MATCH($A7,祝日リスト!$A$2:$A$40,0)),"祝",IF(WEEKDAY($A7,2)=6,"土",IF(WEEKDAY($A7,2)=7,"日","平"))))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IF(ISNUMBER($D8),IF($D8&lt;1,$D8,(INT($D8/100)*60+MOD($D8,100))/1440),IFERROR(TIMEVALUE(SUBSTITUTE($D8,"：",":")),""))</f>
        <v/>
      </c>
      <c r="O8" s="35">
        <f>IF(ISNUMBER($F8),IF($F8&lt;1,$F8,(INT($F8/100)*60+MOD($F8,100))/1440),IFERROR(TIMEVALUE(SUBSTITUTE($F8,"：",":")),""))</f>
        <v/>
      </c>
      <c r="P8">
        <f>IF(ISNUMBER($G8),IF($G8&lt;1,$G8,(INT($G8/100)*60+MOD($G8,100))/1440),IFERROR(TIMEVALUE(SUBSTITUTE($G8,"：",":")),""))</f>
        <v/>
      </c>
      <c r="Q8">
        <f>IF(ISNUMBER($H8),IF($H8&lt;1,$H8,(INT($H8/100)*60+MOD($H8,100))/1440),IFERROR(TIMEVALUE(SUBSTITUTE($H8,"：",":")),""))</f>
        <v/>
      </c>
      <c r="R8">
        <f>IF(ISNUMBER($I8),IF($I8&lt;1,$I8,(INT($I8/100)*60+MOD($I8,100))/1440),IFERROR(TIMEVALUE(SUBSTITUTE($I8,"：",":")),""))</f>
        <v/>
      </c>
      <c r="S8">
        <f>IF(ISNUMBER($J8),IF($J8&lt;1,$J8,(INT($J8/100)*60+MOD($J8,100))/1440),IFERROR(TIMEVALUE(SUBSTITUTE($J8,"：",":")),""))</f>
        <v/>
      </c>
      <c r="T8">
        <f>IF(OR($N8="",$O8=""),"",MAX(0,MOD($O8-$N8,1)-MAX(0,MIN($O8,13/24)-MAX($N8,0.5))))</f>
        <v/>
      </c>
      <c r="U8">
        <f>IF($A8="","",IF(ISNUMBER(MATCH($A8,祝日リスト!$A$2:$A$40,0)),"祝",IF(WEEKDAY($A8,2)=6,"土",IF(WEEKDAY($A8,2)=7,"日","平"))))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IF(ISNUMBER($D9),IF($D9&lt;1,$D9,(INT($D9/100)*60+MOD($D9,100))/1440),IFERROR(TIMEVALUE(SUBSTITUTE($D9,"：",":")),""))</f>
        <v/>
      </c>
      <c r="O9" s="35">
        <f>IF(ISNUMBER($F9),IF($F9&lt;1,$F9,(INT($F9/100)*60+MOD($F9,100))/1440),IFERROR(TIMEVALUE(SUBSTITUTE($F9,"：",":")),""))</f>
        <v/>
      </c>
      <c r="P9">
        <f>IF(ISNUMBER($G9),IF($G9&lt;1,$G9,(INT($G9/100)*60+MOD($G9,100))/1440),IFERROR(TIMEVALUE(SUBSTITUTE($G9,"：",":")),""))</f>
        <v/>
      </c>
      <c r="Q9">
        <f>IF(ISNUMBER($H9),IF($H9&lt;1,$H9,(INT($H9/100)*60+MOD($H9,100))/1440),IFERROR(TIMEVALUE(SUBSTITUTE($H9,"：",":")),""))</f>
        <v/>
      </c>
      <c r="R9">
        <f>IF(ISNUMBER($I9),IF($I9&lt;1,$I9,(INT($I9/100)*60+MOD($I9,100))/1440),IFERROR(TIMEVALUE(SUBSTITUTE($I9,"：",":")),""))</f>
        <v/>
      </c>
      <c r="S9">
        <f>IF(ISNUMBER($J9),IF($J9&lt;1,$J9,(INT($J9/100)*60+MOD($J9,100))/1440),IFERROR(TIMEVALUE(SUBSTITUTE($J9,"：",":")),""))</f>
        <v/>
      </c>
      <c r="T9">
        <f>IF(OR($N9="",$O9=""),"",MAX(0,MOD($O9-$N9,1)-MAX(0,MIN($O9,13/24)-MAX($N9,0.5))))</f>
        <v/>
      </c>
      <c r="U9">
        <f>IF($A9="","",IF(ISNUMBER(MATCH($A9,祝日リスト!$A$2:$A$40,0)),"祝",IF(WEEKDAY($A9,2)=6,"土",IF(WEEKDAY($A9,2)=7,"日","平"))))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IF(ISNUMBER($D10),IF($D10&lt;1,$D10,(INT($D10/100)*60+MOD($D10,100))/1440),IFERROR(TIMEVALUE(SUBSTITUTE($D10,"：",":")),""))</f>
        <v/>
      </c>
      <c r="O10" s="35">
        <f>IF(ISNUMBER($F10),IF($F10&lt;1,$F10,(INT($F10/100)*60+MOD($F10,100))/1440),IFERROR(TIMEVALUE(SUBSTITUTE($F10,"：",":")),""))</f>
        <v/>
      </c>
      <c r="P10">
        <f>IF(ISNUMBER($G10),IF($G10&lt;1,$G10,(INT($G10/100)*60+MOD($G10,100))/1440),IFERROR(TIMEVALUE(SUBSTITUTE($G10,"：",":")),""))</f>
        <v/>
      </c>
      <c r="Q10">
        <f>IF(ISNUMBER($H10),IF($H10&lt;1,$H10,(INT($H10/100)*60+MOD($H10,100))/1440),IFERROR(TIMEVALUE(SUBSTITUTE($H10,"：",":")),""))</f>
        <v/>
      </c>
      <c r="R10">
        <f>IF(ISNUMBER($I10),IF($I10&lt;1,$I10,(INT($I10/100)*60+MOD($I10,100))/1440),IFERROR(TIMEVALUE(SUBSTITUTE($I10,"：",":")),""))</f>
        <v/>
      </c>
      <c r="S10">
        <f>IF(ISNUMBER($J10),IF($J10&lt;1,$J10,(INT($J10/100)*60+MOD($J10,100))/1440),IFERROR(TIMEVALUE(SUBSTITUTE($J10,"：",":")),""))</f>
        <v/>
      </c>
      <c r="T10">
        <f>IF(OR($N10="",$O10=""),"",MAX(0,MOD($O10-$N10,1)-MAX(0,MIN($O10,13/24)-MAX($N10,0.5))))</f>
        <v/>
      </c>
      <c r="U10">
        <f>IF($A10="","",IF(ISNUMBER(MATCH($A10,祝日リスト!$A$2:$A$40,0)),"祝",IF(WEEKDAY($A10,2)=6,"土",IF(WEEKDAY($A10,2)=7,"日","平"))))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IF(ISNUMBER($D11),IF($D11&lt;1,$D11,(INT($D11/100)*60+MOD($D11,100))/1440),IFERROR(TIMEVALUE(SUBSTITUTE($D11,"：",":")),""))</f>
        <v/>
      </c>
      <c r="O11" s="35">
        <f>IF(ISNUMBER($F11),IF($F11&lt;1,$F11,(INT($F11/100)*60+MOD($F11,100))/1440),IFERROR(TIMEVALUE(SUBSTITUTE($F11,"：",":")),""))</f>
        <v/>
      </c>
      <c r="P11">
        <f>IF(ISNUMBER($G11),IF($G11&lt;1,$G11,(INT($G11/100)*60+MOD($G11,100))/1440),IFERROR(TIMEVALUE(SUBSTITUTE($G11,"：",":")),""))</f>
        <v/>
      </c>
      <c r="Q11">
        <f>IF(ISNUMBER($H11),IF($H11&lt;1,$H11,(INT($H11/100)*60+MOD($H11,100))/1440),IFERROR(TIMEVALUE(SUBSTITUTE($H11,"：",":")),""))</f>
        <v/>
      </c>
      <c r="R11">
        <f>IF(ISNUMBER($I11),IF($I11&lt;1,$I11,(INT($I11/100)*60+MOD($I11,100))/1440),IFERROR(TIMEVALUE(SUBSTITUTE($I11,"：",":")),""))</f>
        <v/>
      </c>
      <c r="S11">
        <f>IF(ISNUMBER($J11),IF($J11&lt;1,$J11,(INT($J11/100)*60+MOD($J11,100))/1440),IFERROR(TIMEVALUE(SUBSTITUTE($J11,"：",":")),""))</f>
        <v/>
      </c>
      <c r="T11">
        <f>IF(OR($N11="",$O11=""),"",MAX(0,MOD($O11-$N11,1)-MAX(0,MIN($O11,13/24)-MAX($N11,0.5))))</f>
        <v/>
      </c>
      <c r="U11">
        <f>IF($A11="","",IF(ISNUMBER(MATCH($A11,祝日リスト!$A$2:$A$40,0)),"祝",IF(WEEKDAY($A11,2)=6,"土",IF(WEEKDAY($A11,2)=7,"日","平"))))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IF(ISNUMBER($D12),IF($D12&lt;1,$D12,(INT($D12/100)*60+MOD($D12,100))/1440),IFERROR(TIMEVALUE(SUBSTITUTE($D12,"：",":")),""))</f>
        <v/>
      </c>
      <c r="O12" s="35">
        <f>IF(ISNUMBER($F12),IF($F12&lt;1,$F12,(INT($F12/100)*60+MOD($F12,100))/1440),IFERROR(TIMEVALUE(SUBSTITUTE($F12,"：",":")),""))</f>
        <v/>
      </c>
      <c r="P12">
        <f>IF(ISNUMBER($G12),IF($G12&lt;1,$G12,(INT($G12/100)*60+MOD($G12,100))/1440),IFERROR(TIMEVALUE(SUBSTITUTE($G12,"：",":")),""))</f>
        <v/>
      </c>
      <c r="Q12">
        <f>IF(ISNUMBER($H12),IF($H12&lt;1,$H12,(INT($H12/100)*60+MOD($H12,100))/1440),IFERROR(TIMEVALUE(SUBSTITUTE($H12,"：",":")),""))</f>
        <v/>
      </c>
      <c r="R12">
        <f>IF(ISNUMBER($I12),IF($I12&lt;1,$I12,(INT($I12/100)*60+MOD($I12,100))/1440),IFERROR(TIMEVALUE(SUBSTITUTE($I12,"：",":")),""))</f>
        <v/>
      </c>
      <c r="S12">
        <f>IF(ISNUMBER($J12),IF($J12&lt;1,$J12,(INT($J12/100)*60+MOD($J12,100))/1440),IFERROR(TIMEVALUE(SUBSTITUTE($J12,"：",":")),""))</f>
        <v/>
      </c>
      <c r="T12">
        <f>IF(OR($N12="",$O12=""),"",MAX(0,MOD($O12-$N12,1)-MAX(0,MIN($O12,13/24)-MAX($N12,0.5))))</f>
        <v/>
      </c>
      <c r="U12">
        <f>IF($A12="","",IF(ISNUMBER(MATCH($A12,祝日リスト!$A$2:$A$40,0)),"祝",IF(WEEKDAY($A12,2)=6,"土",IF(WEEKDAY($A12,2)=7,"日","平"))))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IF(ISNUMBER($D13),IF($D13&lt;1,$D13,(INT($D13/100)*60+MOD($D13,100))/1440),IFERROR(TIMEVALUE(SUBSTITUTE($D13,"：",":")),""))</f>
        <v/>
      </c>
      <c r="O13" s="35">
        <f>IF(ISNUMBER($F13),IF($F13&lt;1,$F13,(INT($F13/100)*60+MOD($F13,100))/1440),IFERROR(TIMEVALUE(SUBSTITUTE($F13,"：",":")),""))</f>
        <v/>
      </c>
      <c r="P13">
        <f>IF(ISNUMBER($G13),IF($G13&lt;1,$G13,(INT($G13/100)*60+MOD($G13,100))/1440),IFERROR(TIMEVALUE(SUBSTITUTE($G13,"：",":")),""))</f>
        <v/>
      </c>
      <c r="Q13">
        <f>IF(ISNUMBER($H13),IF($H13&lt;1,$H13,(INT($H13/100)*60+MOD($H13,100))/1440),IFERROR(TIMEVALUE(SUBSTITUTE($H13,"：",":")),""))</f>
        <v/>
      </c>
      <c r="R13">
        <f>IF(ISNUMBER($I13),IF($I13&lt;1,$I13,(INT($I13/100)*60+MOD($I13,100))/1440),IFERROR(TIMEVALUE(SUBSTITUTE($I13,"：",":")),""))</f>
        <v/>
      </c>
      <c r="S13">
        <f>IF(ISNUMBER($J13),IF($J13&lt;1,$J13,(INT($J13/100)*60+MOD($J13,100))/1440),IFERROR(TIMEVALUE(SUBSTITUTE($J13,"：",":")),""))</f>
        <v/>
      </c>
      <c r="T13">
        <f>IF(OR($N13="",$O13=""),"",MAX(0,MOD($O13-$N13,1)-MAX(0,MIN($O13,13/24)-MAX($N13,0.5))))</f>
        <v/>
      </c>
      <c r="U13">
        <f>IF($A13="","",IF(ISNUMBER(MATCH($A13,祝日リスト!$A$2:$A$40,0)),"祝",IF(WEEKDAY($A13,2)=6,"土",IF(WEEKDAY($A13,2)=7,"日","平"))))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IF(ISNUMBER($D14),IF($D14&lt;1,$D14,(INT($D14/100)*60+MOD($D14,100))/1440),IFERROR(TIMEVALUE(SUBSTITUTE($D14,"：",":")),""))</f>
        <v/>
      </c>
      <c r="O14" s="35">
        <f>IF(ISNUMBER($F14),IF($F14&lt;1,$F14,(INT($F14/100)*60+MOD($F14,100))/1440),IFERROR(TIMEVALUE(SUBSTITUTE($F14,"：",":")),""))</f>
        <v/>
      </c>
      <c r="P14">
        <f>IF(ISNUMBER($G14),IF($G14&lt;1,$G14,(INT($G14/100)*60+MOD($G14,100))/1440),IFERROR(TIMEVALUE(SUBSTITUTE($G14,"：",":")),""))</f>
        <v/>
      </c>
      <c r="Q14">
        <f>IF(ISNUMBER($H14),IF($H14&lt;1,$H14,(INT($H14/100)*60+MOD($H14,100))/1440),IFERROR(TIMEVALUE(SUBSTITUTE($H14,"：",":")),""))</f>
        <v/>
      </c>
      <c r="R14">
        <f>IF(ISNUMBER($I14),IF($I14&lt;1,$I14,(INT($I14/100)*60+MOD($I14,100))/1440),IFERROR(TIMEVALUE(SUBSTITUTE($I14,"：",":")),""))</f>
        <v/>
      </c>
      <c r="S14">
        <f>IF(ISNUMBER($J14),IF($J14&lt;1,$J14,(INT($J14/100)*60+MOD($J14,100))/1440),IFERROR(TIMEVALUE(SUBSTITUTE($J14,"：",":")),""))</f>
        <v/>
      </c>
      <c r="T14">
        <f>IF(OR($N14="",$O14=""),"",MAX(0,MOD($O14-$N14,1)-MAX(0,MIN($O14,13/24)-MAX($N14,0.5))))</f>
        <v/>
      </c>
      <c r="U14">
        <f>IF($A14="","",IF(ISNUMBER(MATCH($A14,祝日リスト!$A$2:$A$40,0)),"祝",IF(WEEKDAY($A14,2)=6,"土",IF(WEEKDAY($A14,2)=7,"日","平"))))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IF(ISNUMBER($D15),IF($D15&lt;1,$D15,(INT($D15/100)*60+MOD($D15,100))/1440),IFERROR(TIMEVALUE(SUBSTITUTE($D15,"：",":")),""))</f>
        <v/>
      </c>
      <c r="O15" s="35">
        <f>IF(ISNUMBER($F15),IF($F15&lt;1,$F15,(INT($F15/100)*60+MOD($F15,100))/1440),IFERROR(TIMEVALUE(SUBSTITUTE($F15,"：",":")),""))</f>
        <v/>
      </c>
      <c r="P15">
        <f>IF(ISNUMBER($G15),IF($G15&lt;1,$G15,(INT($G15/100)*60+MOD($G15,100))/1440),IFERROR(TIMEVALUE(SUBSTITUTE($G15,"：",":")),""))</f>
        <v/>
      </c>
      <c r="Q15">
        <f>IF(ISNUMBER($H15),IF($H15&lt;1,$H15,(INT($H15/100)*60+MOD($H15,100))/1440),IFERROR(TIMEVALUE(SUBSTITUTE($H15,"：",":")),""))</f>
        <v/>
      </c>
      <c r="R15">
        <f>IF(ISNUMBER($I15),IF($I15&lt;1,$I15,(INT($I15/100)*60+MOD($I15,100))/1440),IFERROR(TIMEVALUE(SUBSTITUTE($I15,"：",":")),""))</f>
        <v/>
      </c>
      <c r="S15">
        <f>IF(ISNUMBER($J15),IF($J15&lt;1,$J15,(INT($J15/100)*60+MOD($J15,100))/1440),IFERROR(TIMEVALUE(SUBSTITUTE($J15,"：",":")),""))</f>
        <v/>
      </c>
      <c r="T15">
        <f>IF(OR($N15="",$O15=""),"",MAX(0,MOD($O15-$N15,1)-MAX(0,MIN($O15,13/24)-MAX($N15,0.5))))</f>
        <v/>
      </c>
      <c r="U15">
        <f>IF($A15="","",IF(ISNUMBER(MATCH($A15,祝日リスト!$A$2:$A$40,0)),"祝",IF(WEEKDAY($A15,2)=6,"土",IF(WEEKDAY($A15,2)=7,"日","平"))))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IF(ISNUMBER($D16),IF($D16&lt;1,$D16,(INT($D16/100)*60+MOD($D16,100))/1440),IFERROR(TIMEVALUE(SUBSTITUTE($D16,"：",":")),""))</f>
        <v/>
      </c>
      <c r="O16" s="35">
        <f>IF(ISNUMBER($F16),IF($F16&lt;1,$F16,(INT($F16/100)*60+MOD($F16,100))/1440),IFERROR(TIMEVALUE(SUBSTITUTE($F16,"：",":")),""))</f>
        <v/>
      </c>
      <c r="P16">
        <f>IF(ISNUMBER($G16),IF($G16&lt;1,$G16,(INT($G16/100)*60+MOD($G16,100))/1440),IFERROR(TIMEVALUE(SUBSTITUTE($G16,"：",":")),""))</f>
        <v/>
      </c>
      <c r="Q16">
        <f>IF(ISNUMBER($H16),IF($H16&lt;1,$H16,(INT($H16/100)*60+MOD($H16,100))/1440),IFERROR(TIMEVALUE(SUBSTITUTE($H16,"：",":")),""))</f>
        <v/>
      </c>
      <c r="R16">
        <f>IF(ISNUMBER($I16),IF($I16&lt;1,$I16,(INT($I16/100)*60+MOD($I16,100))/1440),IFERROR(TIMEVALUE(SUBSTITUTE($I16,"：",":")),""))</f>
        <v/>
      </c>
      <c r="S16">
        <f>IF(ISNUMBER($J16),IF($J16&lt;1,$J16,(INT($J16/100)*60+MOD($J16,100))/1440),IFERROR(TIMEVALUE(SUBSTITUTE($J16,"：",":")),""))</f>
        <v/>
      </c>
      <c r="T16">
        <f>IF(OR($N16="",$O16=""),"",MAX(0,MOD($O16-$N16,1)-MAX(0,MIN($O16,13/24)-MAX($N16,0.5))))</f>
        <v/>
      </c>
      <c r="U16">
        <f>IF($A16="","",IF(ISNUMBER(MATCH($A16,祝日リスト!$A$2:$A$40,0)),"祝",IF(WEEKDAY($A16,2)=6,"土",IF(WEEKDAY($A16,2)=7,"日","平"))))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IF(ISNUMBER($D17),IF($D17&lt;1,$D17,(INT($D17/100)*60+MOD($D17,100))/1440),IFERROR(TIMEVALUE(SUBSTITUTE($D17,"：",":")),""))</f>
        <v/>
      </c>
      <c r="O17" s="35">
        <f>IF(ISNUMBER($F17),IF($F17&lt;1,$F17,(INT($F17/100)*60+MOD($F17,100))/1440),IFERROR(TIMEVALUE(SUBSTITUTE($F17,"：",":")),""))</f>
        <v/>
      </c>
      <c r="P17">
        <f>IF(ISNUMBER($G17),IF($G17&lt;1,$G17,(INT($G17/100)*60+MOD($G17,100))/1440),IFERROR(TIMEVALUE(SUBSTITUTE($G17,"：",":")),""))</f>
        <v/>
      </c>
      <c r="Q17">
        <f>IF(ISNUMBER($H17),IF($H17&lt;1,$H17,(INT($H17/100)*60+MOD($H17,100))/1440),IFERROR(TIMEVALUE(SUBSTITUTE($H17,"：",":")),""))</f>
        <v/>
      </c>
      <c r="R17">
        <f>IF(ISNUMBER($I17),IF($I17&lt;1,$I17,(INT($I17/100)*60+MOD($I17,100))/1440),IFERROR(TIMEVALUE(SUBSTITUTE($I17,"：",":")),""))</f>
        <v/>
      </c>
      <c r="S17">
        <f>IF(ISNUMBER($J17),IF($J17&lt;1,$J17,(INT($J17/100)*60+MOD($J17,100))/1440),IFERROR(TIMEVALUE(SUBSTITUTE($J17,"：",":")),""))</f>
        <v/>
      </c>
      <c r="T17">
        <f>IF(OR($N17="",$O17=""),"",MAX(0,MOD($O17-$N17,1)-MAX(0,MIN($O17,13/24)-MAX($N17,0.5))))</f>
        <v/>
      </c>
      <c r="U17">
        <f>IF($A17="","",IF(ISNUMBER(MATCH($A17,祝日リスト!$A$2:$A$40,0)),"祝",IF(WEEKDAY($A17,2)=6,"土",IF(WEEKDAY($A17,2)=7,"日","平"))))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IF(ISNUMBER($D18),IF($D18&lt;1,$D18,(INT($D18/100)*60+MOD($D18,100))/1440),IFERROR(TIMEVALUE(SUBSTITUTE($D18,"：",":")),""))</f>
        <v/>
      </c>
      <c r="O18" s="35">
        <f>IF(ISNUMBER($F18),IF($F18&lt;1,$F18,(INT($F18/100)*60+MOD($F18,100))/1440),IFERROR(TIMEVALUE(SUBSTITUTE($F18,"：",":")),""))</f>
        <v/>
      </c>
      <c r="P18">
        <f>IF(ISNUMBER($G18),IF($G18&lt;1,$G18,(INT($G18/100)*60+MOD($G18,100))/1440),IFERROR(TIMEVALUE(SUBSTITUTE($G18,"：",":")),""))</f>
        <v/>
      </c>
      <c r="Q18">
        <f>IF(ISNUMBER($H18),IF($H18&lt;1,$H18,(INT($H18/100)*60+MOD($H18,100))/1440),IFERROR(TIMEVALUE(SUBSTITUTE($H18,"：",":")),""))</f>
        <v/>
      </c>
      <c r="R18">
        <f>IF(ISNUMBER($I18),IF($I18&lt;1,$I18,(INT($I18/100)*60+MOD($I18,100))/1440),IFERROR(TIMEVALUE(SUBSTITUTE($I18,"：",":")),""))</f>
        <v/>
      </c>
      <c r="S18">
        <f>IF(ISNUMBER($J18),IF($J18&lt;1,$J18,(INT($J18/100)*60+MOD($J18,100))/1440),IFERROR(TIMEVALUE(SUBSTITUTE($J18,"：",":")),""))</f>
        <v/>
      </c>
      <c r="T18">
        <f>IF(OR($N18="",$O18=""),"",MAX(0,MOD($O18-$N18,1)-MAX(0,MIN($O18,13/24)-MAX($N18,0.5))))</f>
        <v/>
      </c>
      <c r="U18">
        <f>IF($A18="","",IF(ISNUMBER(MATCH($A18,祝日リスト!$A$2:$A$40,0)),"祝",IF(WEEKDAY($A18,2)=6,"土",IF(WEEKDAY($A18,2)=7,"日","平"))))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IF(ISNUMBER($D19),IF($D19&lt;1,$D19,(INT($D19/100)*60+MOD($D19,100))/1440),IFERROR(TIMEVALUE(SUBSTITUTE($D19,"：",":")),""))</f>
        <v/>
      </c>
      <c r="O19" s="35">
        <f>IF(ISNUMBER($F19),IF($F19&lt;1,$F19,(INT($F19/100)*60+MOD($F19,100))/1440),IFERROR(TIMEVALUE(SUBSTITUTE($F19,"：",":")),""))</f>
        <v/>
      </c>
      <c r="P19">
        <f>IF(ISNUMBER($G19),IF($G19&lt;1,$G19,(INT($G19/100)*60+MOD($G19,100))/1440),IFERROR(TIMEVALUE(SUBSTITUTE($G19,"：",":")),""))</f>
        <v/>
      </c>
      <c r="Q19">
        <f>IF(ISNUMBER($H19),IF($H19&lt;1,$H19,(INT($H19/100)*60+MOD($H19,100))/1440),IFERROR(TIMEVALUE(SUBSTITUTE($H19,"：",":")),""))</f>
        <v/>
      </c>
      <c r="R19">
        <f>IF(ISNUMBER($I19),IF($I19&lt;1,$I19,(INT($I19/100)*60+MOD($I19,100))/1440),IFERROR(TIMEVALUE(SUBSTITUTE($I19,"：",":")),""))</f>
        <v/>
      </c>
      <c r="S19">
        <f>IF(ISNUMBER($J19),IF($J19&lt;1,$J19,(INT($J19/100)*60+MOD($J19,100))/1440),IFERROR(TIMEVALUE(SUBSTITUTE($J19,"：",":")),""))</f>
        <v/>
      </c>
      <c r="T19">
        <f>IF(OR($N19="",$O19=""),"",MAX(0,MOD($O19-$N19,1)-MAX(0,MIN($O19,13/24)-MAX($N19,0.5))))</f>
        <v/>
      </c>
      <c r="U19">
        <f>IF($A19="","",IF(ISNUMBER(MATCH($A19,祝日リスト!$A$2:$A$40,0)),"祝",IF(WEEKDAY($A19,2)=6,"土",IF(WEEKDAY($A19,2)=7,"日","平"))))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IF(ISNUMBER($D20),IF($D20&lt;1,$D20,(INT($D20/100)*60+MOD($D20,100))/1440),IFERROR(TIMEVALUE(SUBSTITUTE($D20,"：",":")),""))</f>
        <v/>
      </c>
      <c r="O20" s="35">
        <f>IF(ISNUMBER($F20),IF($F20&lt;1,$F20,(INT($F20/100)*60+MOD($F20,100))/1440),IFERROR(TIMEVALUE(SUBSTITUTE($F20,"：",":")),""))</f>
        <v/>
      </c>
      <c r="P20">
        <f>IF(ISNUMBER($G20),IF($G20&lt;1,$G20,(INT($G20/100)*60+MOD($G20,100))/1440),IFERROR(TIMEVALUE(SUBSTITUTE($G20,"：",":")),""))</f>
        <v/>
      </c>
      <c r="Q20">
        <f>IF(ISNUMBER($H20),IF($H20&lt;1,$H20,(INT($H20/100)*60+MOD($H20,100))/1440),IFERROR(TIMEVALUE(SUBSTITUTE($H20,"：",":")),""))</f>
        <v/>
      </c>
      <c r="R20">
        <f>IF(ISNUMBER($I20),IF($I20&lt;1,$I20,(INT($I20/100)*60+MOD($I20,100))/1440),IFERROR(TIMEVALUE(SUBSTITUTE($I20,"：",":")),""))</f>
        <v/>
      </c>
      <c r="S20">
        <f>IF(ISNUMBER($J20),IF($J20&lt;1,$J20,(INT($J20/100)*60+MOD($J20,100))/1440),IFERROR(TIMEVALUE(SUBSTITUTE($J20,"：",":")),""))</f>
        <v/>
      </c>
      <c r="T20">
        <f>IF(OR($N20="",$O20=""),"",MAX(0,MOD($O20-$N20,1)-MAX(0,MIN($O20,13/24)-MAX($N20,0.5))))</f>
        <v/>
      </c>
      <c r="U20">
        <f>IF($A20="","",IF(ISNUMBER(MATCH($A20,祝日リスト!$A$2:$A$40,0)),"祝",IF(WEEKDAY($A20,2)=6,"土",IF(WEEKDAY($A20,2)=7,"日","平"))))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>
        <v>0.375</v>
      </c>
      <c r="E21" s="36" t="inlineStr">
        <is>
          <t>～</t>
        </is>
      </c>
      <c r="F21" s="85" t="n">
        <v>0.625</v>
      </c>
      <c r="G21" s="86" t="n"/>
      <c r="H21" s="86" t="n"/>
      <c r="I21" s="86" t="n"/>
      <c r="J21" s="86" t="n"/>
      <c r="K21" s="16" t="inlineStr">
        <is>
          <t>入社日</t>
        </is>
      </c>
      <c r="N21">
        <f>IF(ISNUMBER($D21),IF($D21&lt;1,$D21,(INT($D21/100)*60+MOD($D21,100))/1440),IFERROR(TIMEVALUE(SUBSTITUTE($D21,"：",":")),""))</f>
        <v/>
      </c>
      <c r="O21" s="35">
        <f>IF(ISNUMBER($F21),IF($F21&lt;1,$F21,(INT($F21/100)*60+MOD($F21,100))/1440),IFERROR(TIMEVALUE(SUBSTITUTE($F21,"：",":")),""))</f>
        <v/>
      </c>
      <c r="P21">
        <f>IF(ISNUMBER($G21),IF($G21&lt;1,$G21,(INT($G21/100)*60+MOD($G21,100))/1440),IFERROR(TIMEVALUE(SUBSTITUTE($G21,"：",":")),""))</f>
        <v/>
      </c>
      <c r="Q21">
        <f>IF(ISNUMBER($H21),IF($H21&lt;1,$H21,(INT($H21/100)*60+MOD($H21,100))/1440),IFERROR(TIMEVALUE(SUBSTITUTE($H21,"：",":")),""))</f>
        <v/>
      </c>
      <c r="R21">
        <f>IF(ISNUMBER($I21),IF($I21&lt;1,$I21,(INT($I21/100)*60+MOD($I21,100))/1440),IFERROR(TIMEVALUE(SUBSTITUTE($I21,"：",":")),""))</f>
        <v/>
      </c>
      <c r="S21">
        <f>IF(ISNUMBER($J21),IF($J21&lt;1,$J21,(INT($J21/100)*60+MOD($J21,100))/1440),IFERROR(TIMEVALUE(SUBSTITUTE($J21,"：",":")),""))</f>
        <v/>
      </c>
      <c r="T21">
        <f>IF(OR($N21="",$O21=""),"",MAX(0,MOD($O21-$N21,1)-MAX(0,MIN($O21,13/24)-MAX($N21,0.5))))</f>
        <v/>
      </c>
      <c r="U21">
        <f>IF($A21="","",IF(ISNUMBER(MATCH($A21,祝日リスト!$A$2:$A$40,0)),"祝",IF(WEEKDAY($A21,2)=6,"土",IF(WEEKDAY($A21,2)=7,"日","平"))))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>
        <v>0.375</v>
      </c>
      <c r="E22" s="36" t="inlineStr">
        <is>
          <t>～</t>
        </is>
      </c>
      <c r="F22" s="85" t="n">
        <v>0.625</v>
      </c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IF(ISNUMBER($D22),IF($D22&lt;1,$D22,(INT($D22/100)*60+MOD($D22,100))/1440),IFERROR(TIMEVALUE(SUBSTITUTE($D22,"：",":")),""))</f>
        <v/>
      </c>
      <c r="O22" s="35">
        <f>IF(ISNUMBER($F22),IF($F22&lt;1,$F22,(INT($F22/100)*60+MOD($F22,100))/1440),IFERROR(TIMEVALUE(SUBSTITUTE($F22,"：",":")),""))</f>
        <v/>
      </c>
      <c r="P22" s="4">
        <f>IF(ISNUMBER($G22),IF($G22&lt;1,$G22,(INT($G22/100)*60+MOD($G22,100))/1440),IFERROR(TIMEVALUE(SUBSTITUTE($G22,"：",":")),""))</f>
        <v/>
      </c>
      <c r="Q22" s="4">
        <f>IF(ISNUMBER($H22),IF($H22&lt;1,$H22,(INT($H22/100)*60+MOD($H22,100))/1440),IFERROR(TIMEVALUE(SUBSTITUTE($H22,"：",":")),""))</f>
        <v/>
      </c>
      <c r="R22" s="4">
        <f>IF(ISNUMBER($I22),IF($I22&lt;1,$I22,(INT($I22/100)*60+MOD($I22,100))/1440),IFERROR(TIMEVALUE(SUBSTITUTE($I22,"：",":")),""))</f>
        <v/>
      </c>
      <c r="S22" s="4">
        <f>IF(ISNUMBER($J22),IF($J22&lt;1,$J22,(INT($J22/100)*60+MOD($J22,100))/1440),IFERROR(TIMEVALUE(SUBSTITUTE($J22,"：",":")),""))</f>
        <v/>
      </c>
      <c r="T22" s="4">
        <f>IF(OR($N22="",$O22=""),"",MAX(0,MOD($O22-$N22,1)-MAX(0,MIN($O22,13/24)-MAX($N22,0.5))))</f>
        <v/>
      </c>
      <c r="U22" s="4">
        <f>IF($A22="","",IF(ISNUMBER(MATCH($A22,祝日リスト!$A$2:$A$40,0)),"祝",IF(WEEKDAY($A22,2)=6,"土",IF(WEEKDAY($A22,2)=7,"日","平"))))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>
        <v>0.375</v>
      </c>
      <c r="E23" s="36" t="inlineStr">
        <is>
          <t>～</t>
        </is>
      </c>
      <c r="F23" s="85" t="n">
        <v>0.625</v>
      </c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IF(ISNUMBER($D23),IF($D23&lt;1,$D23,(INT($D23/100)*60+MOD($D23,100))/1440),IFERROR(TIMEVALUE(SUBSTITUTE($D23,"：",":")),""))</f>
        <v/>
      </c>
      <c r="O23" s="35">
        <f>IF(ISNUMBER($F23),IF($F23&lt;1,$F23,(INT($F23/100)*60+MOD($F23,100))/1440),IFERROR(TIMEVALUE(SUBSTITUTE($F23,"：",":")),""))</f>
        <v/>
      </c>
      <c r="P23">
        <f>IF(ISNUMBER($G23),IF($G23&lt;1,$G23,(INT($G23/100)*60+MOD($G23,100))/1440),IFERROR(TIMEVALUE(SUBSTITUTE($G23,"：",":")),""))</f>
        <v/>
      </c>
      <c r="Q23">
        <f>IF(ISNUMBER($H23),IF($H23&lt;1,$H23,(INT($H23/100)*60+MOD($H23,100))/1440),IFERROR(TIMEVALUE(SUBSTITUTE($H23,"：",":")),""))</f>
        <v/>
      </c>
      <c r="R23">
        <f>IF(ISNUMBER($I23),IF($I23&lt;1,$I23,(INT($I23/100)*60+MOD($I23,100))/1440),IFERROR(TIMEVALUE(SUBSTITUTE($I23,"：",":")),""))</f>
        <v/>
      </c>
      <c r="S23">
        <f>IF(ISNUMBER($J23),IF($J23&lt;1,$J23,(INT($J23/100)*60+MOD($J23,100))/1440),IFERROR(TIMEVALUE(SUBSTITUTE($J23,"：",":")),""))</f>
        <v/>
      </c>
      <c r="T23">
        <f>IF(OR($N23="",$O23=""),"",MAX(0,MOD($O23-$N23,1)-MAX(0,MIN($O23,13/24)-MAX($N23,0.5))))</f>
        <v/>
      </c>
      <c r="U23">
        <f>IF($A23="","",IF(ISNUMBER(MATCH($A23,祝日リスト!$A$2:$A$40,0)),"祝",IF(WEEKDAY($A23,2)=6,"土",IF(WEEKDAY($A23,2)=7,"日","平"))))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IF(ISNUMBER($D24),IF($D24&lt;1,$D24,(INT($D24/100)*60+MOD($D24,100))/1440),IFERROR(TIMEVALUE(SUBSTITUTE($D24,"：",":")),""))</f>
        <v/>
      </c>
      <c r="O24" s="35">
        <f>IF(ISNUMBER($F24),IF($F24&lt;1,$F24,(INT($F24/100)*60+MOD($F24,100))/1440),IFERROR(TIMEVALUE(SUBSTITUTE($F24,"：",":")),""))</f>
        <v/>
      </c>
      <c r="P24">
        <f>IF(ISNUMBER($G24),IF($G24&lt;1,$G24,(INT($G24/100)*60+MOD($G24,100))/1440),IFERROR(TIMEVALUE(SUBSTITUTE($G24,"：",":")),""))</f>
        <v/>
      </c>
      <c r="Q24">
        <f>IF(ISNUMBER($H24),IF($H24&lt;1,$H24,(INT($H24/100)*60+MOD($H24,100))/1440),IFERROR(TIMEVALUE(SUBSTITUTE($H24,"：",":")),""))</f>
        <v/>
      </c>
      <c r="R24">
        <f>IF(ISNUMBER($I24),IF($I24&lt;1,$I24,(INT($I24/100)*60+MOD($I24,100))/1440),IFERROR(TIMEVALUE(SUBSTITUTE($I24,"：",":")),""))</f>
        <v/>
      </c>
      <c r="S24">
        <f>IF(ISNUMBER($J24),IF($J24&lt;1,$J24,(INT($J24/100)*60+MOD($J24,100))/1440),IFERROR(TIMEVALUE(SUBSTITUTE($J24,"：",":")),""))</f>
        <v/>
      </c>
      <c r="T24">
        <f>IF(OR($N24="",$O24=""),"",MAX(0,MOD($O24-$N24,1)-MAX(0,MIN($O24,13/24)-MAX($N24,0.5))))</f>
        <v/>
      </c>
      <c r="U24">
        <f>IF($A24="","",IF(ISNUMBER(MATCH($A24,祝日リスト!$A$2:$A$40,0)),"祝",IF(WEEKDAY($A24,2)=6,"土",IF(WEEKDAY($A24,2)=7,"日","平"))))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IF(ISNUMBER($D25),IF($D25&lt;1,$D25,(INT($D25/100)*60+MOD($D25,100))/1440),IFERROR(TIMEVALUE(SUBSTITUTE($D25,"：",":")),""))</f>
        <v/>
      </c>
      <c r="O25" s="35">
        <f>IF(ISNUMBER($F25),IF($F25&lt;1,$F25,(INT($F25/100)*60+MOD($F25,100))/1440),IFERROR(TIMEVALUE(SUBSTITUTE($F25,"：",":")),""))</f>
        <v/>
      </c>
      <c r="P25">
        <f>IF(ISNUMBER($G25),IF($G25&lt;1,$G25,(INT($G25/100)*60+MOD($G25,100))/1440),IFERROR(TIMEVALUE(SUBSTITUTE($G25,"：",":")),""))</f>
        <v/>
      </c>
      <c r="Q25">
        <f>IF(ISNUMBER($H25),IF($H25&lt;1,$H25,(INT($H25/100)*60+MOD($H25,100))/1440),IFERROR(TIMEVALUE(SUBSTITUTE($H25,"：",":")),""))</f>
        <v/>
      </c>
      <c r="R25">
        <f>IF(ISNUMBER($I25),IF($I25&lt;1,$I25,(INT($I25/100)*60+MOD($I25,100))/1440),IFERROR(TIMEVALUE(SUBSTITUTE($I25,"：",":")),""))</f>
        <v/>
      </c>
      <c r="S25">
        <f>IF(ISNUMBER($J25),IF($J25&lt;1,$J25,(INT($J25/100)*60+MOD($J25,100))/1440),IFERROR(TIMEVALUE(SUBSTITUTE($J25,"：",":")),""))</f>
        <v/>
      </c>
      <c r="T25">
        <f>IF(OR($N25="",$O25=""),"",MAX(0,MOD($O25-$N25,1)-MAX(0,MIN($O25,13/24)-MAX($N25,0.5))))</f>
        <v/>
      </c>
      <c r="U25">
        <f>IF($A25="","",IF(ISNUMBER(MATCH($A25,祝日リスト!$A$2:$A$40,0)),"祝",IF(WEEKDAY($A25,2)=6,"土",IF(WEEKDAY($A25,2)=7,"日","平"))))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>
        <v>0.375</v>
      </c>
      <c r="E26" s="36" t="inlineStr">
        <is>
          <t>～</t>
        </is>
      </c>
      <c r="F26" s="85" t="n">
        <v>0.625</v>
      </c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IF(ISNUMBER($D26),IF($D26&lt;1,$D26,(INT($D26/100)*60+MOD($D26,100))/1440),IFERROR(TIMEVALUE(SUBSTITUTE($D26,"：",":")),""))</f>
        <v/>
      </c>
      <c r="O26" s="35">
        <f>IF(ISNUMBER($F26),IF($F26&lt;1,$F26,(INT($F26/100)*60+MOD($F26,100))/1440),IFERROR(TIMEVALUE(SUBSTITUTE($F26,"：",":")),""))</f>
        <v/>
      </c>
      <c r="P26" s="4">
        <f>IF(ISNUMBER($G26),IF($G26&lt;1,$G26,(INT($G26/100)*60+MOD($G26,100))/1440),IFERROR(TIMEVALUE(SUBSTITUTE($G26,"：",":")),""))</f>
        <v/>
      </c>
      <c r="Q26" s="4">
        <f>IF(ISNUMBER($H26),IF($H26&lt;1,$H26,(INT($H26/100)*60+MOD($H26,100))/1440),IFERROR(TIMEVALUE(SUBSTITUTE($H26,"：",":")),""))</f>
        <v/>
      </c>
      <c r="R26" s="4">
        <f>IF(ISNUMBER($I26),IF($I26&lt;1,$I26,(INT($I26/100)*60+MOD($I26,100))/1440),IFERROR(TIMEVALUE(SUBSTITUTE($I26,"：",":")),""))</f>
        <v/>
      </c>
      <c r="S26" s="4">
        <f>IF(ISNUMBER($J26),IF($J26&lt;1,$J26,(INT($J26/100)*60+MOD($J26,100))/1440),IFERROR(TIMEVALUE(SUBSTITUTE($J26,"：",":")),""))</f>
        <v/>
      </c>
      <c r="T26" s="4">
        <f>IF(OR($N26="",$O26=""),"",MAX(0,MOD($O26-$N26,1)-MAX(0,MIN($O26,13/24)-MAX($N26,0.5))))</f>
        <v/>
      </c>
      <c r="U26" s="4">
        <f>IF($A26="","",IF(ISNUMBER(MATCH($A26,祝日リスト!$A$2:$A$40,0)),"祝",IF(WEEKDAY($A26,2)=6,"土",IF(WEEKDAY($A26,2)=7,"日","平"))))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>
        <v>0.375</v>
      </c>
      <c r="E27" s="36" t="inlineStr">
        <is>
          <t>～</t>
        </is>
      </c>
      <c r="F27" s="85" t="n">
        <v>0.625</v>
      </c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IF(ISNUMBER($D27),IF($D27&lt;1,$D27,(INT($D27/100)*60+MOD($D27,100))/1440),IFERROR(TIMEVALUE(SUBSTITUTE($D27,"：",":")),""))</f>
        <v/>
      </c>
      <c r="O27" s="35">
        <f>IF(ISNUMBER($F27),IF($F27&lt;1,$F27,(INT($F27/100)*60+MOD($F27,100))/1440),IFERROR(TIMEVALUE(SUBSTITUTE($F27,"：",":")),""))</f>
        <v/>
      </c>
      <c r="P27">
        <f>IF(ISNUMBER($G27),IF($G27&lt;1,$G27,(INT($G27/100)*60+MOD($G27,100))/1440),IFERROR(TIMEVALUE(SUBSTITUTE($G27,"：",":")),""))</f>
        <v/>
      </c>
      <c r="Q27">
        <f>IF(ISNUMBER($H27),IF($H27&lt;1,$H27,(INT($H27/100)*60+MOD($H27,100))/1440),IFERROR(TIMEVALUE(SUBSTITUTE($H27,"：",":")),""))</f>
        <v/>
      </c>
      <c r="R27">
        <f>IF(ISNUMBER($I27),IF($I27&lt;1,$I27,(INT($I27/100)*60+MOD($I27,100))/1440),IFERROR(TIMEVALUE(SUBSTITUTE($I27,"：",":")),""))</f>
        <v/>
      </c>
      <c r="S27">
        <f>IF(ISNUMBER($J27),IF($J27&lt;1,$J27,(INT($J27/100)*60+MOD($J27,100))/1440),IFERROR(TIMEVALUE(SUBSTITUTE($J27,"：",":")),""))</f>
        <v/>
      </c>
      <c r="T27">
        <f>IF(OR($N27="",$O27=""),"",MAX(0,MOD($O27-$N27,1)-MAX(0,MIN($O27,13/24)-MAX($N27,0.5))))</f>
        <v/>
      </c>
      <c r="U27">
        <f>IF($A27="","",IF(ISNUMBER(MATCH($A27,祝日リスト!$A$2:$A$40,0)),"祝",IF(WEEKDAY($A27,2)=6,"土",IF(WEEKDAY($A27,2)=7,"日","平"))))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IF(ISNUMBER($D28),IF($D28&lt;1,$D28,(INT($D28/100)*60+MOD($D28,100))/1440),IFERROR(TIMEVALUE(SUBSTITUTE($D28,"：",":")),""))</f>
        <v/>
      </c>
      <c r="O28" s="35">
        <f>IF(ISNUMBER($F28),IF($F28&lt;1,$F28,(INT($F28/100)*60+MOD($F28,100))/1440),IFERROR(TIMEVALUE(SUBSTITUTE($F28,"：",":")),""))</f>
        <v/>
      </c>
      <c r="P28">
        <f>IF(ISNUMBER($G28),IF($G28&lt;1,$G28,(INT($G28/100)*60+MOD($G28,100))/1440),IFERROR(TIMEVALUE(SUBSTITUTE($G28,"：",":")),""))</f>
        <v/>
      </c>
      <c r="Q28">
        <f>IF(ISNUMBER($H28),IF($H28&lt;1,$H28,(INT($H28/100)*60+MOD($H28,100))/1440),IFERROR(TIMEVALUE(SUBSTITUTE($H28,"：",":")),""))</f>
        <v/>
      </c>
      <c r="R28">
        <f>IF(ISNUMBER($I28),IF($I28&lt;1,$I28,(INT($I28/100)*60+MOD($I28,100))/1440),IFERROR(TIMEVALUE(SUBSTITUTE($I28,"：",":")),""))</f>
        <v/>
      </c>
      <c r="S28">
        <f>IF(ISNUMBER($J28),IF($J28&lt;1,$J28,(INT($J28/100)*60+MOD($J28,100))/1440),IFERROR(TIMEVALUE(SUBSTITUTE($J28,"：",":")),""))</f>
        <v/>
      </c>
      <c r="T28">
        <f>IF(OR($N28="",$O28=""),"",MAX(0,MOD($O28-$N28,1)-MAX(0,MIN($O28,13/24)-MAX($N28,0.5))))</f>
        <v/>
      </c>
      <c r="U28">
        <f>IF($A28="","",IF(ISNUMBER(MATCH($A28,祝日リスト!$A$2:$A$40,0)),"祝",IF(WEEKDAY($A28,2)=6,"土",IF(WEEKDAY($A28,2)=7,"日","平"))))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>
        <v>0.375</v>
      </c>
      <c r="E29" s="36" t="inlineStr">
        <is>
          <t>～</t>
        </is>
      </c>
      <c r="F29" s="85" t="n">
        <v>0.625</v>
      </c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IF(ISNUMBER($D29),IF($D29&lt;1,$D29,(INT($D29/100)*60+MOD($D29,100))/1440),IFERROR(TIMEVALUE(SUBSTITUTE($D29,"：",":")),""))</f>
        <v/>
      </c>
      <c r="O29" s="35">
        <f>IF(ISNUMBER($F29),IF($F29&lt;1,$F29,(INT($F29/100)*60+MOD($F29,100))/1440),IFERROR(TIMEVALUE(SUBSTITUTE($F29,"：",":")),""))</f>
        <v/>
      </c>
      <c r="P29">
        <f>IF(ISNUMBER($G29),IF($G29&lt;1,$G29,(INT($G29/100)*60+MOD($G29,100))/1440),IFERROR(TIMEVALUE(SUBSTITUTE($G29,"：",":")),""))</f>
        <v/>
      </c>
      <c r="Q29">
        <f>IF(ISNUMBER($H29),IF($H29&lt;1,$H29,(INT($H29/100)*60+MOD($H29,100))/1440),IFERROR(TIMEVALUE(SUBSTITUTE($H29,"：",":")),""))</f>
        <v/>
      </c>
      <c r="R29">
        <f>IF(ISNUMBER($I29),IF($I29&lt;1,$I29,(INT($I29/100)*60+MOD($I29,100))/1440),IFERROR(TIMEVALUE(SUBSTITUTE($I29,"：",":")),""))</f>
        <v/>
      </c>
      <c r="S29">
        <f>IF(ISNUMBER($J29),IF($J29&lt;1,$J29,(INT($J29/100)*60+MOD($J29,100))/1440),IFERROR(TIMEVALUE(SUBSTITUTE($J29,"：",":")),""))</f>
        <v/>
      </c>
      <c r="T29">
        <f>IF(OR($N29="",$O29=""),"",MAX(0,MOD($O29-$N29,1)-MAX(0,MIN($O29,13/24)-MAX($N29,0.5))))</f>
        <v/>
      </c>
      <c r="U29">
        <f>IF($A29="","",IF(ISNUMBER(MATCH($A29,祝日リスト!$A$2:$A$40,0)),"祝",IF(WEEKDAY($A29,2)=6,"土",IF(WEEKDAY($A29,2)=7,"日","平"))))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>
        <v>0.375</v>
      </c>
      <c r="E30" s="36" t="inlineStr">
        <is>
          <t>～</t>
        </is>
      </c>
      <c r="F30" s="85" t="n">
        <v>0.625</v>
      </c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IF(ISNUMBER($D30),IF($D30&lt;1,$D30,(INT($D30/100)*60+MOD($D30,100))/1440),IFERROR(TIMEVALUE(SUBSTITUTE($D30,"：",":")),""))</f>
        <v/>
      </c>
      <c r="O30" s="35">
        <f>IF(ISNUMBER($F30),IF($F30&lt;1,$F30,(INT($F30/100)*60+MOD($F30,100))/1440),IFERROR(TIMEVALUE(SUBSTITUTE($F30,"：",":")),""))</f>
        <v/>
      </c>
      <c r="P30">
        <f>IF(ISNUMBER($G30),IF($G30&lt;1,$G30,(INT($G30/100)*60+MOD($G30,100))/1440),IFERROR(TIMEVALUE(SUBSTITUTE($G30,"：",":")),""))</f>
        <v/>
      </c>
      <c r="Q30">
        <f>IF(ISNUMBER($H30),IF($H30&lt;1,$H30,(INT($H30/100)*60+MOD($H30,100))/1440),IFERROR(TIMEVALUE(SUBSTITUTE($H30,"：",":")),""))</f>
        <v/>
      </c>
      <c r="R30">
        <f>IF(ISNUMBER($I30),IF($I30&lt;1,$I30,(INT($I30/100)*60+MOD($I30,100))/1440),IFERROR(TIMEVALUE(SUBSTITUTE($I30,"：",":")),""))</f>
        <v/>
      </c>
      <c r="S30">
        <f>IF(ISNUMBER($J30),IF($J30&lt;1,$J30,(INT($J30/100)*60+MOD($J30,100))/1440),IFERROR(TIMEVALUE(SUBSTITUTE($J30,"：",":")),""))</f>
        <v/>
      </c>
      <c r="T30">
        <f>IF(OR($N30="",$O30=""),"",MAX(0,MOD($O30-$N30,1)-MAX(0,MIN($O30,13/24)-MAX($N30,0.5))))</f>
        <v/>
      </c>
      <c r="U30">
        <f>IF($A30="","",IF(ISNUMBER(MATCH($A30,祝日リスト!$A$2:$A$40,0)),"祝",IF(WEEKDAY($A30,2)=6,"土",IF(WEEKDAY($A30,2)=7,"日","平"))))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IF(ISNUMBER($D31),IF($D31&lt;1,$D31,(INT($D31/100)*60+MOD($D31,100))/1440),IFERROR(TIMEVALUE(SUBSTITUTE($D31,"：",":")),""))</f>
        <v/>
      </c>
      <c r="O31" s="35">
        <f>IF(ISNUMBER($F31),IF($F31&lt;1,$F31,(INT($F31/100)*60+MOD($F31,100))/1440),IFERROR(TIMEVALUE(SUBSTITUTE($F31,"：",":")),""))</f>
        <v/>
      </c>
      <c r="P31">
        <f>IF(ISNUMBER($G31),IF($G31&lt;1,$G31,(INT($G31/100)*60+MOD($G31,100))/1440),IFERROR(TIMEVALUE(SUBSTITUTE($G31,"：",":")),""))</f>
        <v/>
      </c>
      <c r="Q31">
        <f>IF(ISNUMBER($H31),IF($H31&lt;1,$H31,(INT($H31/100)*60+MOD($H31,100))/1440),IFERROR(TIMEVALUE(SUBSTITUTE($H31,"：",":")),""))</f>
        <v/>
      </c>
      <c r="R31">
        <f>IF(ISNUMBER($I31),IF($I31&lt;1,$I31,(INT($I31/100)*60+MOD($I31,100))/1440),IFERROR(TIMEVALUE(SUBSTITUTE($I31,"：",":")),""))</f>
        <v/>
      </c>
      <c r="S31">
        <f>IF(ISNUMBER($J31),IF($J31&lt;1,$J31,(INT($J31/100)*60+MOD($J31,100))/1440),IFERROR(TIMEVALUE(SUBSTITUTE($J31,"：",":")),""))</f>
        <v/>
      </c>
      <c r="T31">
        <f>IF(OR($N31="",$O31=""),"",MAX(0,MOD($O31-$N31,1)-MAX(0,MIN($O31,13/24)-MAX($N31,0.5))))</f>
        <v/>
      </c>
      <c r="U31">
        <f>IF($A31="","",IF(ISNUMBER(MATCH($A31,祝日リスト!$A$2:$A$40,0)),"祝",IF(WEEKDAY($A31,2)=6,"土",IF(WEEKDAY($A31,2)=7,"日","平"))))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IF(ISNUMBER($D32),IF($D32&lt;1,$D32,(INT($D32/100)*60+MOD($D32,100))/1440),IFERROR(TIMEVALUE(SUBSTITUTE($D32,"：",":")),""))</f>
        <v/>
      </c>
      <c r="O32" s="35">
        <f>IF(ISNUMBER($F32),IF($F32&lt;1,$F32,(INT($F32/100)*60+MOD($F32,100))/1440),IFERROR(TIMEVALUE(SUBSTITUTE($F32,"：",":")),""))</f>
        <v/>
      </c>
      <c r="P32">
        <f>IF(ISNUMBER($G32),IF($G32&lt;1,$G32,(INT($G32/100)*60+MOD($G32,100))/1440),IFERROR(TIMEVALUE(SUBSTITUTE($G32,"：",":")),""))</f>
        <v/>
      </c>
      <c r="Q32">
        <f>IF(ISNUMBER($H32),IF($H32&lt;1,$H32,(INT($H32/100)*60+MOD($H32,100))/1440),IFERROR(TIMEVALUE(SUBSTITUTE($H32,"：",":")),""))</f>
        <v/>
      </c>
      <c r="R32">
        <f>IF(ISNUMBER($I32),IF($I32&lt;1,$I32,(INT($I32/100)*60+MOD($I32,100))/1440),IFERROR(TIMEVALUE(SUBSTITUTE($I32,"：",":")),""))</f>
        <v/>
      </c>
      <c r="S32">
        <f>IF(ISNUMBER($J32),IF($J32&lt;1,$J32,(INT($J32/100)*60+MOD($J32,100))/1440),IFERROR(TIMEVALUE(SUBSTITUTE($J32,"：",":")),""))</f>
        <v/>
      </c>
      <c r="T32">
        <f>IF(OR($N32="",$O32=""),"",MAX(0,MOD($O32-$N32,1)-MAX(0,MIN($O32,13/24)-MAX($N32,0.5))))</f>
        <v/>
      </c>
      <c r="U32">
        <f>IF($A32="","",IF(ISNUMBER(MATCH($A32,祝日リスト!$A$2:$A$40,0)),"祝",IF(WEEKDAY($A32,2)=6,"土",IF(WEEKDAY($A32,2)=7,"日","平"))))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>
        <v>0.375</v>
      </c>
      <c r="E33" s="36" t="inlineStr">
        <is>
          <t>～</t>
        </is>
      </c>
      <c r="F33" s="85" t="n">
        <v>0.625</v>
      </c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IF(ISNUMBER($D33),IF($D33&lt;1,$D33,(INT($D33/100)*60+MOD($D33,100))/1440),IFERROR(TIMEVALUE(SUBSTITUTE($D33,"：",":")),""))</f>
        <v/>
      </c>
      <c r="O33" s="35">
        <f>IF(ISNUMBER($F33),IF($F33&lt;1,$F33,(INT($F33/100)*60+MOD($F33,100))/1440),IFERROR(TIMEVALUE(SUBSTITUTE($F33,"：",":")),""))</f>
        <v/>
      </c>
      <c r="P33">
        <f>IF(ISNUMBER($G33),IF($G33&lt;1,$G33,(INT($G33/100)*60+MOD($G33,100))/1440),IFERROR(TIMEVALUE(SUBSTITUTE($G33,"：",":")),""))</f>
        <v/>
      </c>
      <c r="Q33">
        <f>IF(ISNUMBER($H33),IF($H33&lt;1,$H33,(INT($H33/100)*60+MOD($H33,100))/1440),IFERROR(TIMEVALUE(SUBSTITUTE($H33,"：",":")),""))</f>
        <v/>
      </c>
      <c r="R33">
        <f>IF(ISNUMBER($I33),IF($I33&lt;1,$I33,(INT($I33/100)*60+MOD($I33,100))/1440),IFERROR(TIMEVALUE(SUBSTITUTE($I33,"：",":")),""))</f>
        <v/>
      </c>
      <c r="S33">
        <f>IF(ISNUMBER($J33),IF($J33&lt;1,$J33,(INT($J33/100)*60+MOD($J33,100))/1440),IFERROR(TIMEVALUE(SUBSTITUTE($J33,"：",":")),""))</f>
        <v/>
      </c>
      <c r="T33">
        <f>IF(OR($N33="",$O33=""),"",MAX(0,MOD($O33-$N33,1)-MAX(0,MIN($O33,13/24)-MAX($N33,0.5))))</f>
        <v/>
      </c>
      <c r="U33">
        <f>IF($A33="","",IF(ISNUMBER(MATCH($A33,祝日リスト!$A$2:$A$40,0)),"祝",IF(WEEKDAY($A33,2)=6,"土",IF(WEEKDAY($A33,2)=7,"日","平"))))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>
        <v>0.375</v>
      </c>
      <c r="E34" s="36" t="inlineStr">
        <is>
          <t>～</t>
        </is>
      </c>
      <c r="F34" s="85" t="n">
        <v>0.625</v>
      </c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IF(ISNUMBER($D34),IF($D34&lt;1,$D34,(INT($D34/100)*60+MOD($D34,100))/1440),IFERROR(TIMEVALUE(SUBSTITUTE($D34,"：",":")),""))</f>
        <v/>
      </c>
      <c r="O34" s="35">
        <f>IF(ISNUMBER($F34),IF($F34&lt;1,$F34,(INT($F34/100)*60+MOD($F34,100))/1440),IFERROR(TIMEVALUE(SUBSTITUTE($F34,"：",":")),""))</f>
        <v/>
      </c>
      <c r="P34">
        <f>IF(ISNUMBER($G34),IF($G34&lt;1,$G34,(INT($G34/100)*60+MOD($G34,100))/1440),IFERROR(TIMEVALUE(SUBSTITUTE($G34,"：",":")),""))</f>
        <v/>
      </c>
      <c r="Q34">
        <f>IF(ISNUMBER($H34),IF($H34&lt;1,$H34,(INT($H34/100)*60+MOD($H34,100))/1440),IFERROR(TIMEVALUE(SUBSTITUTE($H34,"：",":")),""))</f>
        <v/>
      </c>
      <c r="R34">
        <f>IF(ISNUMBER($I34),IF($I34&lt;1,$I34,(INT($I34/100)*60+MOD($I34,100))/1440),IFERROR(TIMEVALUE(SUBSTITUTE($I34,"：",":")),""))</f>
        <v/>
      </c>
      <c r="S34">
        <f>IF(ISNUMBER($J34),IF($J34&lt;1,$J34,(INT($J34/100)*60+MOD($J34,100))/1440),IFERROR(TIMEVALUE(SUBSTITUTE($J34,"：",":")),""))</f>
        <v/>
      </c>
      <c r="T34">
        <f>IF(OR($N34="",$O34=""),"",MAX(0,MOD($O34-$N34,1)-MAX(0,MIN($O34,13/24)-MAX($N34,0.5))))</f>
        <v/>
      </c>
      <c r="U34">
        <f>IF($A34="","",IF(ISNUMBER(MATCH($A34,祝日リスト!$A$2:$A$40,0)),"祝",IF(WEEKDAY($A34,2)=6,"土",IF(WEEKDAY($A34,2)=7,"日","平"))))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IF(ISNUMBER($D35),IF($D35&lt;1,$D35,(INT($D35/100)*60+MOD($D35,100))/1440),IFERROR(TIMEVALUE(SUBSTITUTE($D35,"：",":")),""))</f>
        <v/>
      </c>
      <c r="O35" s="35">
        <f>IF(ISNUMBER($F35),IF($F35&lt;1,$F35,(INT($F35/100)*60+MOD($F35,100))/1440),IFERROR(TIMEVALUE(SUBSTITUTE($F35,"：",":")),""))</f>
        <v/>
      </c>
      <c r="P35">
        <f>IF(ISNUMBER($G35),IF($G35&lt;1,$G35,(INT($G35/100)*60+MOD($G35,100))/1440),IFERROR(TIMEVALUE(SUBSTITUTE($G35,"：",":")),""))</f>
        <v/>
      </c>
      <c r="Q35">
        <f>IF(ISNUMBER($H35),IF($H35&lt;1,$H35,(INT($H35/100)*60+MOD($H35,100))/1440),IFERROR(TIMEVALUE(SUBSTITUTE($H35,"：",":")),""))</f>
        <v/>
      </c>
      <c r="R35">
        <f>IF(ISNUMBER($I35),IF($I35&lt;1,$I35,(INT($I35/100)*60+MOD($I35,100))/1440),IFERROR(TIMEVALUE(SUBSTITUTE($I35,"：",":")),""))</f>
        <v/>
      </c>
      <c r="S35">
        <f>IF(ISNUMBER($J35),IF($J35&lt;1,$J35,(INT($J35/100)*60+MOD($J35,100))/1440),IFERROR(TIMEVALUE(SUBSTITUTE($J35,"：",":")),""))</f>
        <v/>
      </c>
      <c r="T35">
        <f>IF(OR($N35="",$O35=""),"",MAX(0,MOD($O35-$N35,1)-MAX(0,MIN($O35,13/24)-MAX($N35,0.5))))</f>
        <v/>
      </c>
      <c r="U35">
        <f>IF($A35="","",IF(ISNUMBER(MATCH($A35,祝日リスト!$A$2:$A$40,0)),"祝",IF(WEEKDAY($A35,2)=6,"土",IF(WEEKDAY($A35,2)=7,"日","平"))))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>
        <v>0.375</v>
      </c>
      <c r="E36" s="36" t="inlineStr">
        <is>
          <t>～</t>
        </is>
      </c>
      <c r="F36" s="85" t="n">
        <v>0.625</v>
      </c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IF(ISNUMBER($D36),IF($D36&lt;1,$D36,(INT($D36/100)*60+MOD($D36,100))/1440),IFERROR(TIMEVALUE(SUBSTITUTE($D36,"：",":")),""))</f>
        <v/>
      </c>
      <c r="O36" s="35">
        <f>IF(ISNUMBER($F36),IF($F36&lt;1,$F36,(INT($F36/100)*60+MOD($F36,100))/1440),IFERROR(TIMEVALUE(SUBSTITUTE($F36,"：",":")),""))</f>
        <v/>
      </c>
      <c r="P36">
        <f>IF(ISNUMBER($G36),IF($G36&lt;1,$G36,(INT($G36/100)*60+MOD($G36,100))/1440),IFERROR(TIMEVALUE(SUBSTITUTE($G36,"：",":")),""))</f>
        <v/>
      </c>
      <c r="Q36">
        <f>IF(ISNUMBER($H36),IF($H36&lt;1,$H36,(INT($H36/100)*60+MOD($H36,100))/1440),IFERROR(TIMEVALUE(SUBSTITUTE($H36,"：",":")),""))</f>
        <v/>
      </c>
      <c r="R36">
        <f>IF(ISNUMBER($I36),IF($I36&lt;1,$I36,(INT($I36/100)*60+MOD($I36,100))/1440),IFERROR(TIMEVALUE(SUBSTITUTE($I36,"：",":")),""))</f>
        <v/>
      </c>
      <c r="S36">
        <f>IF(ISNUMBER($J36),IF($J36&lt;1,$J36,(INT($J36/100)*60+MOD($J36,100))/1440),IFERROR(TIMEVALUE(SUBSTITUTE($J36,"：",":")),""))</f>
        <v/>
      </c>
      <c r="T36">
        <f>IF(OR($N36="",$O36=""),"",MAX(0,MOD($O36-$N36,1)-MAX(0,MIN($O36,13/24)-MAX($N36,0.5))))</f>
        <v/>
      </c>
      <c r="U36">
        <f>IF($A36="","",IF(ISNUMBER(MATCH($A36,祝日リスト!$A$2:$A$40,0)),"祝",IF(WEEKDAY($A36,2)=6,"土",IF(WEEKDAY($A36,2)=7,"日","平"))))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IF(ISNUMBER($D37),IF($D37&lt;1,$D37,(INT($D37/100)*60+MOD($D37,100))/1440),IFERROR(TIMEVALUE(SUBSTITUTE($D37,"：",":")),""))</f>
        <v/>
      </c>
      <c r="O37">
        <f>IF(ISNUMBER($F37),IF($F37&lt;1,$F37,(INT($F37/100)*60+MOD($F37,100))/1440),IFERROR(TIMEVALUE(SUBSTITUTE($F37,"：",":")),""))</f>
        <v/>
      </c>
      <c r="P37">
        <f>IF(ISNUMBER($G37),IF($G37&lt;1,$G37,(INT($G37/100)*60+MOD($G37,100))/1440),IFERROR(TIMEVALUE(SUBSTITUTE($G37,"：",":")),""))</f>
        <v/>
      </c>
      <c r="Q37">
        <f>IF(ISNUMBER($H37),IF($H37&lt;1,$H37,(INT($H37/100)*60+MOD($H37,100))/1440),IFERROR(TIMEVALUE(SUBSTITUTE($H37,"：",":")),""))</f>
        <v/>
      </c>
      <c r="R37">
        <f>IF(ISNUMBER($I37),IF($I37&lt;1,$I37,(INT($I37/100)*60+MOD($I37,100))/1440),IFERROR(TIMEVALUE(SUBSTITUTE($I37,"：",":")),""))</f>
        <v/>
      </c>
      <c r="S37">
        <f>IF(ISNUMBER($J37),IF($J37&lt;1,$J37,(INT($J37/100)*60+MOD($J37,100))/1440),IFERROR(TIMEVALUE(SUBSTITUTE($J37,"：",":")),""))</f>
        <v/>
      </c>
      <c r="T37">
        <f>IF(OR($N37="",$O37=""),"",MAX(0,MOD($O37-$N37,1)-MAX(0,MIN($O37,13/24)-MAX($N37,0.5))))</f>
        <v/>
      </c>
      <c r="U37">
        <f>IF($A37="","",IF(ISNUMBER(MATCH($A37,祝日リスト!$A$2:$A$40,0)),"祝",IF(WEEKDAY($A37,2)=6,"土",IF(WEEKDAY($A37,2)=7,"日","平"))))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AND($A7&lt;&gt;"",OR(WEEKDAY($A7,2)=6,WEEKDAY($A7,2)=7,WEEKDAY($A7,2)=3,ISNUMBER(MATCH($A7,祝日リスト!$A$2:$A$40,0))))</formula>
    </cfRule>
  </conditionalFormatting>
  <dataValidations count="1">
    <dataValidation sqref="D7:D37 F7:F37 G7:G37 H7:H37 I7:I37 J7:J37" showDropDown="0" showInputMessage="0" showErrorMessage="1" allowBlank="1" errorTitle="時刻の入力" error="9:30 のように、コロン付きで入力してください（全角の 9：00 でも可）。" type="custom">
      <formula1>=OR(AND(ISNUMBER(D7),D7&gt;=0,D7&lt;1),IFERROR(ISNUMBER(TIMEVALUE(SUBSTITUTE(D7,"：",":"))),FALSE))</formula1>
    </dataValidation>
  </dataValidations>
  <pageMargins left="0.25" right="0.25" top="0.75" bottom="0.75" header="0" footer="0"/>
  <pageSetup orientation="portrait" paperSize="9" scale="96" fitToWidth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5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>
        <v>0.375</v>
      </c>
      <c r="E7" s="69" t="inlineStr">
        <is>
          <t>～</t>
        </is>
      </c>
      <c r="F7" s="82" t="n">
        <v>0.625</v>
      </c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IF(ISNUMBER($D7),IF($D7&lt;1,$D7,(INT($D7/100)*60+MOD($D7,100))/1440),IFERROR(TIMEVALUE(SUBSTITUTE($D7,"：",":")),""))</f>
        <v/>
      </c>
      <c r="O7">
        <f>IF(ISNUMBER($F7),IF($F7&lt;1,$F7,(INT($F7/100)*60+MOD($F7,100))/1440),IFERROR(TIMEVALUE(SUBSTITUTE($F7,"：",":")),""))</f>
        <v/>
      </c>
      <c r="P7">
        <f>IF(ISNUMBER($G7),IF($G7&lt;1,$G7,(INT($G7/100)*60+MOD($G7,100))/1440),IFERROR(TIMEVALUE(SUBSTITUTE($G7,"：",":")),""))</f>
        <v/>
      </c>
      <c r="Q7">
        <f>IF(ISNUMBER($H7),IF($H7&lt;1,$H7,(INT($H7/100)*60+MOD($H7,100))/1440),IFERROR(TIMEVALUE(SUBSTITUTE($H7,"：",":")),""))</f>
        <v/>
      </c>
      <c r="R7">
        <f>IF(ISNUMBER($I7),IF($I7&lt;1,$I7,(INT($I7/100)*60+MOD($I7,100))/1440),IFERROR(TIMEVALUE(SUBSTITUTE($I7,"：",":")),""))</f>
        <v/>
      </c>
      <c r="S7">
        <f>IF(ISNUMBER($J7),IF($J7&lt;1,$J7,(INT($J7/100)*60+MOD($J7,100))/1440),IFERROR(TIMEVALUE(SUBSTITUTE($J7,"：",":")),""))</f>
        <v/>
      </c>
      <c r="T7">
        <f>IF(OR($N7="",$O7=""),"",MAX(0,MOD($O7-$N7,1)-MAX(0,MIN($O7,13/24)-MAX($N7,0.5))))</f>
        <v/>
      </c>
      <c r="U7">
        <f>IF($A7="","",IF(ISNUMBER(MATCH($A7,祝日リスト!$A$2:$A$40,0)),"祝",IF(WEEKDAY($A7,2)=6,"土",IF(WEEKDAY($A7,2)=7,"日","平"))))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IF(ISNUMBER($D8),IF($D8&lt;1,$D8,(INT($D8/100)*60+MOD($D8,100))/1440),IFERROR(TIMEVALUE(SUBSTITUTE($D8,"：",":")),""))</f>
        <v/>
      </c>
      <c r="O8" s="35">
        <f>IF(ISNUMBER($F8),IF($F8&lt;1,$F8,(INT($F8/100)*60+MOD($F8,100))/1440),IFERROR(TIMEVALUE(SUBSTITUTE($F8,"：",":")),""))</f>
        <v/>
      </c>
      <c r="P8">
        <f>IF(ISNUMBER($G8),IF($G8&lt;1,$G8,(INT($G8/100)*60+MOD($G8,100))/1440),IFERROR(TIMEVALUE(SUBSTITUTE($G8,"：",":")),""))</f>
        <v/>
      </c>
      <c r="Q8">
        <f>IF(ISNUMBER($H8),IF($H8&lt;1,$H8,(INT($H8/100)*60+MOD($H8,100))/1440),IFERROR(TIMEVALUE(SUBSTITUTE($H8,"：",":")),""))</f>
        <v/>
      </c>
      <c r="R8">
        <f>IF(ISNUMBER($I8),IF($I8&lt;1,$I8,(INT($I8/100)*60+MOD($I8,100))/1440),IFERROR(TIMEVALUE(SUBSTITUTE($I8,"：",":")),""))</f>
        <v/>
      </c>
      <c r="S8">
        <f>IF(ISNUMBER($J8),IF($J8&lt;1,$J8,(INT($J8/100)*60+MOD($J8,100))/1440),IFERROR(TIMEVALUE(SUBSTITUTE($J8,"：",":")),""))</f>
        <v/>
      </c>
      <c r="T8">
        <f>IF(OR($N8="",$O8=""),"",MAX(0,MOD($O8-$N8,1)-MAX(0,MIN($O8,13/24)-MAX($N8,0.5))))</f>
        <v/>
      </c>
      <c r="U8">
        <f>IF($A8="","",IF(ISNUMBER(MATCH($A8,祝日リスト!$A$2:$A$40,0)),"祝",IF(WEEKDAY($A8,2)=6,"土",IF(WEEKDAY($A8,2)=7,"日","平"))))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IF(ISNUMBER($D9),IF($D9&lt;1,$D9,(INT($D9/100)*60+MOD($D9,100))/1440),IFERROR(TIMEVALUE(SUBSTITUTE($D9,"：",":")),""))</f>
        <v/>
      </c>
      <c r="O9" s="35">
        <f>IF(ISNUMBER($F9),IF($F9&lt;1,$F9,(INT($F9/100)*60+MOD($F9,100))/1440),IFERROR(TIMEVALUE(SUBSTITUTE($F9,"：",":")),""))</f>
        <v/>
      </c>
      <c r="P9">
        <f>IF(ISNUMBER($G9),IF($G9&lt;1,$G9,(INT($G9/100)*60+MOD($G9,100))/1440),IFERROR(TIMEVALUE(SUBSTITUTE($G9,"：",":")),""))</f>
        <v/>
      </c>
      <c r="Q9">
        <f>IF(ISNUMBER($H9),IF($H9&lt;1,$H9,(INT($H9/100)*60+MOD($H9,100))/1440),IFERROR(TIMEVALUE(SUBSTITUTE($H9,"：",":")),""))</f>
        <v/>
      </c>
      <c r="R9">
        <f>IF(ISNUMBER($I9),IF($I9&lt;1,$I9,(INT($I9/100)*60+MOD($I9,100))/1440),IFERROR(TIMEVALUE(SUBSTITUTE($I9,"：",":")),""))</f>
        <v/>
      </c>
      <c r="S9">
        <f>IF(ISNUMBER($J9),IF($J9&lt;1,$J9,(INT($J9/100)*60+MOD($J9,100))/1440),IFERROR(TIMEVALUE(SUBSTITUTE($J9,"：",":")),""))</f>
        <v/>
      </c>
      <c r="T9">
        <f>IF(OR($N9="",$O9=""),"",MAX(0,MOD($O9-$N9,1)-MAX(0,MIN($O9,13/24)-MAX($N9,0.5))))</f>
        <v/>
      </c>
      <c r="U9">
        <f>IF($A9="","",IF(ISNUMBER(MATCH($A9,祝日リスト!$A$2:$A$40,0)),"祝",IF(WEEKDAY($A9,2)=6,"土",IF(WEEKDAY($A9,2)=7,"日","平"))))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IF(ISNUMBER($D10),IF($D10&lt;1,$D10,(INT($D10/100)*60+MOD($D10,100))/1440),IFERROR(TIMEVALUE(SUBSTITUTE($D10,"：",":")),""))</f>
        <v/>
      </c>
      <c r="O10" s="35">
        <f>IF(ISNUMBER($F10),IF($F10&lt;1,$F10,(INT($F10/100)*60+MOD($F10,100))/1440),IFERROR(TIMEVALUE(SUBSTITUTE($F10,"：",":")),""))</f>
        <v/>
      </c>
      <c r="P10">
        <f>IF(ISNUMBER($G10),IF($G10&lt;1,$G10,(INT($G10/100)*60+MOD($G10,100))/1440),IFERROR(TIMEVALUE(SUBSTITUTE($G10,"：",":")),""))</f>
        <v/>
      </c>
      <c r="Q10">
        <f>IF(ISNUMBER($H10),IF($H10&lt;1,$H10,(INT($H10/100)*60+MOD($H10,100))/1440),IFERROR(TIMEVALUE(SUBSTITUTE($H10,"：",":")),""))</f>
        <v/>
      </c>
      <c r="R10">
        <f>IF(ISNUMBER($I10),IF($I10&lt;1,$I10,(INT($I10/100)*60+MOD($I10,100))/1440),IFERROR(TIMEVALUE(SUBSTITUTE($I10,"：",":")),""))</f>
        <v/>
      </c>
      <c r="S10">
        <f>IF(ISNUMBER($J10),IF($J10&lt;1,$J10,(INT($J10/100)*60+MOD($J10,100))/1440),IFERROR(TIMEVALUE(SUBSTITUTE($J10,"：",":")),""))</f>
        <v/>
      </c>
      <c r="T10">
        <f>IF(OR($N10="",$O10=""),"",MAX(0,MOD($O10-$N10,1)-MAX(0,MIN($O10,13/24)-MAX($N10,0.5))))</f>
        <v/>
      </c>
      <c r="U10">
        <f>IF($A10="","",IF(ISNUMBER(MATCH($A10,祝日リスト!$A$2:$A$40,0)),"祝",IF(WEEKDAY($A10,2)=6,"土",IF(WEEKDAY($A10,2)=7,"日","平"))))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IF(ISNUMBER($D11),IF($D11&lt;1,$D11,(INT($D11/100)*60+MOD($D11,100))/1440),IFERROR(TIMEVALUE(SUBSTITUTE($D11,"：",":")),""))</f>
        <v/>
      </c>
      <c r="O11" s="35">
        <f>IF(ISNUMBER($F11),IF($F11&lt;1,$F11,(INT($F11/100)*60+MOD($F11,100))/1440),IFERROR(TIMEVALUE(SUBSTITUTE($F11,"：",":")),""))</f>
        <v/>
      </c>
      <c r="P11">
        <f>IF(ISNUMBER($G11),IF($G11&lt;1,$G11,(INT($G11/100)*60+MOD($G11,100))/1440),IFERROR(TIMEVALUE(SUBSTITUTE($G11,"：",":")),""))</f>
        <v/>
      </c>
      <c r="Q11">
        <f>IF(ISNUMBER($H11),IF($H11&lt;1,$H11,(INT($H11/100)*60+MOD($H11,100))/1440),IFERROR(TIMEVALUE(SUBSTITUTE($H11,"：",":")),""))</f>
        <v/>
      </c>
      <c r="R11">
        <f>IF(ISNUMBER($I11),IF($I11&lt;1,$I11,(INT($I11/100)*60+MOD($I11,100))/1440),IFERROR(TIMEVALUE(SUBSTITUTE($I11,"：",":")),""))</f>
        <v/>
      </c>
      <c r="S11">
        <f>IF(ISNUMBER($J11),IF($J11&lt;1,$J11,(INT($J11/100)*60+MOD($J11,100))/1440),IFERROR(TIMEVALUE(SUBSTITUTE($J11,"：",":")),""))</f>
        <v/>
      </c>
      <c r="T11">
        <f>IF(OR($N11="",$O11=""),"",MAX(0,MOD($O11-$N11,1)-MAX(0,MIN($O11,13/24)-MAX($N11,0.5))))</f>
        <v/>
      </c>
      <c r="U11">
        <f>IF($A11="","",IF(ISNUMBER(MATCH($A11,祝日リスト!$A$2:$A$40,0)),"祝",IF(WEEKDAY($A11,2)=6,"土",IF(WEEKDAY($A11,2)=7,"日","平"))))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IF(ISNUMBER($D12),IF($D12&lt;1,$D12,(INT($D12/100)*60+MOD($D12,100))/1440),IFERROR(TIMEVALUE(SUBSTITUTE($D12,"：",":")),""))</f>
        <v/>
      </c>
      <c r="O12" s="35">
        <f>IF(ISNUMBER($F12),IF($F12&lt;1,$F12,(INT($F12/100)*60+MOD($F12,100))/1440),IFERROR(TIMEVALUE(SUBSTITUTE($F12,"：",":")),""))</f>
        <v/>
      </c>
      <c r="P12">
        <f>IF(ISNUMBER($G12),IF($G12&lt;1,$G12,(INT($G12/100)*60+MOD($G12,100))/1440),IFERROR(TIMEVALUE(SUBSTITUTE($G12,"：",":")),""))</f>
        <v/>
      </c>
      <c r="Q12">
        <f>IF(ISNUMBER($H12),IF($H12&lt;1,$H12,(INT($H12/100)*60+MOD($H12,100))/1440),IFERROR(TIMEVALUE(SUBSTITUTE($H12,"：",":")),""))</f>
        <v/>
      </c>
      <c r="R12">
        <f>IF(ISNUMBER($I12),IF($I12&lt;1,$I12,(INT($I12/100)*60+MOD($I12,100))/1440),IFERROR(TIMEVALUE(SUBSTITUTE($I12,"：",":")),""))</f>
        <v/>
      </c>
      <c r="S12">
        <f>IF(ISNUMBER($J12),IF($J12&lt;1,$J12,(INT($J12/100)*60+MOD($J12,100))/1440),IFERROR(TIMEVALUE(SUBSTITUTE($J12,"：",":")),""))</f>
        <v/>
      </c>
      <c r="T12">
        <f>IF(OR($N12="",$O12=""),"",MAX(0,MOD($O12-$N12,1)-MAX(0,MIN($O12,13/24)-MAX($N12,0.5))))</f>
        <v/>
      </c>
      <c r="U12">
        <f>IF($A12="","",IF(ISNUMBER(MATCH($A12,祝日リスト!$A$2:$A$40,0)),"祝",IF(WEEKDAY($A12,2)=6,"土",IF(WEEKDAY($A12,2)=7,"日","平"))))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IF(ISNUMBER($D13),IF($D13&lt;1,$D13,(INT($D13/100)*60+MOD($D13,100))/1440),IFERROR(TIMEVALUE(SUBSTITUTE($D13,"：",":")),""))</f>
        <v/>
      </c>
      <c r="O13" s="35">
        <f>IF(ISNUMBER($F13),IF($F13&lt;1,$F13,(INT($F13/100)*60+MOD($F13,100))/1440),IFERROR(TIMEVALUE(SUBSTITUTE($F13,"：",":")),""))</f>
        <v/>
      </c>
      <c r="P13">
        <f>IF(ISNUMBER($G13),IF($G13&lt;1,$G13,(INT($G13/100)*60+MOD($G13,100))/1440),IFERROR(TIMEVALUE(SUBSTITUTE($G13,"：",":")),""))</f>
        <v/>
      </c>
      <c r="Q13">
        <f>IF(ISNUMBER($H13),IF($H13&lt;1,$H13,(INT($H13/100)*60+MOD($H13,100))/1440),IFERROR(TIMEVALUE(SUBSTITUTE($H13,"：",":")),""))</f>
        <v/>
      </c>
      <c r="R13">
        <f>IF(ISNUMBER($I13),IF($I13&lt;1,$I13,(INT($I13/100)*60+MOD($I13,100))/1440),IFERROR(TIMEVALUE(SUBSTITUTE($I13,"：",":")),""))</f>
        <v/>
      </c>
      <c r="S13">
        <f>IF(ISNUMBER($J13),IF($J13&lt;1,$J13,(INT($J13/100)*60+MOD($J13,100))/1440),IFERROR(TIMEVALUE(SUBSTITUTE($J13,"：",":")),""))</f>
        <v/>
      </c>
      <c r="T13">
        <f>IF(OR($N13="",$O13=""),"",MAX(0,MOD($O13-$N13,1)-MAX(0,MIN($O13,13/24)-MAX($N13,0.5))))</f>
        <v/>
      </c>
      <c r="U13">
        <f>IF($A13="","",IF(ISNUMBER(MATCH($A13,祝日リスト!$A$2:$A$40,0)),"祝",IF(WEEKDAY($A13,2)=6,"土",IF(WEEKDAY($A13,2)=7,"日","平"))))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>
        <v>0.375</v>
      </c>
      <c r="E14" s="36" t="inlineStr">
        <is>
          <t>～</t>
        </is>
      </c>
      <c r="F14" s="85" t="n">
        <v>0.625</v>
      </c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IF(ISNUMBER($D14),IF($D14&lt;1,$D14,(INT($D14/100)*60+MOD($D14,100))/1440),IFERROR(TIMEVALUE(SUBSTITUTE($D14,"：",":")),""))</f>
        <v/>
      </c>
      <c r="O14" s="35">
        <f>IF(ISNUMBER($F14),IF($F14&lt;1,$F14,(INT($F14/100)*60+MOD($F14,100))/1440),IFERROR(TIMEVALUE(SUBSTITUTE($F14,"：",":")),""))</f>
        <v/>
      </c>
      <c r="P14">
        <f>IF(ISNUMBER($G14),IF($G14&lt;1,$G14,(INT($G14/100)*60+MOD($G14,100))/1440),IFERROR(TIMEVALUE(SUBSTITUTE($G14,"：",":")),""))</f>
        <v/>
      </c>
      <c r="Q14">
        <f>IF(ISNUMBER($H14),IF($H14&lt;1,$H14,(INT($H14/100)*60+MOD($H14,100))/1440),IFERROR(TIMEVALUE(SUBSTITUTE($H14,"：",":")),""))</f>
        <v/>
      </c>
      <c r="R14">
        <f>IF(ISNUMBER($I14),IF($I14&lt;1,$I14,(INT($I14/100)*60+MOD($I14,100))/1440),IFERROR(TIMEVALUE(SUBSTITUTE($I14,"：",":")),""))</f>
        <v/>
      </c>
      <c r="S14">
        <f>IF(ISNUMBER($J14),IF($J14&lt;1,$J14,(INT($J14/100)*60+MOD($J14,100))/1440),IFERROR(TIMEVALUE(SUBSTITUTE($J14,"：",":")),""))</f>
        <v/>
      </c>
      <c r="T14">
        <f>IF(OR($N14="",$O14=""),"",MAX(0,MOD($O14-$N14,1)-MAX(0,MIN($O14,13/24)-MAX($N14,0.5))))</f>
        <v/>
      </c>
      <c r="U14">
        <f>IF($A14="","",IF(ISNUMBER(MATCH($A14,祝日リスト!$A$2:$A$40,0)),"祝",IF(WEEKDAY($A14,2)=6,"土",IF(WEEKDAY($A14,2)=7,"日","平"))))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>
        <v>0.375</v>
      </c>
      <c r="E15" s="36" t="inlineStr">
        <is>
          <t>～</t>
        </is>
      </c>
      <c r="F15" s="85" t="n">
        <v>0.625</v>
      </c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IF(ISNUMBER($D15),IF($D15&lt;1,$D15,(INT($D15/100)*60+MOD($D15,100))/1440),IFERROR(TIMEVALUE(SUBSTITUTE($D15,"：",":")),""))</f>
        <v/>
      </c>
      <c r="O15" s="35">
        <f>IF(ISNUMBER($F15),IF($F15&lt;1,$F15,(INT($F15/100)*60+MOD($F15,100))/1440),IFERROR(TIMEVALUE(SUBSTITUTE($F15,"：",":")),""))</f>
        <v/>
      </c>
      <c r="P15">
        <f>IF(ISNUMBER($G15),IF($G15&lt;1,$G15,(INT($G15/100)*60+MOD($G15,100))/1440),IFERROR(TIMEVALUE(SUBSTITUTE($G15,"：",":")),""))</f>
        <v/>
      </c>
      <c r="Q15">
        <f>IF(ISNUMBER($H15),IF($H15&lt;1,$H15,(INT($H15/100)*60+MOD($H15,100))/1440),IFERROR(TIMEVALUE(SUBSTITUTE($H15,"：",":")),""))</f>
        <v/>
      </c>
      <c r="R15">
        <f>IF(ISNUMBER($I15),IF($I15&lt;1,$I15,(INT($I15/100)*60+MOD($I15,100))/1440),IFERROR(TIMEVALUE(SUBSTITUTE($I15,"：",":")),""))</f>
        <v/>
      </c>
      <c r="S15">
        <f>IF(ISNUMBER($J15),IF($J15&lt;1,$J15,(INT($J15/100)*60+MOD($J15,100))/1440),IFERROR(TIMEVALUE(SUBSTITUTE($J15,"：",":")),""))</f>
        <v/>
      </c>
      <c r="T15">
        <f>IF(OR($N15="",$O15=""),"",MAX(0,MOD($O15-$N15,1)-MAX(0,MIN($O15,13/24)-MAX($N15,0.5))))</f>
        <v/>
      </c>
      <c r="U15">
        <f>IF($A15="","",IF(ISNUMBER(MATCH($A15,祝日リスト!$A$2:$A$40,0)),"祝",IF(WEEKDAY($A15,2)=6,"土",IF(WEEKDAY($A15,2)=7,"日","平"))))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IF(ISNUMBER($D16),IF($D16&lt;1,$D16,(INT($D16/100)*60+MOD($D16,100))/1440),IFERROR(TIMEVALUE(SUBSTITUTE($D16,"：",":")),""))</f>
        <v/>
      </c>
      <c r="O16" s="35">
        <f>IF(ISNUMBER($F16),IF($F16&lt;1,$F16,(INT($F16/100)*60+MOD($F16,100))/1440),IFERROR(TIMEVALUE(SUBSTITUTE($F16,"：",":")),""))</f>
        <v/>
      </c>
      <c r="P16">
        <f>IF(ISNUMBER($G16),IF($G16&lt;1,$G16,(INT($G16/100)*60+MOD($G16,100))/1440),IFERROR(TIMEVALUE(SUBSTITUTE($G16,"：",":")),""))</f>
        <v/>
      </c>
      <c r="Q16">
        <f>IF(ISNUMBER($H16),IF($H16&lt;1,$H16,(INT($H16/100)*60+MOD($H16,100))/1440),IFERROR(TIMEVALUE(SUBSTITUTE($H16,"：",":")),""))</f>
        <v/>
      </c>
      <c r="R16">
        <f>IF(ISNUMBER($I16),IF($I16&lt;1,$I16,(INT($I16/100)*60+MOD($I16,100))/1440),IFERROR(TIMEVALUE(SUBSTITUTE($I16,"：",":")),""))</f>
        <v/>
      </c>
      <c r="S16">
        <f>IF(ISNUMBER($J16),IF($J16&lt;1,$J16,(INT($J16/100)*60+MOD($J16,100))/1440),IFERROR(TIMEVALUE(SUBSTITUTE($J16,"：",":")),""))</f>
        <v/>
      </c>
      <c r="T16">
        <f>IF(OR($N16="",$O16=""),"",MAX(0,MOD($O16-$N16,1)-MAX(0,MIN($O16,13/24)-MAX($N16,0.5))))</f>
        <v/>
      </c>
      <c r="U16">
        <f>IF($A16="","",IF(ISNUMBER(MATCH($A16,祝日リスト!$A$2:$A$40,0)),"祝",IF(WEEKDAY($A16,2)=6,"土",IF(WEEKDAY($A16,2)=7,"日","平"))))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IF(ISNUMBER($D17),IF($D17&lt;1,$D17,(INT($D17/100)*60+MOD($D17,100))/1440),IFERROR(TIMEVALUE(SUBSTITUTE($D17,"：",":")),""))</f>
        <v/>
      </c>
      <c r="O17" s="35">
        <f>IF(ISNUMBER($F17),IF($F17&lt;1,$F17,(INT($F17/100)*60+MOD($F17,100))/1440),IFERROR(TIMEVALUE(SUBSTITUTE($F17,"：",":")),""))</f>
        <v/>
      </c>
      <c r="P17">
        <f>IF(ISNUMBER($G17),IF($G17&lt;1,$G17,(INT($G17/100)*60+MOD($G17,100))/1440),IFERROR(TIMEVALUE(SUBSTITUTE($G17,"：",":")),""))</f>
        <v/>
      </c>
      <c r="Q17">
        <f>IF(ISNUMBER($H17),IF($H17&lt;1,$H17,(INT($H17/100)*60+MOD($H17,100))/1440),IFERROR(TIMEVALUE(SUBSTITUTE($H17,"：",":")),""))</f>
        <v/>
      </c>
      <c r="R17">
        <f>IF(ISNUMBER($I17),IF($I17&lt;1,$I17,(INT($I17/100)*60+MOD($I17,100))/1440),IFERROR(TIMEVALUE(SUBSTITUTE($I17,"：",":")),""))</f>
        <v/>
      </c>
      <c r="S17">
        <f>IF(ISNUMBER($J17),IF($J17&lt;1,$J17,(INT($J17/100)*60+MOD($J17,100))/1440),IFERROR(TIMEVALUE(SUBSTITUTE($J17,"：",":")),""))</f>
        <v/>
      </c>
      <c r="T17">
        <f>IF(OR($N17="",$O17=""),"",MAX(0,MOD($O17-$N17,1)-MAX(0,MIN($O17,13/24)-MAX($N17,0.5))))</f>
        <v/>
      </c>
      <c r="U17">
        <f>IF($A17="","",IF(ISNUMBER(MATCH($A17,祝日リスト!$A$2:$A$40,0)),"祝",IF(WEEKDAY($A17,2)=6,"土",IF(WEEKDAY($A17,2)=7,"日","平"))))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>
        <v>0.375</v>
      </c>
      <c r="E18" s="36" t="inlineStr">
        <is>
          <t>～</t>
        </is>
      </c>
      <c r="F18" s="85" t="n">
        <v>0.625</v>
      </c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IF(ISNUMBER($D18),IF($D18&lt;1,$D18,(INT($D18/100)*60+MOD($D18,100))/1440),IFERROR(TIMEVALUE(SUBSTITUTE($D18,"：",":")),""))</f>
        <v/>
      </c>
      <c r="O18" s="35">
        <f>IF(ISNUMBER($F18),IF($F18&lt;1,$F18,(INT($F18/100)*60+MOD($F18,100))/1440),IFERROR(TIMEVALUE(SUBSTITUTE($F18,"：",":")),""))</f>
        <v/>
      </c>
      <c r="P18">
        <f>IF(ISNUMBER($G18),IF($G18&lt;1,$G18,(INT($G18/100)*60+MOD($G18,100))/1440),IFERROR(TIMEVALUE(SUBSTITUTE($G18,"：",":")),""))</f>
        <v/>
      </c>
      <c r="Q18">
        <f>IF(ISNUMBER($H18),IF($H18&lt;1,$H18,(INT($H18/100)*60+MOD($H18,100))/1440),IFERROR(TIMEVALUE(SUBSTITUTE($H18,"：",":")),""))</f>
        <v/>
      </c>
      <c r="R18">
        <f>IF(ISNUMBER($I18),IF($I18&lt;1,$I18,(INT($I18/100)*60+MOD($I18,100))/1440),IFERROR(TIMEVALUE(SUBSTITUTE($I18,"：",":")),""))</f>
        <v/>
      </c>
      <c r="S18">
        <f>IF(ISNUMBER($J18),IF($J18&lt;1,$J18,(INT($J18/100)*60+MOD($J18,100))/1440),IFERROR(TIMEVALUE(SUBSTITUTE($J18,"：",":")),""))</f>
        <v/>
      </c>
      <c r="T18">
        <f>IF(OR($N18="",$O18=""),"",MAX(0,MOD($O18-$N18,1)-MAX(0,MIN($O18,13/24)-MAX($N18,0.5))))</f>
        <v/>
      </c>
      <c r="U18">
        <f>IF($A18="","",IF(ISNUMBER(MATCH($A18,祝日リスト!$A$2:$A$40,0)),"祝",IF(WEEKDAY($A18,2)=6,"土",IF(WEEKDAY($A18,2)=7,"日","平"))))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>
        <v>0.375</v>
      </c>
      <c r="E19" s="36" t="inlineStr">
        <is>
          <t>～</t>
        </is>
      </c>
      <c r="F19" s="85" t="n">
        <v>0.625</v>
      </c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IF(ISNUMBER($D19),IF($D19&lt;1,$D19,(INT($D19/100)*60+MOD($D19,100))/1440),IFERROR(TIMEVALUE(SUBSTITUTE($D19,"：",":")),""))</f>
        <v/>
      </c>
      <c r="O19" s="35">
        <f>IF(ISNUMBER($F19),IF($F19&lt;1,$F19,(INT($F19/100)*60+MOD($F19,100))/1440),IFERROR(TIMEVALUE(SUBSTITUTE($F19,"：",":")),""))</f>
        <v/>
      </c>
      <c r="P19">
        <f>IF(ISNUMBER($G19),IF($G19&lt;1,$G19,(INT($G19/100)*60+MOD($G19,100))/1440),IFERROR(TIMEVALUE(SUBSTITUTE($G19,"：",":")),""))</f>
        <v/>
      </c>
      <c r="Q19">
        <f>IF(ISNUMBER($H19),IF($H19&lt;1,$H19,(INT($H19/100)*60+MOD($H19,100))/1440),IFERROR(TIMEVALUE(SUBSTITUTE($H19,"：",":")),""))</f>
        <v/>
      </c>
      <c r="R19">
        <f>IF(ISNUMBER($I19),IF($I19&lt;1,$I19,(INT($I19/100)*60+MOD($I19,100))/1440),IFERROR(TIMEVALUE(SUBSTITUTE($I19,"：",":")),""))</f>
        <v/>
      </c>
      <c r="S19">
        <f>IF(ISNUMBER($J19),IF($J19&lt;1,$J19,(INT($J19/100)*60+MOD($J19,100))/1440),IFERROR(TIMEVALUE(SUBSTITUTE($J19,"：",":")),""))</f>
        <v/>
      </c>
      <c r="T19">
        <f>IF(OR($N19="",$O19=""),"",MAX(0,MOD($O19-$N19,1)-MAX(0,MIN($O19,13/24)-MAX($N19,0.5))))</f>
        <v/>
      </c>
      <c r="U19">
        <f>IF($A19="","",IF(ISNUMBER(MATCH($A19,祝日リスト!$A$2:$A$40,0)),"祝",IF(WEEKDAY($A19,2)=6,"土",IF(WEEKDAY($A19,2)=7,"日","平"))))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IF(ISNUMBER($D20),IF($D20&lt;1,$D20,(INT($D20/100)*60+MOD($D20,100))/1440),IFERROR(TIMEVALUE(SUBSTITUTE($D20,"：",":")),""))</f>
        <v/>
      </c>
      <c r="O20" s="35">
        <f>IF(ISNUMBER($F20),IF($F20&lt;1,$F20,(INT($F20/100)*60+MOD($F20,100))/1440),IFERROR(TIMEVALUE(SUBSTITUTE($F20,"：",":")),""))</f>
        <v/>
      </c>
      <c r="P20">
        <f>IF(ISNUMBER($G20),IF($G20&lt;1,$G20,(INT($G20/100)*60+MOD($G20,100))/1440),IFERROR(TIMEVALUE(SUBSTITUTE($G20,"：",":")),""))</f>
        <v/>
      </c>
      <c r="Q20">
        <f>IF(ISNUMBER($H20),IF($H20&lt;1,$H20,(INT($H20/100)*60+MOD($H20,100))/1440),IFERROR(TIMEVALUE(SUBSTITUTE($H20,"：",":")),""))</f>
        <v/>
      </c>
      <c r="R20">
        <f>IF(ISNUMBER($I20),IF($I20&lt;1,$I20,(INT($I20/100)*60+MOD($I20,100))/1440),IFERROR(TIMEVALUE(SUBSTITUTE($I20,"：",":")),""))</f>
        <v/>
      </c>
      <c r="S20">
        <f>IF(ISNUMBER($J20),IF($J20&lt;1,$J20,(INT($J20/100)*60+MOD($J20,100))/1440),IFERROR(TIMEVALUE(SUBSTITUTE($J20,"：",":")),""))</f>
        <v/>
      </c>
      <c r="T20">
        <f>IF(OR($N20="",$O20=""),"",MAX(0,MOD($O20-$N20,1)-MAX(0,MIN($O20,13/24)-MAX($N20,0.5))))</f>
        <v/>
      </c>
      <c r="U20">
        <f>IF($A20="","",IF(ISNUMBER(MATCH($A20,祝日リスト!$A$2:$A$40,0)),"祝",IF(WEEKDAY($A20,2)=6,"土",IF(WEEKDAY($A20,2)=7,"日","平"))))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>
        <v>0.375</v>
      </c>
      <c r="E21" s="36" t="inlineStr">
        <is>
          <t>～</t>
        </is>
      </c>
      <c r="F21" s="85" t="n">
        <v>0.625</v>
      </c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IF(ISNUMBER($D21),IF($D21&lt;1,$D21,(INT($D21/100)*60+MOD($D21,100))/1440),IFERROR(TIMEVALUE(SUBSTITUTE($D21,"：",":")),""))</f>
        <v/>
      </c>
      <c r="O21" s="35">
        <f>IF(ISNUMBER($F21),IF($F21&lt;1,$F21,(INT($F21/100)*60+MOD($F21,100))/1440),IFERROR(TIMEVALUE(SUBSTITUTE($F21,"：",":")),""))</f>
        <v/>
      </c>
      <c r="P21">
        <f>IF(ISNUMBER($G21),IF($G21&lt;1,$G21,(INT($G21/100)*60+MOD($G21,100))/1440),IFERROR(TIMEVALUE(SUBSTITUTE($G21,"：",":")),""))</f>
        <v/>
      </c>
      <c r="Q21">
        <f>IF(ISNUMBER($H21),IF($H21&lt;1,$H21,(INT($H21/100)*60+MOD($H21,100))/1440),IFERROR(TIMEVALUE(SUBSTITUTE($H21,"：",":")),""))</f>
        <v/>
      </c>
      <c r="R21">
        <f>IF(ISNUMBER($I21),IF($I21&lt;1,$I21,(INT($I21/100)*60+MOD($I21,100))/1440),IFERROR(TIMEVALUE(SUBSTITUTE($I21,"：",":")),""))</f>
        <v/>
      </c>
      <c r="S21">
        <f>IF(ISNUMBER($J21),IF($J21&lt;1,$J21,(INT($J21/100)*60+MOD($J21,100))/1440),IFERROR(TIMEVALUE(SUBSTITUTE($J21,"：",":")),""))</f>
        <v/>
      </c>
      <c r="T21">
        <f>IF(OR($N21="",$O21=""),"",MAX(0,MOD($O21-$N21,1)-MAX(0,MIN($O21,13/24)-MAX($N21,0.5))))</f>
        <v/>
      </c>
      <c r="U21">
        <f>IF($A21="","",IF(ISNUMBER(MATCH($A21,祝日リスト!$A$2:$A$40,0)),"祝",IF(WEEKDAY($A21,2)=6,"土",IF(WEEKDAY($A21,2)=7,"日","平"))))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IF(ISNUMBER($D22),IF($D22&lt;1,$D22,(INT($D22/100)*60+MOD($D22,100))/1440),IFERROR(TIMEVALUE(SUBSTITUTE($D22,"：",":")),""))</f>
        <v/>
      </c>
      <c r="O22" s="35">
        <f>IF(ISNUMBER($F22),IF($F22&lt;1,$F22,(INT($F22/100)*60+MOD($F22,100))/1440),IFERROR(TIMEVALUE(SUBSTITUTE($F22,"：",":")),""))</f>
        <v/>
      </c>
      <c r="P22" s="4">
        <f>IF(ISNUMBER($G22),IF($G22&lt;1,$G22,(INT($G22/100)*60+MOD($G22,100))/1440),IFERROR(TIMEVALUE(SUBSTITUTE($G22,"：",":")),""))</f>
        <v/>
      </c>
      <c r="Q22" s="4">
        <f>IF(ISNUMBER($H22),IF($H22&lt;1,$H22,(INT($H22/100)*60+MOD($H22,100))/1440),IFERROR(TIMEVALUE(SUBSTITUTE($H22,"：",":")),""))</f>
        <v/>
      </c>
      <c r="R22" s="4">
        <f>IF(ISNUMBER($I22),IF($I22&lt;1,$I22,(INT($I22/100)*60+MOD($I22,100))/1440),IFERROR(TIMEVALUE(SUBSTITUTE($I22,"：",":")),""))</f>
        <v/>
      </c>
      <c r="S22" s="4">
        <f>IF(ISNUMBER($J22),IF($J22&lt;1,$J22,(INT($J22/100)*60+MOD($J22,100))/1440),IFERROR(TIMEVALUE(SUBSTITUTE($J22,"：",":")),""))</f>
        <v/>
      </c>
      <c r="T22" s="4">
        <f>IF(OR($N22="",$O22=""),"",MAX(0,MOD($O22-$N22,1)-MAX(0,MIN($O22,13/24)-MAX($N22,0.5))))</f>
        <v/>
      </c>
      <c r="U22" s="4">
        <f>IF($A22="","",IF(ISNUMBER(MATCH($A22,祝日リスト!$A$2:$A$40,0)),"祝",IF(WEEKDAY($A22,2)=6,"土",IF(WEEKDAY($A22,2)=7,"日","平"))))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IF(ISNUMBER($D23),IF($D23&lt;1,$D23,(INT($D23/100)*60+MOD($D23,100))/1440),IFERROR(TIMEVALUE(SUBSTITUTE($D23,"：",":")),""))</f>
        <v/>
      </c>
      <c r="O23" s="35">
        <f>IF(ISNUMBER($F23),IF($F23&lt;1,$F23,(INT($F23/100)*60+MOD($F23,100))/1440),IFERROR(TIMEVALUE(SUBSTITUTE($F23,"：",":")),""))</f>
        <v/>
      </c>
      <c r="P23">
        <f>IF(ISNUMBER($G23),IF($G23&lt;1,$G23,(INT($G23/100)*60+MOD($G23,100))/1440),IFERROR(TIMEVALUE(SUBSTITUTE($G23,"：",":")),""))</f>
        <v/>
      </c>
      <c r="Q23">
        <f>IF(ISNUMBER($H23),IF($H23&lt;1,$H23,(INT($H23/100)*60+MOD($H23,100))/1440),IFERROR(TIMEVALUE(SUBSTITUTE($H23,"：",":")),""))</f>
        <v/>
      </c>
      <c r="R23">
        <f>IF(ISNUMBER($I23),IF($I23&lt;1,$I23,(INT($I23/100)*60+MOD($I23,100))/1440),IFERROR(TIMEVALUE(SUBSTITUTE($I23,"：",":")),""))</f>
        <v/>
      </c>
      <c r="S23">
        <f>IF(ISNUMBER($J23),IF($J23&lt;1,$J23,(INT($J23/100)*60+MOD($J23,100))/1440),IFERROR(TIMEVALUE(SUBSTITUTE($J23,"：",":")),""))</f>
        <v/>
      </c>
      <c r="T23">
        <f>IF(OR($N23="",$O23=""),"",MAX(0,MOD($O23-$N23,1)-MAX(0,MIN($O23,13/24)-MAX($N23,0.5))))</f>
        <v/>
      </c>
      <c r="U23">
        <f>IF($A23="","",IF(ISNUMBER(MATCH($A23,祝日リスト!$A$2:$A$40,0)),"祝",IF(WEEKDAY($A23,2)=6,"土",IF(WEEKDAY($A23,2)=7,"日","平"))))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>
        <v>0.375</v>
      </c>
      <c r="E24" s="36" t="inlineStr">
        <is>
          <t>～</t>
        </is>
      </c>
      <c r="F24" s="85" t="n">
        <v>0.625</v>
      </c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IF(ISNUMBER($D24),IF($D24&lt;1,$D24,(INT($D24/100)*60+MOD($D24,100))/1440),IFERROR(TIMEVALUE(SUBSTITUTE($D24,"：",":")),""))</f>
        <v/>
      </c>
      <c r="O24" s="35">
        <f>IF(ISNUMBER($F24),IF($F24&lt;1,$F24,(INT($F24/100)*60+MOD($F24,100))/1440),IFERROR(TIMEVALUE(SUBSTITUTE($F24,"：",":")),""))</f>
        <v/>
      </c>
      <c r="P24">
        <f>IF(ISNUMBER($G24),IF($G24&lt;1,$G24,(INT($G24/100)*60+MOD($G24,100))/1440),IFERROR(TIMEVALUE(SUBSTITUTE($G24,"：",":")),""))</f>
        <v/>
      </c>
      <c r="Q24">
        <f>IF(ISNUMBER($H24),IF($H24&lt;1,$H24,(INT($H24/100)*60+MOD($H24,100))/1440),IFERROR(TIMEVALUE(SUBSTITUTE($H24,"：",":")),""))</f>
        <v/>
      </c>
      <c r="R24">
        <f>IF(ISNUMBER($I24),IF($I24&lt;1,$I24,(INT($I24/100)*60+MOD($I24,100))/1440),IFERROR(TIMEVALUE(SUBSTITUTE($I24,"：",":")),""))</f>
        <v/>
      </c>
      <c r="S24">
        <f>IF(ISNUMBER($J24),IF($J24&lt;1,$J24,(INT($J24/100)*60+MOD($J24,100))/1440),IFERROR(TIMEVALUE(SUBSTITUTE($J24,"：",":")),""))</f>
        <v/>
      </c>
      <c r="T24">
        <f>IF(OR($N24="",$O24=""),"",MAX(0,MOD($O24-$N24,1)-MAX(0,MIN($O24,13/24)-MAX($N24,0.5))))</f>
        <v/>
      </c>
      <c r="U24">
        <f>IF($A24="","",IF(ISNUMBER(MATCH($A24,祝日リスト!$A$2:$A$40,0)),"祝",IF(WEEKDAY($A24,2)=6,"土",IF(WEEKDAY($A24,2)=7,"日","平"))))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>
        <v>0.375</v>
      </c>
      <c r="E25" s="36" t="inlineStr">
        <is>
          <t>～</t>
        </is>
      </c>
      <c r="F25" s="85" t="n">
        <v>0.625</v>
      </c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IF(ISNUMBER($D25),IF($D25&lt;1,$D25,(INT($D25/100)*60+MOD($D25,100))/1440),IFERROR(TIMEVALUE(SUBSTITUTE($D25,"：",":")),""))</f>
        <v/>
      </c>
      <c r="O25" s="35">
        <f>IF(ISNUMBER($F25),IF($F25&lt;1,$F25,(INT($F25/100)*60+MOD($F25,100))/1440),IFERROR(TIMEVALUE(SUBSTITUTE($F25,"：",":")),""))</f>
        <v/>
      </c>
      <c r="P25">
        <f>IF(ISNUMBER($G25),IF($G25&lt;1,$G25,(INT($G25/100)*60+MOD($G25,100))/1440),IFERROR(TIMEVALUE(SUBSTITUTE($G25,"：",":")),""))</f>
        <v/>
      </c>
      <c r="Q25">
        <f>IF(ISNUMBER($H25),IF($H25&lt;1,$H25,(INT($H25/100)*60+MOD($H25,100))/1440),IFERROR(TIMEVALUE(SUBSTITUTE($H25,"：",":")),""))</f>
        <v/>
      </c>
      <c r="R25">
        <f>IF(ISNUMBER($I25),IF($I25&lt;1,$I25,(INT($I25/100)*60+MOD($I25,100))/1440),IFERROR(TIMEVALUE(SUBSTITUTE($I25,"：",":")),""))</f>
        <v/>
      </c>
      <c r="S25">
        <f>IF(ISNUMBER($J25),IF($J25&lt;1,$J25,(INT($J25/100)*60+MOD($J25,100))/1440),IFERROR(TIMEVALUE(SUBSTITUTE($J25,"：",":")),""))</f>
        <v/>
      </c>
      <c r="T25">
        <f>IF(OR($N25="",$O25=""),"",MAX(0,MOD($O25-$N25,1)-MAX(0,MIN($O25,13/24)-MAX($N25,0.5))))</f>
        <v/>
      </c>
      <c r="U25">
        <f>IF($A25="","",IF(ISNUMBER(MATCH($A25,祝日リスト!$A$2:$A$40,0)),"祝",IF(WEEKDAY($A25,2)=6,"土",IF(WEEKDAY($A25,2)=7,"日","平"))))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IF(ISNUMBER($D26),IF($D26&lt;1,$D26,(INT($D26/100)*60+MOD($D26,100))/1440),IFERROR(TIMEVALUE(SUBSTITUTE($D26,"：",":")),""))</f>
        <v/>
      </c>
      <c r="O26" s="35">
        <f>IF(ISNUMBER($F26),IF($F26&lt;1,$F26,(INT($F26/100)*60+MOD($F26,100))/1440),IFERROR(TIMEVALUE(SUBSTITUTE($F26,"：",":")),""))</f>
        <v/>
      </c>
      <c r="P26" s="4">
        <f>IF(ISNUMBER($G26),IF($G26&lt;1,$G26,(INT($G26/100)*60+MOD($G26,100))/1440),IFERROR(TIMEVALUE(SUBSTITUTE($G26,"：",":")),""))</f>
        <v/>
      </c>
      <c r="Q26" s="4">
        <f>IF(ISNUMBER($H26),IF($H26&lt;1,$H26,(INT($H26/100)*60+MOD($H26,100))/1440),IFERROR(TIMEVALUE(SUBSTITUTE($H26,"：",":")),""))</f>
        <v/>
      </c>
      <c r="R26" s="4">
        <f>IF(ISNUMBER($I26),IF($I26&lt;1,$I26,(INT($I26/100)*60+MOD($I26,100))/1440),IFERROR(TIMEVALUE(SUBSTITUTE($I26,"：",":")),""))</f>
        <v/>
      </c>
      <c r="S26" s="4">
        <f>IF(ISNUMBER($J26),IF($J26&lt;1,$J26,(INT($J26/100)*60+MOD($J26,100))/1440),IFERROR(TIMEVALUE(SUBSTITUTE($J26,"：",":")),""))</f>
        <v/>
      </c>
      <c r="T26" s="4">
        <f>IF(OR($N26="",$O26=""),"",MAX(0,MOD($O26-$N26,1)-MAX(0,MIN($O26,13/24)-MAX($N26,0.5))))</f>
        <v/>
      </c>
      <c r="U26" s="4">
        <f>IF($A26="","",IF(ISNUMBER(MATCH($A26,祝日リスト!$A$2:$A$40,0)),"祝",IF(WEEKDAY($A26,2)=6,"土",IF(WEEKDAY($A26,2)=7,"日","平"))))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>
        <v>0.375</v>
      </c>
      <c r="E27" s="36" t="inlineStr">
        <is>
          <t>～</t>
        </is>
      </c>
      <c r="F27" s="85" t="n">
        <v>0.625</v>
      </c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IF(ISNUMBER($D27),IF($D27&lt;1,$D27,(INT($D27/100)*60+MOD($D27,100))/1440),IFERROR(TIMEVALUE(SUBSTITUTE($D27,"：",":")),""))</f>
        <v/>
      </c>
      <c r="O27" s="35">
        <f>IF(ISNUMBER($F27),IF($F27&lt;1,$F27,(INT($F27/100)*60+MOD($F27,100))/1440),IFERROR(TIMEVALUE(SUBSTITUTE($F27,"：",":")),""))</f>
        <v/>
      </c>
      <c r="P27">
        <f>IF(ISNUMBER($G27),IF($G27&lt;1,$G27,(INT($G27/100)*60+MOD($G27,100))/1440),IFERROR(TIMEVALUE(SUBSTITUTE($G27,"：",":")),""))</f>
        <v/>
      </c>
      <c r="Q27">
        <f>IF(ISNUMBER($H27),IF($H27&lt;1,$H27,(INT($H27/100)*60+MOD($H27,100))/1440),IFERROR(TIMEVALUE(SUBSTITUTE($H27,"：",":")),""))</f>
        <v/>
      </c>
      <c r="R27">
        <f>IF(ISNUMBER($I27),IF($I27&lt;1,$I27,(INT($I27/100)*60+MOD($I27,100))/1440),IFERROR(TIMEVALUE(SUBSTITUTE($I27,"：",":")),""))</f>
        <v/>
      </c>
      <c r="S27">
        <f>IF(ISNUMBER($J27),IF($J27&lt;1,$J27,(INT($J27/100)*60+MOD($J27,100))/1440),IFERROR(TIMEVALUE(SUBSTITUTE($J27,"：",":")),""))</f>
        <v/>
      </c>
      <c r="T27">
        <f>IF(OR($N27="",$O27=""),"",MAX(0,MOD($O27-$N27,1)-MAX(0,MIN($O27,13/24)-MAX($N27,0.5))))</f>
        <v/>
      </c>
      <c r="U27">
        <f>IF($A27="","",IF(ISNUMBER(MATCH($A27,祝日リスト!$A$2:$A$40,0)),"祝",IF(WEEKDAY($A27,2)=6,"土",IF(WEEKDAY($A27,2)=7,"日","平"))))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>
        <v>0.375</v>
      </c>
      <c r="E28" s="36" t="inlineStr">
        <is>
          <t>～</t>
        </is>
      </c>
      <c r="F28" s="85" t="n">
        <v>0.625</v>
      </c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IF(ISNUMBER($D28),IF($D28&lt;1,$D28,(INT($D28/100)*60+MOD($D28,100))/1440),IFERROR(TIMEVALUE(SUBSTITUTE($D28,"：",":")),""))</f>
        <v/>
      </c>
      <c r="O28" s="35">
        <f>IF(ISNUMBER($F28),IF($F28&lt;1,$F28,(INT($F28/100)*60+MOD($F28,100))/1440),IFERROR(TIMEVALUE(SUBSTITUTE($F28,"：",":")),""))</f>
        <v/>
      </c>
      <c r="P28">
        <f>IF(ISNUMBER($G28),IF($G28&lt;1,$G28,(INT($G28/100)*60+MOD($G28,100))/1440),IFERROR(TIMEVALUE(SUBSTITUTE($G28,"：",":")),""))</f>
        <v/>
      </c>
      <c r="Q28">
        <f>IF(ISNUMBER($H28),IF($H28&lt;1,$H28,(INT($H28/100)*60+MOD($H28,100))/1440),IFERROR(TIMEVALUE(SUBSTITUTE($H28,"：",":")),""))</f>
        <v/>
      </c>
      <c r="R28">
        <f>IF(ISNUMBER($I28),IF($I28&lt;1,$I28,(INT($I28/100)*60+MOD($I28,100))/1440),IFERROR(TIMEVALUE(SUBSTITUTE($I28,"：",":")),""))</f>
        <v/>
      </c>
      <c r="S28">
        <f>IF(ISNUMBER($J28),IF($J28&lt;1,$J28,(INT($J28/100)*60+MOD($J28,100))/1440),IFERROR(TIMEVALUE(SUBSTITUTE($J28,"：",":")),""))</f>
        <v/>
      </c>
      <c r="T28">
        <f>IF(OR($N28="",$O28=""),"",MAX(0,MOD($O28-$N28,1)-MAX(0,MIN($O28,13/24)-MAX($N28,0.5))))</f>
        <v/>
      </c>
      <c r="U28">
        <f>IF($A28="","",IF(ISNUMBER(MATCH($A28,祝日リスト!$A$2:$A$40,0)),"祝",IF(WEEKDAY($A28,2)=6,"土",IF(WEEKDAY($A28,2)=7,"日","平"))))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IF(ISNUMBER($D29),IF($D29&lt;1,$D29,(INT($D29/100)*60+MOD($D29,100))/1440),IFERROR(TIMEVALUE(SUBSTITUTE($D29,"：",":")),""))</f>
        <v/>
      </c>
      <c r="O29" s="35">
        <f>IF(ISNUMBER($F29),IF($F29&lt;1,$F29,(INT($F29/100)*60+MOD($F29,100))/1440),IFERROR(TIMEVALUE(SUBSTITUTE($F29,"：",":")),""))</f>
        <v/>
      </c>
      <c r="P29">
        <f>IF(ISNUMBER($G29),IF($G29&lt;1,$G29,(INT($G29/100)*60+MOD($G29,100))/1440),IFERROR(TIMEVALUE(SUBSTITUTE($G29,"：",":")),""))</f>
        <v/>
      </c>
      <c r="Q29">
        <f>IF(ISNUMBER($H29),IF($H29&lt;1,$H29,(INT($H29/100)*60+MOD($H29,100))/1440),IFERROR(TIMEVALUE(SUBSTITUTE($H29,"：",":")),""))</f>
        <v/>
      </c>
      <c r="R29">
        <f>IF(ISNUMBER($I29),IF($I29&lt;1,$I29,(INT($I29/100)*60+MOD($I29,100))/1440),IFERROR(TIMEVALUE(SUBSTITUTE($I29,"：",":")),""))</f>
        <v/>
      </c>
      <c r="S29">
        <f>IF(ISNUMBER($J29),IF($J29&lt;1,$J29,(INT($J29/100)*60+MOD($J29,100))/1440),IFERROR(TIMEVALUE(SUBSTITUTE($J29,"：",":")),""))</f>
        <v/>
      </c>
      <c r="T29">
        <f>IF(OR($N29="",$O29=""),"",MAX(0,MOD($O29-$N29,1)-MAX(0,MIN($O29,13/24)-MAX($N29,0.5))))</f>
        <v/>
      </c>
      <c r="U29">
        <f>IF($A29="","",IF(ISNUMBER(MATCH($A29,祝日リスト!$A$2:$A$40,0)),"祝",IF(WEEKDAY($A29,2)=6,"土",IF(WEEKDAY($A29,2)=7,"日","平"))))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IF(ISNUMBER($D30),IF($D30&lt;1,$D30,(INT($D30/100)*60+MOD($D30,100))/1440),IFERROR(TIMEVALUE(SUBSTITUTE($D30,"：",":")),""))</f>
        <v/>
      </c>
      <c r="O30" s="35">
        <f>IF(ISNUMBER($F30),IF($F30&lt;1,$F30,(INT($F30/100)*60+MOD($F30,100))/1440),IFERROR(TIMEVALUE(SUBSTITUTE($F30,"：",":")),""))</f>
        <v/>
      </c>
      <c r="P30">
        <f>IF(ISNUMBER($G30),IF($G30&lt;1,$G30,(INT($G30/100)*60+MOD($G30,100))/1440),IFERROR(TIMEVALUE(SUBSTITUTE($G30,"：",":")),""))</f>
        <v/>
      </c>
      <c r="Q30">
        <f>IF(ISNUMBER($H30),IF($H30&lt;1,$H30,(INT($H30/100)*60+MOD($H30,100))/1440),IFERROR(TIMEVALUE(SUBSTITUTE($H30,"：",":")),""))</f>
        <v/>
      </c>
      <c r="R30">
        <f>IF(ISNUMBER($I30),IF($I30&lt;1,$I30,(INT($I30/100)*60+MOD($I30,100))/1440),IFERROR(TIMEVALUE(SUBSTITUTE($I30,"：",":")),""))</f>
        <v/>
      </c>
      <c r="S30">
        <f>IF(ISNUMBER($J30),IF($J30&lt;1,$J30,(INT($J30/100)*60+MOD($J30,100))/1440),IFERROR(TIMEVALUE(SUBSTITUTE($J30,"：",":")),""))</f>
        <v/>
      </c>
      <c r="T30">
        <f>IF(OR($N30="",$O30=""),"",MAX(0,MOD($O30-$N30,1)-MAX(0,MIN($O30,13/24)-MAX($N30,0.5))))</f>
        <v/>
      </c>
      <c r="U30">
        <f>IF($A30="","",IF(ISNUMBER(MATCH($A30,祝日リスト!$A$2:$A$40,0)),"祝",IF(WEEKDAY($A30,2)=6,"土",IF(WEEKDAY($A30,2)=7,"日","平"))))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>
        <v>0.375</v>
      </c>
      <c r="E31" s="36" t="inlineStr">
        <is>
          <t>～</t>
        </is>
      </c>
      <c r="F31" s="85" t="n">
        <v>0.625</v>
      </c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IF(ISNUMBER($D31),IF($D31&lt;1,$D31,(INT($D31/100)*60+MOD($D31,100))/1440),IFERROR(TIMEVALUE(SUBSTITUTE($D31,"：",":")),""))</f>
        <v/>
      </c>
      <c r="O31" s="35">
        <f>IF(ISNUMBER($F31),IF($F31&lt;1,$F31,(INT($F31/100)*60+MOD($F31,100))/1440),IFERROR(TIMEVALUE(SUBSTITUTE($F31,"：",":")),""))</f>
        <v/>
      </c>
      <c r="P31">
        <f>IF(ISNUMBER($G31),IF($G31&lt;1,$G31,(INT($G31/100)*60+MOD($G31,100))/1440),IFERROR(TIMEVALUE(SUBSTITUTE($G31,"：",":")),""))</f>
        <v/>
      </c>
      <c r="Q31">
        <f>IF(ISNUMBER($H31),IF($H31&lt;1,$H31,(INT($H31/100)*60+MOD($H31,100))/1440),IFERROR(TIMEVALUE(SUBSTITUTE($H31,"：",":")),""))</f>
        <v/>
      </c>
      <c r="R31">
        <f>IF(ISNUMBER($I31),IF($I31&lt;1,$I31,(INT($I31/100)*60+MOD($I31,100))/1440),IFERROR(TIMEVALUE(SUBSTITUTE($I31,"：",":")),""))</f>
        <v/>
      </c>
      <c r="S31">
        <f>IF(ISNUMBER($J31),IF($J31&lt;1,$J31,(INT($J31/100)*60+MOD($J31,100))/1440),IFERROR(TIMEVALUE(SUBSTITUTE($J31,"：",":")),""))</f>
        <v/>
      </c>
      <c r="T31">
        <f>IF(OR($N31="",$O31=""),"",MAX(0,MOD($O31-$N31,1)-MAX(0,MIN($O31,13/24)-MAX($N31,0.5))))</f>
        <v/>
      </c>
      <c r="U31">
        <f>IF($A31="","",IF(ISNUMBER(MATCH($A31,祝日リスト!$A$2:$A$40,0)),"祝",IF(WEEKDAY($A31,2)=6,"土",IF(WEEKDAY($A31,2)=7,"日","平"))))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>
        <v>0.375</v>
      </c>
      <c r="E32" s="36" t="inlineStr">
        <is>
          <t>～</t>
        </is>
      </c>
      <c r="F32" s="85" t="n">
        <v>0.625</v>
      </c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IF(ISNUMBER($D32),IF($D32&lt;1,$D32,(INT($D32/100)*60+MOD($D32,100))/1440),IFERROR(TIMEVALUE(SUBSTITUTE($D32,"：",":")),""))</f>
        <v/>
      </c>
      <c r="O32" s="35">
        <f>IF(ISNUMBER($F32),IF($F32&lt;1,$F32,(INT($F32/100)*60+MOD($F32,100))/1440),IFERROR(TIMEVALUE(SUBSTITUTE($F32,"：",":")),""))</f>
        <v/>
      </c>
      <c r="P32">
        <f>IF(ISNUMBER($G32),IF($G32&lt;1,$G32,(INT($G32/100)*60+MOD($G32,100))/1440),IFERROR(TIMEVALUE(SUBSTITUTE($G32,"：",":")),""))</f>
        <v/>
      </c>
      <c r="Q32">
        <f>IF(ISNUMBER($H32),IF($H32&lt;1,$H32,(INT($H32/100)*60+MOD($H32,100))/1440),IFERROR(TIMEVALUE(SUBSTITUTE($H32,"：",":")),""))</f>
        <v/>
      </c>
      <c r="R32">
        <f>IF(ISNUMBER($I32),IF($I32&lt;1,$I32,(INT($I32/100)*60+MOD($I32,100))/1440),IFERROR(TIMEVALUE(SUBSTITUTE($I32,"：",":")),""))</f>
        <v/>
      </c>
      <c r="S32">
        <f>IF(ISNUMBER($J32),IF($J32&lt;1,$J32,(INT($J32/100)*60+MOD($J32,100))/1440),IFERROR(TIMEVALUE(SUBSTITUTE($J32,"：",":")),""))</f>
        <v/>
      </c>
      <c r="T32">
        <f>IF(OR($N32="",$O32=""),"",MAX(0,MOD($O32-$N32,1)-MAX(0,MIN($O32,13/24)-MAX($N32,0.5))))</f>
        <v/>
      </c>
      <c r="U32">
        <f>IF($A32="","",IF(ISNUMBER(MATCH($A32,祝日リスト!$A$2:$A$40,0)),"祝",IF(WEEKDAY($A32,2)=6,"土",IF(WEEKDAY($A32,2)=7,"日","平"))))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IF(ISNUMBER($D33),IF($D33&lt;1,$D33,(INT($D33/100)*60+MOD($D33,100))/1440),IFERROR(TIMEVALUE(SUBSTITUTE($D33,"：",":")),""))</f>
        <v/>
      </c>
      <c r="O33" s="35">
        <f>IF(ISNUMBER($F33),IF($F33&lt;1,$F33,(INT($F33/100)*60+MOD($F33,100))/1440),IFERROR(TIMEVALUE(SUBSTITUTE($F33,"：",":")),""))</f>
        <v/>
      </c>
      <c r="P33">
        <f>IF(ISNUMBER($G33),IF($G33&lt;1,$G33,(INT($G33/100)*60+MOD($G33,100))/1440),IFERROR(TIMEVALUE(SUBSTITUTE($G33,"：",":")),""))</f>
        <v/>
      </c>
      <c r="Q33">
        <f>IF(ISNUMBER($H33),IF($H33&lt;1,$H33,(INT($H33/100)*60+MOD($H33,100))/1440),IFERROR(TIMEVALUE(SUBSTITUTE($H33,"：",":")),""))</f>
        <v/>
      </c>
      <c r="R33">
        <f>IF(ISNUMBER($I33),IF($I33&lt;1,$I33,(INT($I33/100)*60+MOD($I33,100))/1440),IFERROR(TIMEVALUE(SUBSTITUTE($I33,"：",":")),""))</f>
        <v/>
      </c>
      <c r="S33">
        <f>IF(ISNUMBER($J33),IF($J33&lt;1,$J33,(INT($J33/100)*60+MOD($J33,100))/1440),IFERROR(TIMEVALUE(SUBSTITUTE($J33,"：",":")),""))</f>
        <v/>
      </c>
      <c r="T33">
        <f>IF(OR($N33="",$O33=""),"",MAX(0,MOD($O33-$N33,1)-MAX(0,MIN($O33,13/24)-MAX($N33,0.5))))</f>
        <v/>
      </c>
      <c r="U33">
        <f>IF($A33="","",IF(ISNUMBER(MATCH($A33,祝日リスト!$A$2:$A$40,0)),"祝",IF(WEEKDAY($A33,2)=6,"土",IF(WEEKDAY($A33,2)=7,"日","平"))))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>
        <v>0.375</v>
      </c>
      <c r="E34" s="36" t="inlineStr">
        <is>
          <t>～</t>
        </is>
      </c>
      <c r="F34" s="85" t="n">
        <v>0.625</v>
      </c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IF(ISNUMBER($D34),IF($D34&lt;1,$D34,(INT($D34/100)*60+MOD($D34,100))/1440),IFERROR(TIMEVALUE(SUBSTITUTE($D34,"：",":")),""))</f>
        <v/>
      </c>
      <c r="O34" s="35">
        <f>IF(ISNUMBER($F34),IF($F34&lt;1,$F34,(INT($F34/100)*60+MOD($F34,100))/1440),IFERROR(TIMEVALUE(SUBSTITUTE($F34,"：",":")),""))</f>
        <v/>
      </c>
      <c r="P34">
        <f>IF(ISNUMBER($G34),IF($G34&lt;1,$G34,(INT($G34/100)*60+MOD($G34,100))/1440),IFERROR(TIMEVALUE(SUBSTITUTE($G34,"：",":")),""))</f>
        <v/>
      </c>
      <c r="Q34">
        <f>IF(ISNUMBER($H34),IF($H34&lt;1,$H34,(INT($H34/100)*60+MOD($H34,100))/1440),IFERROR(TIMEVALUE(SUBSTITUTE($H34,"：",":")),""))</f>
        <v/>
      </c>
      <c r="R34">
        <f>IF(ISNUMBER($I34),IF($I34&lt;1,$I34,(INT($I34/100)*60+MOD($I34,100))/1440),IFERROR(TIMEVALUE(SUBSTITUTE($I34,"：",":")),""))</f>
        <v/>
      </c>
      <c r="S34">
        <f>IF(ISNUMBER($J34),IF($J34&lt;1,$J34,(INT($J34/100)*60+MOD($J34,100))/1440),IFERROR(TIMEVALUE(SUBSTITUTE($J34,"：",":")),""))</f>
        <v/>
      </c>
      <c r="T34">
        <f>IF(OR($N34="",$O34=""),"",MAX(0,MOD($O34-$N34,1)-MAX(0,MIN($O34,13/24)-MAX($N34,0.5))))</f>
        <v/>
      </c>
      <c r="U34">
        <f>IF($A34="","",IF(ISNUMBER(MATCH($A34,祝日リスト!$A$2:$A$40,0)),"祝",IF(WEEKDAY($A34,2)=6,"土",IF(WEEKDAY($A34,2)=7,"日","平"))))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IF(ISNUMBER($D35),IF($D35&lt;1,$D35,(INT($D35/100)*60+MOD($D35,100))/1440),IFERROR(TIMEVALUE(SUBSTITUTE($D35,"：",":")),""))</f>
        <v/>
      </c>
      <c r="O35" s="35">
        <f>IF(ISNUMBER($F35),IF($F35&lt;1,$F35,(INT($F35/100)*60+MOD($F35,100))/1440),IFERROR(TIMEVALUE(SUBSTITUTE($F35,"：",":")),""))</f>
        <v/>
      </c>
      <c r="P35">
        <f>IF(ISNUMBER($G35),IF($G35&lt;1,$G35,(INT($G35/100)*60+MOD($G35,100))/1440),IFERROR(TIMEVALUE(SUBSTITUTE($G35,"：",":")),""))</f>
        <v/>
      </c>
      <c r="Q35">
        <f>IF(ISNUMBER($H35),IF($H35&lt;1,$H35,(INT($H35/100)*60+MOD($H35,100))/1440),IFERROR(TIMEVALUE(SUBSTITUTE($H35,"：",":")),""))</f>
        <v/>
      </c>
      <c r="R35">
        <f>IF(ISNUMBER($I35),IF($I35&lt;1,$I35,(INT($I35/100)*60+MOD($I35,100))/1440),IFERROR(TIMEVALUE(SUBSTITUTE($I35,"：",":")),""))</f>
        <v/>
      </c>
      <c r="S35">
        <f>IF(ISNUMBER($J35),IF($J35&lt;1,$J35,(INT($J35/100)*60+MOD($J35,100))/1440),IFERROR(TIMEVALUE(SUBSTITUTE($J35,"：",":")),""))</f>
        <v/>
      </c>
      <c r="T35">
        <f>IF(OR($N35="",$O35=""),"",MAX(0,MOD($O35-$N35,1)-MAX(0,MIN($O35,13/24)-MAX($N35,0.5))))</f>
        <v/>
      </c>
      <c r="U35">
        <f>IF($A35="","",IF(ISNUMBER(MATCH($A35,祝日リスト!$A$2:$A$40,0)),"祝",IF(WEEKDAY($A35,2)=6,"土",IF(WEEKDAY($A35,2)=7,"日","平"))))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>
        <v>0.375</v>
      </c>
      <c r="E36" s="36" t="inlineStr">
        <is>
          <t>～</t>
        </is>
      </c>
      <c r="F36" s="85" t="n">
        <v>0.625</v>
      </c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IF(ISNUMBER($D36),IF($D36&lt;1,$D36,(INT($D36/100)*60+MOD($D36,100))/1440),IFERROR(TIMEVALUE(SUBSTITUTE($D36,"：",":")),""))</f>
        <v/>
      </c>
      <c r="O36" s="35">
        <f>IF(ISNUMBER($F36),IF($F36&lt;1,$F36,(INT($F36/100)*60+MOD($F36,100))/1440),IFERROR(TIMEVALUE(SUBSTITUTE($F36,"：",":")),""))</f>
        <v/>
      </c>
      <c r="P36">
        <f>IF(ISNUMBER($G36),IF($G36&lt;1,$G36,(INT($G36/100)*60+MOD($G36,100))/1440),IFERROR(TIMEVALUE(SUBSTITUTE($G36,"：",":")),""))</f>
        <v/>
      </c>
      <c r="Q36">
        <f>IF(ISNUMBER($H36),IF($H36&lt;1,$H36,(INT($H36/100)*60+MOD($H36,100))/1440),IFERROR(TIMEVALUE(SUBSTITUTE($H36,"：",":")),""))</f>
        <v/>
      </c>
      <c r="R36">
        <f>IF(ISNUMBER($I36),IF($I36&lt;1,$I36,(INT($I36/100)*60+MOD($I36,100))/1440),IFERROR(TIMEVALUE(SUBSTITUTE($I36,"：",":")),""))</f>
        <v/>
      </c>
      <c r="S36">
        <f>IF(ISNUMBER($J36),IF($J36&lt;1,$J36,(INT($J36/100)*60+MOD($J36,100))/1440),IFERROR(TIMEVALUE(SUBSTITUTE($J36,"：",":")),""))</f>
        <v/>
      </c>
      <c r="T36">
        <f>IF(OR($N36="",$O36=""),"",MAX(0,MOD($O36-$N36,1)-MAX(0,MIN($O36,13/24)-MAX($N36,0.5))))</f>
        <v/>
      </c>
      <c r="U36">
        <f>IF($A36="","",IF(ISNUMBER(MATCH($A36,祝日リスト!$A$2:$A$40,0)),"祝",IF(WEEKDAY($A36,2)=6,"土",IF(WEEKDAY($A36,2)=7,"日","平"))))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IF(ISNUMBER($D37),IF($D37&lt;1,$D37,(INT($D37/100)*60+MOD($D37,100))/1440),IFERROR(TIMEVALUE(SUBSTITUTE($D37,"：",":")),""))</f>
        <v/>
      </c>
      <c r="O37">
        <f>IF(ISNUMBER($F37),IF($F37&lt;1,$F37,(INT($F37/100)*60+MOD($F37,100))/1440),IFERROR(TIMEVALUE(SUBSTITUTE($F37,"：",":")),""))</f>
        <v/>
      </c>
      <c r="P37">
        <f>IF(ISNUMBER($G37),IF($G37&lt;1,$G37,(INT($G37/100)*60+MOD($G37,100))/1440),IFERROR(TIMEVALUE(SUBSTITUTE($G37,"：",":")),""))</f>
        <v/>
      </c>
      <c r="Q37">
        <f>IF(ISNUMBER($H37),IF($H37&lt;1,$H37,(INT($H37/100)*60+MOD($H37,100))/1440),IFERROR(TIMEVALUE(SUBSTITUTE($H37,"：",":")),""))</f>
        <v/>
      </c>
      <c r="R37">
        <f>IF(ISNUMBER($I37),IF($I37&lt;1,$I37,(INT($I37/100)*60+MOD($I37,100))/1440),IFERROR(TIMEVALUE(SUBSTITUTE($I37,"：",":")),""))</f>
        <v/>
      </c>
      <c r="S37">
        <f>IF(ISNUMBER($J37),IF($J37&lt;1,$J37,(INT($J37/100)*60+MOD($J37,100))/1440),IFERROR(TIMEVALUE(SUBSTITUTE($J37,"：",":")),""))</f>
        <v/>
      </c>
      <c r="T37">
        <f>IF(OR($N37="",$O37=""),"",MAX(0,MOD($O37-$N37,1)-MAX(0,MIN($O37,13/24)-MAX($N37,0.5))))</f>
        <v/>
      </c>
      <c r="U37">
        <f>IF($A37="","",IF(ISNUMBER(MATCH($A37,祝日リスト!$A$2:$A$40,0)),"祝",IF(WEEKDAY($A37,2)=6,"土",IF(WEEKDAY($A37,2)=7,"日","平"))))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AND($A7&lt;&gt;"",OR(WEEKDAY($A7,2)=6,WEEKDAY($A7,2)=7,WEEKDAY($A7,2)=3,ISNUMBER(MATCH($A7,祝日リスト!$A$2:$A$40,0))))</formula>
    </cfRule>
  </conditionalFormatting>
  <dataValidations count="1">
    <dataValidation sqref="D7:D37 F7:F37 G7:G37 H7:H37 I7:I37 J7:J37" showDropDown="0" showInputMessage="0" showErrorMessage="1" allowBlank="1" errorTitle="時刻の入力" error="9:30 のように、コロン付きで入力してください（全角の 9：00 でも可）。" type="custom">
      <formula1>=OR(AND(ISNUMBER(D7),D7&gt;=0,D7&lt;1),IFERROR(ISNUMBER(TIMEVALUE(SUBSTITUTE(D7,"：",":"))),FALSE))</formula1>
    </dataValidation>
  </dataValidations>
  <pageMargins left="0.25" right="0.25" top="0.75" bottom="0.75" header="0" footer="0"/>
  <pageSetup orientation="portrait" paperSize="9" scale="96" fitToWidth="0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6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>
        <v>0.375</v>
      </c>
      <c r="E7" s="69" t="inlineStr">
        <is>
          <t>～</t>
        </is>
      </c>
      <c r="F7" s="82" t="n">
        <v>0.625</v>
      </c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IF(ISNUMBER($D7),IF($D7&lt;1,$D7,(INT($D7/100)*60+MOD($D7,100))/1440),IFERROR(TIMEVALUE(SUBSTITUTE($D7,"：",":")),""))</f>
        <v/>
      </c>
      <c r="O7">
        <f>IF(ISNUMBER($F7),IF($F7&lt;1,$F7,(INT($F7/100)*60+MOD($F7,100))/1440),IFERROR(TIMEVALUE(SUBSTITUTE($F7,"：",":")),""))</f>
        <v/>
      </c>
      <c r="P7">
        <f>IF(ISNUMBER($G7),IF($G7&lt;1,$G7,(INT($G7/100)*60+MOD($G7,100))/1440),IFERROR(TIMEVALUE(SUBSTITUTE($G7,"：",":")),""))</f>
        <v/>
      </c>
      <c r="Q7">
        <f>IF(ISNUMBER($H7),IF($H7&lt;1,$H7,(INT($H7/100)*60+MOD($H7,100))/1440),IFERROR(TIMEVALUE(SUBSTITUTE($H7,"：",":")),""))</f>
        <v/>
      </c>
      <c r="R7">
        <f>IF(ISNUMBER($I7),IF($I7&lt;1,$I7,(INT($I7/100)*60+MOD($I7,100))/1440),IFERROR(TIMEVALUE(SUBSTITUTE($I7,"：",":")),""))</f>
        <v/>
      </c>
      <c r="S7">
        <f>IF(ISNUMBER($J7),IF($J7&lt;1,$J7,(INT($J7/100)*60+MOD($J7,100))/1440),IFERROR(TIMEVALUE(SUBSTITUTE($J7,"：",":")),""))</f>
        <v/>
      </c>
      <c r="T7">
        <f>IF(OR($N7="",$O7=""),"",MAX(0,MOD($O7-$N7,1)-MAX(0,MIN($O7,13/24)-MAX($N7,0.5))))</f>
        <v/>
      </c>
      <c r="U7">
        <f>IF($A7="","",IF(ISNUMBER(MATCH($A7,祝日リスト!$A$2:$A$40,0)),"祝",IF(WEEKDAY($A7,2)=6,"土",IF(WEEKDAY($A7,2)=7,"日","平"))))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>
        <v>0.375</v>
      </c>
      <c r="E8" s="36" t="inlineStr">
        <is>
          <t>～</t>
        </is>
      </c>
      <c r="F8" s="85" t="n">
        <v>0.625</v>
      </c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IF(ISNUMBER($D8),IF($D8&lt;1,$D8,(INT($D8/100)*60+MOD($D8,100))/1440),IFERROR(TIMEVALUE(SUBSTITUTE($D8,"：",":")),""))</f>
        <v/>
      </c>
      <c r="O8" s="35">
        <f>IF(ISNUMBER($F8),IF($F8&lt;1,$F8,(INT($F8/100)*60+MOD($F8,100))/1440),IFERROR(TIMEVALUE(SUBSTITUTE($F8,"：",":")),""))</f>
        <v/>
      </c>
      <c r="P8">
        <f>IF(ISNUMBER($G8),IF($G8&lt;1,$G8,(INT($G8/100)*60+MOD($G8,100))/1440),IFERROR(TIMEVALUE(SUBSTITUTE($G8,"：",":")),""))</f>
        <v/>
      </c>
      <c r="Q8">
        <f>IF(ISNUMBER($H8),IF($H8&lt;1,$H8,(INT($H8/100)*60+MOD($H8,100))/1440),IFERROR(TIMEVALUE(SUBSTITUTE($H8,"：",":")),""))</f>
        <v/>
      </c>
      <c r="R8">
        <f>IF(ISNUMBER($I8),IF($I8&lt;1,$I8,(INT($I8/100)*60+MOD($I8,100))/1440),IFERROR(TIMEVALUE(SUBSTITUTE($I8,"：",":")),""))</f>
        <v/>
      </c>
      <c r="S8">
        <f>IF(ISNUMBER($J8),IF($J8&lt;1,$J8,(INT($J8/100)*60+MOD($J8,100))/1440),IFERROR(TIMEVALUE(SUBSTITUTE($J8,"：",":")),""))</f>
        <v/>
      </c>
      <c r="T8">
        <f>IF(OR($N8="",$O8=""),"",MAX(0,MOD($O8-$N8,1)-MAX(0,MIN($O8,13/24)-MAX($N8,0.5))))</f>
        <v/>
      </c>
      <c r="U8">
        <f>IF($A8="","",IF(ISNUMBER(MATCH($A8,祝日リスト!$A$2:$A$40,0)),"祝",IF(WEEKDAY($A8,2)=6,"土",IF(WEEKDAY($A8,2)=7,"日","平"))))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 t="inlineStr">
        <is>
          <t>休み</t>
        </is>
      </c>
      <c r="N9">
        <f>IF(ISNUMBER($D9),IF($D9&lt;1,$D9,(INT($D9/100)*60+MOD($D9,100))/1440),IFERROR(TIMEVALUE(SUBSTITUTE($D9,"：",":")),""))</f>
        <v/>
      </c>
      <c r="O9" s="35">
        <f>IF(ISNUMBER($F9),IF($F9&lt;1,$F9,(INT($F9/100)*60+MOD($F9,100))/1440),IFERROR(TIMEVALUE(SUBSTITUTE($F9,"：",":")),""))</f>
        <v/>
      </c>
      <c r="P9">
        <f>IF(ISNUMBER($G9),IF($G9&lt;1,$G9,(INT($G9/100)*60+MOD($G9,100))/1440),IFERROR(TIMEVALUE(SUBSTITUTE($G9,"：",":")),""))</f>
        <v/>
      </c>
      <c r="Q9">
        <f>IF(ISNUMBER($H9),IF($H9&lt;1,$H9,(INT($H9/100)*60+MOD($H9,100))/1440),IFERROR(TIMEVALUE(SUBSTITUTE($H9,"：",":")),""))</f>
        <v/>
      </c>
      <c r="R9">
        <f>IF(ISNUMBER($I9),IF($I9&lt;1,$I9,(INT($I9/100)*60+MOD($I9,100))/1440),IFERROR(TIMEVALUE(SUBSTITUTE($I9,"：",":")),""))</f>
        <v/>
      </c>
      <c r="S9">
        <f>IF(ISNUMBER($J9),IF($J9&lt;1,$J9,(INT($J9/100)*60+MOD($J9,100))/1440),IFERROR(TIMEVALUE(SUBSTITUTE($J9,"：",":")),""))</f>
        <v/>
      </c>
      <c r="T9">
        <f>IF(OR($N9="",$O9=""),"",MAX(0,MOD($O9-$N9,1)-MAX(0,MIN($O9,13/24)-MAX($N9,0.5))))</f>
        <v/>
      </c>
      <c r="U9">
        <f>IF($A9="","",IF(ISNUMBER(MATCH($A9,祝日リスト!$A$2:$A$40,0)),"祝",IF(WEEKDAY($A9,2)=6,"土",IF(WEEKDAY($A9,2)=7,"日","平"))))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>
        <v>0.375</v>
      </c>
      <c r="E10" s="36" t="inlineStr">
        <is>
          <t>～</t>
        </is>
      </c>
      <c r="F10" s="85" t="n">
        <v>0.625</v>
      </c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IF(ISNUMBER($D10),IF($D10&lt;1,$D10,(INT($D10/100)*60+MOD($D10,100))/1440),IFERROR(TIMEVALUE(SUBSTITUTE($D10,"：",":")),""))</f>
        <v/>
      </c>
      <c r="O10" s="35">
        <f>IF(ISNUMBER($F10),IF($F10&lt;1,$F10,(INT($F10/100)*60+MOD($F10,100))/1440),IFERROR(TIMEVALUE(SUBSTITUTE($F10,"：",":")),""))</f>
        <v/>
      </c>
      <c r="P10">
        <f>IF(ISNUMBER($G10),IF($G10&lt;1,$G10,(INT($G10/100)*60+MOD($G10,100))/1440),IFERROR(TIMEVALUE(SUBSTITUTE($G10,"：",":")),""))</f>
        <v/>
      </c>
      <c r="Q10">
        <f>IF(ISNUMBER($H10),IF($H10&lt;1,$H10,(INT($H10/100)*60+MOD($H10,100))/1440),IFERROR(TIMEVALUE(SUBSTITUTE($H10,"：",":")),""))</f>
        <v/>
      </c>
      <c r="R10">
        <f>IF(ISNUMBER($I10),IF($I10&lt;1,$I10,(INT($I10/100)*60+MOD($I10,100))/1440),IFERROR(TIMEVALUE(SUBSTITUTE($I10,"：",":")),""))</f>
        <v/>
      </c>
      <c r="S10">
        <f>IF(ISNUMBER($J10),IF($J10&lt;1,$J10,(INT($J10/100)*60+MOD($J10,100))/1440),IFERROR(TIMEVALUE(SUBSTITUTE($J10,"：",":")),""))</f>
        <v/>
      </c>
      <c r="T10">
        <f>IF(OR($N10="",$O10=""),"",MAX(0,MOD($O10-$N10,1)-MAX(0,MIN($O10,13/24)-MAX($N10,0.5))))</f>
        <v/>
      </c>
      <c r="U10">
        <f>IF($A10="","",IF(ISNUMBER(MATCH($A10,祝日リスト!$A$2:$A$40,0)),"祝",IF(WEEKDAY($A10,2)=6,"土",IF(WEEKDAY($A10,2)=7,"日","平"))))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>
        <v>0.375</v>
      </c>
      <c r="E11" s="36" t="inlineStr">
        <is>
          <t>～</t>
        </is>
      </c>
      <c r="F11" s="85" t="n">
        <v>0.625</v>
      </c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IF(ISNUMBER($D11),IF($D11&lt;1,$D11,(INT($D11/100)*60+MOD($D11,100))/1440),IFERROR(TIMEVALUE(SUBSTITUTE($D11,"：",":")),""))</f>
        <v/>
      </c>
      <c r="O11" s="35">
        <f>IF(ISNUMBER($F11),IF($F11&lt;1,$F11,(INT($F11/100)*60+MOD($F11,100))/1440),IFERROR(TIMEVALUE(SUBSTITUTE($F11,"：",":")),""))</f>
        <v/>
      </c>
      <c r="P11">
        <f>IF(ISNUMBER($G11),IF($G11&lt;1,$G11,(INT($G11/100)*60+MOD($G11,100))/1440),IFERROR(TIMEVALUE(SUBSTITUTE($G11,"：",":")),""))</f>
        <v/>
      </c>
      <c r="Q11">
        <f>IF(ISNUMBER($H11),IF($H11&lt;1,$H11,(INT($H11/100)*60+MOD($H11,100))/1440),IFERROR(TIMEVALUE(SUBSTITUTE($H11,"：",":")),""))</f>
        <v/>
      </c>
      <c r="R11">
        <f>IF(ISNUMBER($I11),IF($I11&lt;1,$I11,(INT($I11/100)*60+MOD($I11,100))/1440),IFERROR(TIMEVALUE(SUBSTITUTE($I11,"：",":")),""))</f>
        <v/>
      </c>
      <c r="S11">
        <f>IF(ISNUMBER($J11),IF($J11&lt;1,$J11,(INT($J11/100)*60+MOD($J11,100))/1440),IFERROR(TIMEVALUE(SUBSTITUTE($J11,"：",":")),""))</f>
        <v/>
      </c>
      <c r="T11">
        <f>IF(OR($N11="",$O11=""),"",MAX(0,MOD($O11-$N11,1)-MAX(0,MIN($O11,13/24)-MAX($N11,0.5))))</f>
        <v/>
      </c>
      <c r="U11">
        <f>IF($A11="","",IF(ISNUMBER(MATCH($A11,祝日リスト!$A$2:$A$40,0)),"祝",IF(WEEKDAY($A11,2)=6,"土",IF(WEEKDAY($A11,2)=7,"日","平"))))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 t="inlineStr">
        <is>
          <t>休み</t>
        </is>
      </c>
      <c r="N12">
        <f>IF(ISNUMBER($D12),IF($D12&lt;1,$D12,(INT($D12/100)*60+MOD($D12,100))/1440),IFERROR(TIMEVALUE(SUBSTITUTE($D12,"：",":")),""))</f>
        <v/>
      </c>
      <c r="O12" s="35">
        <f>IF(ISNUMBER($F12),IF($F12&lt;1,$F12,(INT($F12/100)*60+MOD($F12,100))/1440),IFERROR(TIMEVALUE(SUBSTITUTE($F12,"：",":")),""))</f>
        <v/>
      </c>
      <c r="P12">
        <f>IF(ISNUMBER($G12),IF($G12&lt;1,$G12,(INT($G12/100)*60+MOD($G12,100))/1440),IFERROR(TIMEVALUE(SUBSTITUTE($G12,"：",":")),""))</f>
        <v/>
      </c>
      <c r="Q12">
        <f>IF(ISNUMBER($H12),IF($H12&lt;1,$H12,(INT($H12/100)*60+MOD($H12,100))/1440),IFERROR(TIMEVALUE(SUBSTITUTE($H12,"：",":")),""))</f>
        <v/>
      </c>
      <c r="R12">
        <f>IF(ISNUMBER($I12),IF($I12&lt;1,$I12,(INT($I12/100)*60+MOD($I12,100))/1440),IFERROR(TIMEVALUE(SUBSTITUTE($I12,"：",":")),""))</f>
        <v/>
      </c>
      <c r="S12">
        <f>IF(ISNUMBER($J12),IF($J12&lt;1,$J12,(INT($J12/100)*60+MOD($J12,100))/1440),IFERROR(TIMEVALUE(SUBSTITUTE($J12,"：",":")),""))</f>
        <v/>
      </c>
      <c r="T12">
        <f>IF(OR($N12="",$O12=""),"",MAX(0,MOD($O12-$N12,1)-MAX(0,MIN($O12,13/24)-MAX($N12,0.5))))</f>
        <v/>
      </c>
      <c r="U12">
        <f>IF($A12="","",IF(ISNUMBER(MATCH($A12,祝日リスト!$A$2:$A$40,0)),"祝",IF(WEEKDAY($A12,2)=6,"土",IF(WEEKDAY($A12,2)=7,"日","平"))))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 t="inlineStr">
        <is>
          <t>休み</t>
        </is>
      </c>
      <c r="N13">
        <f>IF(ISNUMBER($D13),IF($D13&lt;1,$D13,(INT($D13/100)*60+MOD($D13,100))/1440),IFERROR(TIMEVALUE(SUBSTITUTE($D13,"：",":")),""))</f>
        <v/>
      </c>
      <c r="O13" s="35">
        <f>IF(ISNUMBER($F13),IF($F13&lt;1,$F13,(INT($F13/100)*60+MOD($F13,100))/1440),IFERROR(TIMEVALUE(SUBSTITUTE($F13,"：",":")),""))</f>
        <v/>
      </c>
      <c r="P13">
        <f>IF(ISNUMBER($G13),IF($G13&lt;1,$G13,(INT($G13/100)*60+MOD($G13,100))/1440),IFERROR(TIMEVALUE(SUBSTITUTE($G13,"：",":")),""))</f>
        <v/>
      </c>
      <c r="Q13">
        <f>IF(ISNUMBER($H13),IF($H13&lt;1,$H13,(INT($H13/100)*60+MOD($H13,100))/1440),IFERROR(TIMEVALUE(SUBSTITUTE($H13,"：",":")),""))</f>
        <v/>
      </c>
      <c r="R13">
        <f>IF(ISNUMBER($I13),IF($I13&lt;1,$I13,(INT($I13/100)*60+MOD($I13,100))/1440),IFERROR(TIMEVALUE(SUBSTITUTE($I13,"：",":")),""))</f>
        <v/>
      </c>
      <c r="S13">
        <f>IF(ISNUMBER($J13),IF($J13&lt;1,$J13,(INT($J13/100)*60+MOD($J13,100))/1440),IFERROR(TIMEVALUE(SUBSTITUTE($J13,"：",":")),""))</f>
        <v/>
      </c>
      <c r="T13">
        <f>IF(OR($N13="",$O13=""),"",MAX(0,MOD($O13-$N13,1)-MAX(0,MIN($O13,13/24)-MAX($N13,0.5))))</f>
        <v/>
      </c>
      <c r="U13">
        <f>IF($A13="","",IF(ISNUMBER(MATCH($A13,祝日リスト!$A$2:$A$40,0)),"祝",IF(WEEKDAY($A13,2)=6,"土",IF(WEEKDAY($A13,2)=7,"日","平"))))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>
        <v>0.375</v>
      </c>
      <c r="E14" s="36" t="inlineStr">
        <is>
          <t>～</t>
        </is>
      </c>
      <c r="F14" s="85" t="n">
        <v>0.625</v>
      </c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IF(ISNUMBER($D14),IF($D14&lt;1,$D14,(INT($D14/100)*60+MOD($D14,100))/1440),IFERROR(TIMEVALUE(SUBSTITUTE($D14,"：",":")),""))</f>
        <v/>
      </c>
      <c r="O14" s="35">
        <f>IF(ISNUMBER($F14),IF($F14&lt;1,$F14,(INT($F14/100)*60+MOD($F14,100))/1440),IFERROR(TIMEVALUE(SUBSTITUTE($F14,"：",":")),""))</f>
        <v/>
      </c>
      <c r="P14">
        <f>IF(ISNUMBER($G14),IF($G14&lt;1,$G14,(INT($G14/100)*60+MOD($G14,100))/1440),IFERROR(TIMEVALUE(SUBSTITUTE($G14,"：",":")),""))</f>
        <v/>
      </c>
      <c r="Q14">
        <f>IF(ISNUMBER($H14),IF($H14&lt;1,$H14,(INT($H14/100)*60+MOD($H14,100))/1440),IFERROR(TIMEVALUE(SUBSTITUTE($H14,"：",":")),""))</f>
        <v/>
      </c>
      <c r="R14">
        <f>IF(ISNUMBER($I14),IF($I14&lt;1,$I14,(INT($I14/100)*60+MOD($I14,100))/1440),IFERROR(TIMEVALUE(SUBSTITUTE($I14,"：",":")),""))</f>
        <v/>
      </c>
      <c r="S14">
        <f>IF(ISNUMBER($J14),IF($J14&lt;1,$J14,(INT($J14/100)*60+MOD($J14,100))/1440),IFERROR(TIMEVALUE(SUBSTITUTE($J14,"：",":")),""))</f>
        <v/>
      </c>
      <c r="T14">
        <f>IF(OR($N14="",$O14=""),"",MAX(0,MOD($O14-$N14,1)-MAX(0,MIN($O14,13/24)-MAX($N14,0.5))))</f>
        <v/>
      </c>
      <c r="U14">
        <f>IF($A14="","",IF(ISNUMBER(MATCH($A14,祝日リスト!$A$2:$A$40,0)),"祝",IF(WEEKDAY($A14,2)=6,"土",IF(WEEKDAY($A14,2)=7,"日","平"))))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>
        <v>0.375</v>
      </c>
      <c r="E15" s="36" t="inlineStr">
        <is>
          <t>～</t>
        </is>
      </c>
      <c r="F15" s="85" t="n">
        <v>0.625</v>
      </c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IF(ISNUMBER($D15),IF($D15&lt;1,$D15,(INT($D15/100)*60+MOD($D15,100))/1440),IFERROR(TIMEVALUE(SUBSTITUTE($D15,"：",":")),""))</f>
        <v/>
      </c>
      <c r="O15" s="35">
        <f>IF(ISNUMBER($F15),IF($F15&lt;1,$F15,(INT($F15/100)*60+MOD($F15,100))/1440),IFERROR(TIMEVALUE(SUBSTITUTE($F15,"：",":")),""))</f>
        <v/>
      </c>
      <c r="P15">
        <f>IF(ISNUMBER($G15),IF($G15&lt;1,$G15,(INT($G15/100)*60+MOD($G15,100))/1440),IFERROR(TIMEVALUE(SUBSTITUTE($G15,"：",":")),""))</f>
        <v/>
      </c>
      <c r="Q15">
        <f>IF(ISNUMBER($H15),IF($H15&lt;1,$H15,(INT($H15/100)*60+MOD($H15,100))/1440),IFERROR(TIMEVALUE(SUBSTITUTE($H15,"：",":")),""))</f>
        <v/>
      </c>
      <c r="R15">
        <f>IF(ISNUMBER($I15),IF($I15&lt;1,$I15,(INT($I15/100)*60+MOD($I15,100))/1440),IFERROR(TIMEVALUE(SUBSTITUTE($I15,"：",":")),""))</f>
        <v/>
      </c>
      <c r="S15">
        <f>IF(ISNUMBER($J15),IF($J15&lt;1,$J15,(INT($J15/100)*60+MOD($J15,100))/1440),IFERROR(TIMEVALUE(SUBSTITUTE($J15,"：",":")),""))</f>
        <v/>
      </c>
      <c r="T15">
        <f>IF(OR($N15="",$O15=""),"",MAX(0,MOD($O15-$N15,1)-MAX(0,MIN($O15,13/24)-MAX($N15,0.5))))</f>
        <v/>
      </c>
      <c r="U15">
        <f>IF($A15="","",IF(ISNUMBER(MATCH($A15,祝日リスト!$A$2:$A$40,0)),"祝",IF(WEEKDAY($A15,2)=6,"土",IF(WEEKDAY($A15,2)=7,"日","平"))))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 t="inlineStr">
        <is>
          <t>休み</t>
        </is>
      </c>
      <c r="N16">
        <f>IF(ISNUMBER($D16),IF($D16&lt;1,$D16,(INT($D16/100)*60+MOD($D16,100))/1440),IFERROR(TIMEVALUE(SUBSTITUTE($D16,"：",":")),""))</f>
        <v/>
      </c>
      <c r="O16" s="35">
        <f>IF(ISNUMBER($F16),IF($F16&lt;1,$F16,(INT($F16/100)*60+MOD($F16,100))/1440),IFERROR(TIMEVALUE(SUBSTITUTE($F16,"：",":")),""))</f>
        <v/>
      </c>
      <c r="P16">
        <f>IF(ISNUMBER($G16),IF($G16&lt;1,$G16,(INT($G16/100)*60+MOD($G16,100))/1440),IFERROR(TIMEVALUE(SUBSTITUTE($G16,"：",":")),""))</f>
        <v/>
      </c>
      <c r="Q16">
        <f>IF(ISNUMBER($H16),IF($H16&lt;1,$H16,(INT($H16/100)*60+MOD($H16,100))/1440),IFERROR(TIMEVALUE(SUBSTITUTE($H16,"：",":")),""))</f>
        <v/>
      </c>
      <c r="R16">
        <f>IF(ISNUMBER($I16),IF($I16&lt;1,$I16,(INT($I16/100)*60+MOD($I16,100))/1440),IFERROR(TIMEVALUE(SUBSTITUTE($I16,"：",":")),""))</f>
        <v/>
      </c>
      <c r="S16">
        <f>IF(ISNUMBER($J16),IF($J16&lt;1,$J16,(INT($J16/100)*60+MOD($J16,100))/1440),IFERROR(TIMEVALUE(SUBSTITUTE($J16,"：",":")),""))</f>
        <v/>
      </c>
      <c r="T16">
        <f>IF(OR($N16="",$O16=""),"",MAX(0,MOD($O16-$N16,1)-MAX(0,MIN($O16,13/24)-MAX($N16,0.5))))</f>
        <v/>
      </c>
      <c r="U16">
        <f>IF($A16="","",IF(ISNUMBER(MATCH($A16,祝日リスト!$A$2:$A$40,0)),"祝",IF(WEEKDAY($A16,2)=6,"土",IF(WEEKDAY($A16,2)=7,"日","平"))))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>
        <v>0.375</v>
      </c>
      <c r="E17" s="36" t="inlineStr">
        <is>
          <t>～</t>
        </is>
      </c>
      <c r="F17" s="85" t="n">
        <v>0.625</v>
      </c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IF(ISNUMBER($D17),IF($D17&lt;1,$D17,(INT($D17/100)*60+MOD($D17,100))/1440),IFERROR(TIMEVALUE(SUBSTITUTE($D17,"：",":")),""))</f>
        <v/>
      </c>
      <c r="O17" s="35">
        <f>IF(ISNUMBER($F17),IF($F17&lt;1,$F17,(INT($F17/100)*60+MOD($F17,100))/1440),IFERROR(TIMEVALUE(SUBSTITUTE($F17,"：",":")),""))</f>
        <v/>
      </c>
      <c r="P17">
        <f>IF(ISNUMBER($G17),IF($G17&lt;1,$G17,(INT($G17/100)*60+MOD($G17,100))/1440),IFERROR(TIMEVALUE(SUBSTITUTE($G17,"：",":")),""))</f>
        <v/>
      </c>
      <c r="Q17">
        <f>IF(ISNUMBER($H17),IF($H17&lt;1,$H17,(INT($H17/100)*60+MOD($H17,100))/1440),IFERROR(TIMEVALUE(SUBSTITUTE($H17,"：",":")),""))</f>
        <v/>
      </c>
      <c r="R17">
        <f>IF(ISNUMBER($I17),IF($I17&lt;1,$I17,(INT($I17/100)*60+MOD($I17,100))/1440),IFERROR(TIMEVALUE(SUBSTITUTE($I17,"：",":")),""))</f>
        <v/>
      </c>
      <c r="S17">
        <f>IF(ISNUMBER($J17),IF($J17&lt;1,$J17,(INT($J17/100)*60+MOD($J17,100))/1440),IFERROR(TIMEVALUE(SUBSTITUTE($J17,"：",":")),""))</f>
        <v/>
      </c>
      <c r="T17">
        <f>IF(OR($N17="",$O17=""),"",MAX(0,MOD($O17-$N17,1)-MAX(0,MIN($O17,13/24)-MAX($N17,0.5))))</f>
        <v/>
      </c>
      <c r="U17">
        <f>IF($A17="","",IF(ISNUMBER(MATCH($A17,祝日リスト!$A$2:$A$40,0)),"祝",IF(WEEKDAY($A17,2)=6,"土",IF(WEEKDAY($A17,2)=7,"日","平"))))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>
        <v>0.375</v>
      </c>
      <c r="E18" s="36" t="inlineStr">
        <is>
          <t>～</t>
        </is>
      </c>
      <c r="F18" s="85" t="n">
        <v>0.625</v>
      </c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IF(ISNUMBER($D18),IF($D18&lt;1,$D18,(INT($D18/100)*60+MOD($D18,100))/1440),IFERROR(TIMEVALUE(SUBSTITUTE($D18,"：",":")),""))</f>
        <v/>
      </c>
      <c r="O18" s="35">
        <f>IF(ISNUMBER($F18),IF($F18&lt;1,$F18,(INT($F18/100)*60+MOD($F18,100))/1440),IFERROR(TIMEVALUE(SUBSTITUTE($F18,"：",":")),""))</f>
        <v/>
      </c>
      <c r="P18">
        <f>IF(ISNUMBER($G18),IF($G18&lt;1,$G18,(INT($G18/100)*60+MOD($G18,100))/1440),IFERROR(TIMEVALUE(SUBSTITUTE($G18,"：",":")),""))</f>
        <v/>
      </c>
      <c r="Q18">
        <f>IF(ISNUMBER($H18),IF($H18&lt;1,$H18,(INT($H18/100)*60+MOD($H18,100))/1440),IFERROR(TIMEVALUE(SUBSTITUTE($H18,"：",":")),""))</f>
        <v/>
      </c>
      <c r="R18">
        <f>IF(ISNUMBER($I18),IF($I18&lt;1,$I18,(INT($I18/100)*60+MOD($I18,100))/1440),IFERROR(TIMEVALUE(SUBSTITUTE($I18,"：",":")),""))</f>
        <v/>
      </c>
      <c r="S18">
        <f>IF(ISNUMBER($J18),IF($J18&lt;1,$J18,(INT($J18/100)*60+MOD($J18,100))/1440),IFERROR(TIMEVALUE(SUBSTITUTE($J18,"：",":")),""))</f>
        <v/>
      </c>
      <c r="T18">
        <f>IF(OR($N18="",$O18=""),"",MAX(0,MOD($O18-$N18,1)-MAX(0,MIN($O18,13/24)-MAX($N18,0.5))))</f>
        <v/>
      </c>
      <c r="U18">
        <f>IF($A18="","",IF(ISNUMBER(MATCH($A18,祝日リスト!$A$2:$A$40,0)),"祝",IF(WEEKDAY($A18,2)=6,"土",IF(WEEKDAY($A18,2)=7,"日","平"))))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 t="inlineStr">
        <is>
          <t>休み</t>
        </is>
      </c>
      <c r="N19">
        <f>IF(ISNUMBER($D19),IF($D19&lt;1,$D19,(INT($D19/100)*60+MOD($D19,100))/1440),IFERROR(TIMEVALUE(SUBSTITUTE($D19,"：",":")),""))</f>
        <v/>
      </c>
      <c r="O19" s="35">
        <f>IF(ISNUMBER($F19),IF($F19&lt;1,$F19,(INT($F19/100)*60+MOD($F19,100))/1440),IFERROR(TIMEVALUE(SUBSTITUTE($F19,"：",":")),""))</f>
        <v/>
      </c>
      <c r="P19">
        <f>IF(ISNUMBER($G19),IF($G19&lt;1,$G19,(INT($G19/100)*60+MOD($G19,100))/1440),IFERROR(TIMEVALUE(SUBSTITUTE($G19,"：",":")),""))</f>
        <v/>
      </c>
      <c r="Q19">
        <f>IF(ISNUMBER($H19),IF($H19&lt;1,$H19,(INT($H19/100)*60+MOD($H19,100))/1440),IFERROR(TIMEVALUE(SUBSTITUTE($H19,"：",":")),""))</f>
        <v/>
      </c>
      <c r="R19">
        <f>IF(ISNUMBER($I19),IF($I19&lt;1,$I19,(INT($I19/100)*60+MOD($I19,100))/1440),IFERROR(TIMEVALUE(SUBSTITUTE($I19,"：",":")),""))</f>
        <v/>
      </c>
      <c r="S19">
        <f>IF(ISNUMBER($J19),IF($J19&lt;1,$J19,(INT($J19/100)*60+MOD($J19,100))/1440),IFERROR(TIMEVALUE(SUBSTITUTE($J19,"：",":")),""))</f>
        <v/>
      </c>
      <c r="T19">
        <f>IF(OR($N19="",$O19=""),"",MAX(0,MOD($O19-$N19,1)-MAX(0,MIN($O19,13/24)-MAX($N19,0.5))))</f>
        <v/>
      </c>
      <c r="U19">
        <f>IF($A19="","",IF(ISNUMBER(MATCH($A19,祝日リスト!$A$2:$A$40,0)),"祝",IF(WEEKDAY($A19,2)=6,"土",IF(WEEKDAY($A19,2)=7,"日","平"))))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 t="inlineStr">
        <is>
          <t>休み</t>
        </is>
      </c>
      <c r="N20">
        <f>IF(ISNUMBER($D20),IF($D20&lt;1,$D20,(INT($D20/100)*60+MOD($D20,100))/1440),IFERROR(TIMEVALUE(SUBSTITUTE($D20,"：",":")),""))</f>
        <v/>
      </c>
      <c r="O20" s="35">
        <f>IF(ISNUMBER($F20),IF($F20&lt;1,$F20,(INT($F20/100)*60+MOD($F20,100))/1440),IFERROR(TIMEVALUE(SUBSTITUTE($F20,"：",":")),""))</f>
        <v/>
      </c>
      <c r="P20">
        <f>IF(ISNUMBER($G20),IF($G20&lt;1,$G20,(INT($G20/100)*60+MOD($G20,100))/1440),IFERROR(TIMEVALUE(SUBSTITUTE($G20,"：",":")),""))</f>
        <v/>
      </c>
      <c r="Q20">
        <f>IF(ISNUMBER($H20),IF($H20&lt;1,$H20,(INT($H20/100)*60+MOD($H20,100))/1440),IFERROR(TIMEVALUE(SUBSTITUTE($H20,"：",":")),""))</f>
        <v/>
      </c>
      <c r="R20">
        <f>IF(ISNUMBER($I20),IF($I20&lt;1,$I20,(INT($I20/100)*60+MOD($I20,100))/1440),IFERROR(TIMEVALUE(SUBSTITUTE($I20,"：",":")),""))</f>
        <v/>
      </c>
      <c r="S20">
        <f>IF(ISNUMBER($J20),IF($J20&lt;1,$J20,(INT($J20/100)*60+MOD($J20,100))/1440),IFERROR(TIMEVALUE(SUBSTITUTE($J20,"：",":")),""))</f>
        <v/>
      </c>
      <c r="T20">
        <f>IF(OR($N20="",$O20=""),"",MAX(0,MOD($O20-$N20,1)-MAX(0,MIN($O20,13/24)-MAX($N20,0.5))))</f>
        <v/>
      </c>
      <c r="U20">
        <f>IF($A20="","",IF(ISNUMBER(MATCH($A20,祝日リスト!$A$2:$A$40,0)),"祝",IF(WEEKDAY($A20,2)=6,"土",IF(WEEKDAY($A20,2)=7,"日","平"))))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>
        <v>0.375</v>
      </c>
      <c r="E21" s="36" t="inlineStr">
        <is>
          <t>～</t>
        </is>
      </c>
      <c r="F21" s="85" t="n">
        <v>0.625</v>
      </c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IF(ISNUMBER($D21),IF($D21&lt;1,$D21,(INT($D21/100)*60+MOD($D21,100))/1440),IFERROR(TIMEVALUE(SUBSTITUTE($D21,"：",":")),""))</f>
        <v/>
      </c>
      <c r="O21" s="35">
        <f>IF(ISNUMBER($F21),IF($F21&lt;1,$F21,(INT($F21/100)*60+MOD($F21,100))/1440),IFERROR(TIMEVALUE(SUBSTITUTE($F21,"：",":")),""))</f>
        <v/>
      </c>
      <c r="P21">
        <f>IF(ISNUMBER($G21),IF($G21&lt;1,$G21,(INT($G21/100)*60+MOD($G21,100))/1440),IFERROR(TIMEVALUE(SUBSTITUTE($G21,"：",":")),""))</f>
        <v/>
      </c>
      <c r="Q21">
        <f>IF(ISNUMBER($H21),IF($H21&lt;1,$H21,(INT($H21/100)*60+MOD($H21,100))/1440),IFERROR(TIMEVALUE(SUBSTITUTE($H21,"：",":")),""))</f>
        <v/>
      </c>
      <c r="R21">
        <f>IF(ISNUMBER($I21),IF($I21&lt;1,$I21,(INT($I21/100)*60+MOD($I21,100))/1440),IFERROR(TIMEVALUE(SUBSTITUTE($I21,"：",":")),""))</f>
        <v/>
      </c>
      <c r="S21">
        <f>IF(ISNUMBER($J21),IF($J21&lt;1,$J21,(INT($J21/100)*60+MOD($J21,100))/1440),IFERROR(TIMEVALUE(SUBSTITUTE($J21,"：",":")),""))</f>
        <v/>
      </c>
      <c r="T21">
        <f>IF(OR($N21="",$O21=""),"",MAX(0,MOD($O21-$N21,1)-MAX(0,MIN($O21,13/24)-MAX($N21,0.5))))</f>
        <v/>
      </c>
      <c r="U21">
        <f>IF($A21="","",IF(ISNUMBER(MATCH($A21,祝日リスト!$A$2:$A$40,0)),"祝",IF(WEEKDAY($A21,2)=6,"土",IF(WEEKDAY($A21,2)=7,"日","平"))))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>
        <v>0.375</v>
      </c>
      <c r="E22" s="36" t="inlineStr">
        <is>
          <t>～</t>
        </is>
      </c>
      <c r="F22" s="85" t="n">
        <v>0.625</v>
      </c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IF(ISNUMBER($D22),IF($D22&lt;1,$D22,(INT($D22/100)*60+MOD($D22,100))/1440),IFERROR(TIMEVALUE(SUBSTITUTE($D22,"：",":")),""))</f>
        <v/>
      </c>
      <c r="O22" s="35">
        <f>IF(ISNUMBER($F22),IF($F22&lt;1,$F22,(INT($F22/100)*60+MOD($F22,100))/1440),IFERROR(TIMEVALUE(SUBSTITUTE($F22,"：",":")),""))</f>
        <v/>
      </c>
      <c r="P22" s="4">
        <f>IF(ISNUMBER($G22),IF($G22&lt;1,$G22,(INT($G22/100)*60+MOD($G22,100))/1440),IFERROR(TIMEVALUE(SUBSTITUTE($G22,"：",":")),""))</f>
        <v/>
      </c>
      <c r="Q22" s="4">
        <f>IF(ISNUMBER($H22),IF($H22&lt;1,$H22,(INT($H22/100)*60+MOD($H22,100))/1440),IFERROR(TIMEVALUE(SUBSTITUTE($H22,"：",":")),""))</f>
        <v/>
      </c>
      <c r="R22" s="4">
        <f>IF(ISNUMBER($I22),IF($I22&lt;1,$I22,(INT($I22/100)*60+MOD($I22,100))/1440),IFERROR(TIMEVALUE(SUBSTITUTE($I22,"：",":")),""))</f>
        <v/>
      </c>
      <c r="S22" s="4">
        <f>IF(ISNUMBER($J22),IF($J22&lt;1,$J22,(INT($J22/100)*60+MOD($J22,100))/1440),IFERROR(TIMEVALUE(SUBSTITUTE($J22,"：",":")),""))</f>
        <v/>
      </c>
      <c r="T22" s="4">
        <f>IF(OR($N22="",$O22=""),"",MAX(0,MOD($O22-$N22,1)-MAX(0,MIN($O22,13/24)-MAX($N22,0.5))))</f>
        <v/>
      </c>
      <c r="U22" s="4">
        <f>IF($A22="","",IF(ISNUMBER(MATCH($A22,祝日リスト!$A$2:$A$40,0)),"祝",IF(WEEKDAY($A22,2)=6,"土",IF(WEEKDAY($A22,2)=7,"日","平"))))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 t="inlineStr">
        <is>
          <t>休み</t>
        </is>
      </c>
      <c r="N23">
        <f>IF(ISNUMBER($D23),IF($D23&lt;1,$D23,(INT($D23/100)*60+MOD($D23,100))/1440),IFERROR(TIMEVALUE(SUBSTITUTE($D23,"：",":")),""))</f>
        <v/>
      </c>
      <c r="O23" s="35">
        <f>IF(ISNUMBER($F23),IF($F23&lt;1,$F23,(INT($F23/100)*60+MOD($F23,100))/1440),IFERROR(TIMEVALUE(SUBSTITUTE($F23,"：",":")),""))</f>
        <v/>
      </c>
      <c r="P23">
        <f>IF(ISNUMBER($G23),IF($G23&lt;1,$G23,(INT($G23/100)*60+MOD($G23,100))/1440),IFERROR(TIMEVALUE(SUBSTITUTE($G23,"：",":")),""))</f>
        <v/>
      </c>
      <c r="Q23">
        <f>IF(ISNUMBER($H23),IF($H23&lt;1,$H23,(INT($H23/100)*60+MOD($H23,100))/1440),IFERROR(TIMEVALUE(SUBSTITUTE($H23,"：",":")),""))</f>
        <v/>
      </c>
      <c r="R23">
        <f>IF(ISNUMBER($I23),IF($I23&lt;1,$I23,(INT($I23/100)*60+MOD($I23,100))/1440),IFERROR(TIMEVALUE(SUBSTITUTE($I23,"：",":")),""))</f>
        <v/>
      </c>
      <c r="S23">
        <f>IF(ISNUMBER($J23),IF($J23&lt;1,$J23,(INT($J23/100)*60+MOD($J23,100))/1440),IFERROR(TIMEVALUE(SUBSTITUTE($J23,"：",":")),""))</f>
        <v/>
      </c>
      <c r="T23">
        <f>IF(OR($N23="",$O23=""),"",MAX(0,MOD($O23-$N23,1)-MAX(0,MIN($O23,13/24)-MAX($N23,0.5))))</f>
        <v/>
      </c>
      <c r="U23">
        <f>IF($A23="","",IF(ISNUMBER(MATCH($A23,祝日リスト!$A$2:$A$40,0)),"祝",IF(WEEKDAY($A23,2)=6,"土",IF(WEEKDAY($A23,2)=7,"日","平"))))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>
        <v>0.375</v>
      </c>
      <c r="E24" s="36" t="inlineStr">
        <is>
          <t>～</t>
        </is>
      </c>
      <c r="F24" s="85" t="n">
        <v>0.625</v>
      </c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IF(ISNUMBER($D24),IF($D24&lt;1,$D24,(INT($D24/100)*60+MOD($D24,100))/1440),IFERROR(TIMEVALUE(SUBSTITUTE($D24,"：",":")),""))</f>
        <v/>
      </c>
      <c r="O24" s="35">
        <f>IF(ISNUMBER($F24),IF($F24&lt;1,$F24,(INT($F24/100)*60+MOD($F24,100))/1440),IFERROR(TIMEVALUE(SUBSTITUTE($F24,"：",":")),""))</f>
        <v/>
      </c>
      <c r="P24">
        <f>IF(ISNUMBER($G24),IF($G24&lt;1,$G24,(INT($G24/100)*60+MOD($G24,100))/1440),IFERROR(TIMEVALUE(SUBSTITUTE($G24,"：",":")),""))</f>
        <v/>
      </c>
      <c r="Q24">
        <f>IF(ISNUMBER($H24),IF($H24&lt;1,$H24,(INT($H24/100)*60+MOD($H24,100))/1440),IFERROR(TIMEVALUE(SUBSTITUTE($H24,"：",":")),""))</f>
        <v/>
      </c>
      <c r="R24">
        <f>IF(ISNUMBER($I24),IF($I24&lt;1,$I24,(INT($I24/100)*60+MOD($I24,100))/1440),IFERROR(TIMEVALUE(SUBSTITUTE($I24,"：",":")),""))</f>
        <v/>
      </c>
      <c r="S24">
        <f>IF(ISNUMBER($J24),IF($J24&lt;1,$J24,(INT($J24/100)*60+MOD($J24,100))/1440),IFERROR(TIMEVALUE(SUBSTITUTE($J24,"：",":")),""))</f>
        <v/>
      </c>
      <c r="T24">
        <f>IF(OR($N24="",$O24=""),"",MAX(0,MOD($O24-$N24,1)-MAX(0,MIN($O24,13/24)-MAX($N24,0.5))))</f>
        <v/>
      </c>
      <c r="U24">
        <f>IF($A24="","",IF(ISNUMBER(MATCH($A24,祝日リスト!$A$2:$A$40,0)),"祝",IF(WEEKDAY($A24,2)=6,"土",IF(WEEKDAY($A24,2)=7,"日","平"))))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>
        <v>0.375</v>
      </c>
      <c r="E25" s="36" t="inlineStr">
        <is>
          <t>～</t>
        </is>
      </c>
      <c r="F25" s="85" t="n">
        <v>0.625</v>
      </c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IF(ISNUMBER($D25),IF($D25&lt;1,$D25,(INT($D25/100)*60+MOD($D25,100))/1440),IFERROR(TIMEVALUE(SUBSTITUTE($D25,"：",":")),""))</f>
        <v/>
      </c>
      <c r="O25" s="35">
        <f>IF(ISNUMBER($F25),IF($F25&lt;1,$F25,(INT($F25/100)*60+MOD($F25,100))/1440),IFERROR(TIMEVALUE(SUBSTITUTE($F25,"：",":")),""))</f>
        <v/>
      </c>
      <c r="P25">
        <f>IF(ISNUMBER($G25),IF($G25&lt;1,$G25,(INT($G25/100)*60+MOD($G25,100))/1440),IFERROR(TIMEVALUE(SUBSTITUTE($G25,"：",":")),""))</f>
        <v/>
      </c>
      <c r="Q25">
        <f>IF(ISNUMBER($H25),IF($H25&lt;1,$H25,(INT($H25/100)*60+MOD($H25,100))/1440),IFERROR(TIMEVALUE(SUBSTITUTE($H25,"：",":")),""))</f>
        <v/>
      </c>
      <c r="R25">
        <f>IF(ISNUMBER($I25),IF($I25&lt;1,$I25,(INT($I25/100)*60+MOD($I25,100))/1440),IFERROR(TIMEVALUE(SUBSTITUTE($I25,"：",":")),""))</f>
        <v/>
      </c>
      <c r="S25">
        <f>IF(ISNUMBER($J25),IF($J25&lt;1,$J25,(INT($J25/100)*60+MOD($J25,100))/1440),IFERROR(TIMEVALUE(SUBSTITUTE($J25,"：",":")),""))</f>
        <v/>
      </c>
      <c r="T25">
        <f>IF(OR($N25="",$O25=""),"",MAX(0,MOD($O25-$N25,1)-MAX(0,MIN($O25,13/24)-MAX($N25,0.5))))</f>
        <v/>
      </c>
      <c r="U25">
        <f>IF($A25="","",IF(ISNUMBER(MATCH($A25,祝日リスト!$A$2:$A$40,0)),"祝",IF(WEEKDAY($A25,2)=6,"土",IF(WEEKDAY($A25,2)=7,"日","平"))))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 t="inlineStr">
        <is>
          <t>休み</t>
        </is>
      </c>
      <c r="L26" s="4" t="n"/>
      <c r="M26" s="4" t="n"/>
      <c r="N26" s="4">
        <f>IF(ISNUMBER($D26),IF($D26&lt;1,$D26,(INT($D26/100)*60+MOD($D26,100))/1440),IFERROR(TIMEVALUE(SUBSTITUTE($D26,"：",":")),""))</f>
        <v/>
      </c>
      <c r="O26" s="35">
        <f>IF(ISNUMBER($F26),IF($F26&lt;1,$F26,(INT($F26/100)*60+MOD($F26,100))/1440),IFERROR(TIMEVALUE(SUBSTITUTE($F26,"：",":")),""))</f>
        <v/>
      </c>
      <c r="P26" s="4">
        <f>IF(ISNUMBER($G26),IF($G26&lt;1,$G26,(INT($G26/100)*60+MOD($G26,100))/1440),IFERROR(TIMEVALUE(SUBSTITUTE($G26,"：",":")),""))</f>
        <v/>
      </c>
      <c r="Q26" s="4">
        <f>IF(ISNUMBER($H26),IF($H26&lt;1,$H26,(INT($H26/100)*60+MOD($H26,100))/1440),IFERROR(TIMEVALUE(SUBSTITUTE($H26,"：",":")),""))</f>
        <v/>
      </c>
      <c r="R26" s="4">
        <f>IF(ISNUMBER($I26),IF($I26&lt;1,$I26,(INT($I26/100)*60+MOD($I26,100))/1440),IFERROR(TIMEVALUE(SUBSTITUTE($I26,"：",":")),""))</f>
        <v/>
      </c>
      <c r="S26" s="4">
        <f>IF(ISNUMBER($J26),IF($J26&lt;1,$J26,(INT($J26/100)*60+MOD($J26,100))/1440),IFERROR(TIMEVALUE(SUBSTITUTE($J26,"：",":")),""))</f>
        <v/>
      </c>
      <c r="T26" s="4">
        <f>IF(OR($N26="",$O26=""),"",MAX(0,MOD($O26-$N26,1)-MAX(0,MIN($O26,13/24)-MAX($N26,0.5))))</f>
        <v/>
      </c>
      <c r="U26" s="4">
        <f>IF($A26="","",IF(ISNUMBER(MATCH($A26,祝日リスト!$A$2:$A$40,0)),"祝",IF(WEEKDAY($A26,2)=6,"土",IF(WEEKDAY($A26,2)=7,"日","平"))))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 t="inlineStr">
        <is>
          <t>休み</t>
        </is>
      </c>
      <c r="N27">
        <f>IF(ISNUMBER($D27),IF($D27&lt;1,$D27,(INT($D27/100)*60+MOD($D27,100))/1440),IFERROR(TIMEVALUE(SUBSTITUTE($D27,"：",":")),""))</f>
        <v/>
      </c>
      <c r="O27" s="35">
        <f>IF(ISNUMBER($F27),IF($F27&lt;1,$F27,(INT($F27/100)*60+MOD($F27,100))/1440),IFERROR(TIMEVALUE(SUBSTITUTE($F27,"：",":")),""))</f>
        <v/>
      </c>
      <c r="P27">
        <f>IF(ISNUMBER($G27),IF($G27&lt;1,$G27,(INT($G27/100)*60+MOD($G27,100))/1440),IFERROR(TIMEVALUE(SUBSTITUTE($G27,"：",":")),""))</f>
        <v/>
      </c>
      <c r="Q27">
        <f>IF(ISNUMBER($H27),IF($H27&lt;1,$H27,(INT($H27/100)*60+MOD($H27,100))/1440),IFERROR(TIMEVALUE(SUBSTITUTE($H27,"：",":")),""))</f>
        <v/>
      </c>
      <c r="R27">
        <f>IF(ISNUMBER($I27),IF($I27&lt;1,$I27,(INT($I27/100)*60+MOD($I27,100))/1440),IFERROR(TIMEVALUE(SUBSTITUTE($I27,"：",":")),""))</f>
        <v/>
      </c>
      <c r="S27">
        <f>IF(ISNUMBER($J27),IF($J27&lt;1,$J27,(INT($J27/100)*60+MOD($J27,100))/1440),IFERROR(TIMEVALUE(SUBSTITUTE($J27,"：",":")),""))</f>
        <v/>
      </c>
      <c r="T27">
        <f>IF(OR($N27="",$O27=""),"",MAX(0,MOD($O27-$N27,1)-MAX(0,MIN($O27,13/24)-MAX($N27,0.5))))</f>
        <v/>
      </c>
      <c r="U27">
        <f>IF($A27="","",IF(ISNUMBER(MATCH($A27,祝日リスト!$A$2:$A$40,0)),"祝",IF(WEEKDAY($A27,2)=6,"土",IF(WEEKDAY($A27,2)=7,"日","平"))))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>
        <v>0.375</v>
      </c>
      <c r="E28" s="36" t="inlineStr">
        <is>
          <t>～</t>
        </is>
      </c>
      <c r="F28" s="85" t="n">
        <v>0.625</v>
      </c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IF(ISNUMBER($D28),IF($D28&lt;1,$D28,(INT($D28/100)*60+MOD($D28,100))/1440),IFERROR(TIMEVALUE(SUBSTITUTE($D28,"：",":")),""))</f>
        <v/>
      </c>
      <c r="O28" s="35">
        <f>IF(ISNUMBER($F28),IF($F28&lt;1,$F28,(INT($F28/100)*60+MOD($F28,100))/1440),IFERROR(TIMEVALUE(SUBSTITUTE($F28,"：",":")),""))</f>
        <v/>
      </c>
      <c r="P28">
        <f>IF(ISNUMBER($G28),IF($G28&lt;1,$G28,(INT($G28/100)*60+MOD($G28,100))/1440),IFERROR(TIMEVALUE(SUBSTITUTE($G28,"：",":")),""))</f>
        <v/>
      </c>
      <c r="Q28">
        <f>IF(ISNUMBER($H28),IF($H28&lt;1,$H28,(INT($H28/100)*60+MOD($H28,100))/1440),IFERROR(TIMEVALUE(SUBSTITUTE($H28,"：",":")),""))</f>
        <v/>
      </c>
      <c r="R28">
        <f>IF(ISNUMBER($I28),IF($I28&lt;1,$I28,(INT($I28/100)*60+MOD($I28,100))/1440),IFERROR(TIMEVALUE(SUBSTITUTE($I28,"：",":")),""))</f>
        <v/>
      </c>
      <c r="S28">
        <f>IF(ISNUMBER($J28),IF($J28&lt;1,$J28,(INT($J28/100)*60+MOD($J28,100))/1440),IFERROR(TIMEVALUE(SUBSTITUTE($J28,"：",":")),""))</f>
        <v/>
      </c>
      <c r="T28">
        <f>IF(OR($N28="",$O28=""),"",MAX(0,MOD($O28-$N28,1)-MAX(0,MIN($O28,13/24)-MAX($N28,0.5))))</f>
        <v/>
      </c>
      <c r="U28">
        <f>IF($A28="","",IF(ISNUMBER(MATCH($A28,祝日リスト!$A$2:$A$40,0)),"祝",IF(WEEKDAY($A28,2)=6,"土",IF(WEEKDAY($A28,2)=7,"日","平"))))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>
        <v>0.375</v>
      </c>
      <c r="E29" s="36" t="inlineStr">
        <is>
          <t>～</t>
        </is>
      </c>
      <c r="F29" s="85" t="n">
        <v>0.625</v>
      </c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IF(ISNUMBER($D29),IF($D29&lt;1,$D29,(INT($D29/100)*60+MOD($D29,100))/1440),IFERROR(TIMEVALUE(SUBSTITUTE($D29,"：",":")),""))</f>
        <v/>
      </c>
      <c r="O29" s="35">
        <f>IF(ISNUMBER($F29),IF($F29&lt;1,$F29,(INT($F29/100)*60+MOD($F29,100))/1440),IFERROR(TIMEVALUE(SUBSTITUTE($F29,"：",":")),""))</f>
        <v/>
      </c>
      <c r="P29">
        <f>IF(ISNUMBER($G29),IF($G29&lt;1,$G29,(INT($G29/100)*60+MOD($G29,100))/1440),IFERROR(TIMEVALUE(SUBSTITUTE($G29,"：",":")),""))</f>
        <v/>
      </c>
      <c r="Q29">
        <f>IF(ISNUMBER($H29),IF($H29&lt;1,$H29,(INT($H29/100)*60+MOD($H29,100))/1440),IFERROR(TIMEVALUE(SUBSTITUTE($H29,"：",":")),""))</f>
        <v/>
      </c>
      <c r="R29">
        <f>IF(ISNUMBER($I29),IF($I29&lt;1,$I29,(INT($I29/100)*60+MOD($I29,100))/1440),IFERROR(TIMEVALUE(SUBSTITUTE($I29,"：",":")),""))</f>
        <v/>
      </c>
      <c r="S29">
        <f>IF(ISNUMBER($J29),IF($J29&lt;1,$J29,(INT($J29/100)*60+MOD($J29,100))/1440),IFERROR(TIMEVALUE(SUBSTITUTE($J29,"：",":")),""))</f>
        <v/>
      </c>
      <c r="T29">
        <f>IF(OR($N29="",$O29=""),"",MAX(0,MOD($O29-$N29,1)-MAX(0,MIN($O29,13/24)-MAX($N29,0.5))))</f>
        <v/>
      </c>
      <c r="U29">
        <f>IF($A29="","",IF(ISNUMBER(MATCH($A29,祝日リスト!$A$2:$A$40,0)),"祝",IF(WEEKDAY($A29,2)=6,"土",IF(WEEKDAY($A29,2)=7,"日","平"))))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 t="inlineStr">
        <is>
          <t>休み</t>
        </is>
      </c>
      <c r="N30">
        <f>IF(ISNUMBER($D30),IF($D30&lt;1,$D30,(INT($D30/100)*60+MOD($D30,100))/1440),IFERROR(TIMEVALUE(SUBSTITUTE($D30,"：",":")),""))</f>
        <v/>
      </c>
      <c r="O30" s="35">
        <f>IF(ISNUMBER($F30),IF($F30&lt;1,$F30,(INT($F30/100)*60+MOD($F30,100))/1440),IFERROR(TIMEVALUE(SUBSTITUTE($F30,"：",":")),""))</f>
        <v/>
      </c>
      <c r="P30">
        <f>IF(ISNUMBER($G30),IF($G30&lt;1,$G30,(INT($G30/100)*60+MOD($G30,100))/1440),IFERROR(TIMEVALUE(SUBSTITUTE($G30,"：",":")),""))</f>
        <v/>
      </c>
      <c r="Q30">
        <f>IF(ISNUMBER($H30),IF($H30&lt;1,$H30,(INT($H30/100)*60+MOD($H30,100))/1440),IFERROR(TIMEVALUE(SUBSTITUTE($H30,"：",":")),""))</f>
        <v/>
      </c>
      <c r="R30">
        <f>IF(ISNUMBER($I30),IF($I30&lt;1,$I30,(INT($I30/100)*60+MOD($I30,100))/1440),IFERROR(TIMEVALUE(SUBSTITUTE($I30,"：",":")),""))</f>
        <v/>
      </c>
      <c r="S30">
        <f>IF(ISNUMBER($J30),IF($J30&lt;1,$J30,(INT($J30/100)*60+MOD($J30,100))/1440),IFERROR(TIMEVALUE(SUBSTITUTE($J30,"：",":")),""))</f>
        <v/>
      </c>
      <c r="T30">
        <f>IF(OR($N30="",$O30=""),"",MAX(0,MOD($O30-$N30,1)-MAX(0,MIN($O30,13/24)-MAX($N30,0.5))))</f>
        <v/>
      </c>
      <c r="U30">
        <f>IF($A30="","",IF(ISNUMBER(MATCH($A30,祝日リスト!$A$2:$A$40,0)),"祝",IF(WEEKDAY($A30,2)=6,"土",IF(WEEKDAY($A30,2)=7,"日","平"))))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>
        <v>0.375</v>
      </c>
      <c r="E31" s="36" t="inlineStr">
        <is>
          <t>～</t>
        </is>
      </c>
      <c r="F31" s="85" t="n">
        <v>0.625</v>
      </c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IF(ISNUMBER($D31),IF($D31&lt;1,$D31,(INT($D31/100)*60+MOD($D31,100))/1440),IFERROR(TIMEVALUE(SUBSTITUTE($D31,"：",":")),""))</f>
        <v/>
      </c>
      <c r="O31" s="35">
        <f>IF(ISNUMBER($F31),IF($F31&lt;1,$F31,(INT($F31/100)*60+MOD($F31,100))/1440),IFERROR(TIMEVALUE(SUBSTITUTE($F31,"：",":")),""))</f>
        <v/>
      </c>
      <c r="P31">
        <f>IF(ISNUMBER($G31),IF($G31&lt;1,$G31,(INT($G31/100)*60+MOD($G31,100))/1440),IFERROR(TIMEVALUE(SUBSTITUTE($G31,"：",":")),""))</f>
        <v/>
      </c>
      <c r="Q31">
        <f>IF(ISNUMBER($H31),IF($H31&lt;1,$H31,(INT($H31/100)*60+MOD($H31,100))/1440),IFERROR(TIMEVALUE(SUBSTITUTE($H31,"：",":")),""))</f>
        <v/>
      </c>
      <c r="R31">
        <f>IF(ISNUMBER($I31),IF($I31&lt;1,$I31,(INT($I31/100)*60+MOD($I31,100))/1440),IFERROR(TIMEVALUE(SUBSTITUTE($I31,"：",":")),""))</f>
        <v/>
      </c>
      <c r="S31">
        <f>IF(ISNUMBER($J31),IF($J31&lt;1,$J31,(INT($J31/100)*60+MOD($J31,100))/1440),IFERROR(TIMEVALUE(SUBSTITUTE($J31,"：",":")),""))</f>
        <v/>
      </c>
      <c r="T31">
        <f>IF(OR($N31="",$O31=""),"",MAX(0,MOD($O31-$N31,1)-MAX(0,MIN($O31,13/24)-MAX($N31,0.5))))</f>
        <v/>
      </c>
      <c r="U31">
        <f>IF($A31="","",IF(ISNUMBER(MATCH($A31,祝日リスト!$A$2:$A$40,0)),"祝",IF(WEEKDAY($A31,2)=6,"土",IF(WEEKDAY($A31,2)=7,"日","平"))))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>
        <v>0.375</v>
      </c>
      <c r="E32" s="36" t="inlineStr">
        <is>
          <t>～</t>
        </is>
      </c>
      <c r="F32" s="85" t="n">
        <v>0.625</v>
      </c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IF(ISNUMBER($D32),IF($D32&lt;1,$D32,(INT($D32/100)*60+MOD($D32,100))/1440),IFERROR(TIMEVALUE(SUBSTITUTE($D32,"：",":")),""))</f>
        <v/>
      </c>
      <c r="O32" s="35">
        <f>IF(ISNUMBER($F32),IF($F32&lt;1,$F32,(INT($F32/100)*60+MOD($F32,100))/1440),IFERROR(TIMEVALUE(SUBSTITUTE($F32,"：",":")),""))</f>
        <v/>
      </c>
      <c r="P32">
        <f>IF(ISNUMBER($G32),IF($G32&lt;1,$G32,(INT($G32/100)*60+MOD($G32,100))/1440),IFERROR(TIMEVALUE(SUBSTITUTE($G32,"：",":")),""))</f>
        <v/>
      </c>
      <c r="Q32">
        <f>IF(ISNUMBER($H32),IF($H32&lt;1,$H32,(INT($H32/100)*60+MOD($H32,100))/1440),IFERROR(TIMEVALUE(SUBSTITUTE($H32,"：",":")),""))</f>
        <v/>
      </c>
      <c r="R32">
        <f>IF(ISNUMBER($I32),IF($I32&lt;1,$I32,(INT($I32/100)*60+MOD($I32,100))/1440),IFERROR(TIMEVALUE(SUBSTITUTE($I32,"：",":")),""))</f>
        <v/>
      </c>
      <c r="S32">
        <f>IF(ISNUMBER($J32),IF($J32&lt;1,$J32,(INT($J32/100)*60+MOD($J32,100))/1440),IFERROR(TIMEVALUE(SUBSTITUTE($J32,"：",":")),""))</f>
        <v/>
      </c>
      <c r="T32">
        <f>IF(OR($N32="",$O32=""),"",MAX(0,MOD($O32-$N32,1)-MAX(0,MIN($O32,13/24)-MAX($N32,0.5))))</f>
        <v/>
      </c>
      <c r="U32">
        <f>IF($A32="","",IF(ISNUMBER(MATCH($A32,祝日リスト!$A$2:$A$40,0)),"祝",IF(WEEKDAY($A32,2)=6,"土",IF(WEEKDAY($A32,2)=7,"日","平"))))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 t="inlineStr">
        <is>
          <t>休み</t>
        </is>
      </c>
      <c r="N33">
        <f>IF(ISNUMBER($D33),IF($D33&lt;1,$D33,(INT($D33/100)*60+MOD($D33,100))/1440),IFERROR(TIMEVALUE(SUBSTITUTE($D33,"：",":")),""))</f>
        <v/>
      </c>
      <c r="O33" s="35">
        <f>IF(ISNUMBER($F33),IF($F33&lt;1,$F33,(INT($F33/100)*60+MOD($F33,100))/1440),IFERROR(TIMEVALUE(SUBSTITUTE($F33,"：",":")),""))</f>
        <v/>
      </c>
      <c r="P33">
        <f>IF(ISNUMBER($G33),IF($G33&lt;1,$G33,(INT($G33/100)*60+MOD($G33,100))/1440),IFERROR(TIMEVALUE(SUBSTITUTE($G33,"：",":")),""))</f>
        <v/>
      </c>
      <c r="Q33">
        <f>IF(ISNUMBER($H33),IF($H33&lt;1,$H33,(INT($H33/100)*60+MOD($H33,100))/1440),IFERROR(TIMEVALUE(SUBSTITUTE($H33,"：",":")),""))</f>
        <v/>
      </c>
      <c r="R33">
        <f>IF(ISNUMBER($I33),IF($I33&lt;1,$I33,(INT($I33/100)*60+MOD($I33,100))/1440),IFERROR(TIMEVALUE(SUBSTITUTE($I33,"：",":")),""))</f>
        <v/>
      </c>
      <c r="S33">
        <f>IF(ISNUMBER($J33),IF($J33&lt;1,$J33,(INT($J33/100)*60+MOD($J33,100))/1440),IFERROR(TIMEVALUE(SUBSTITUTE($J33,"：",":")),""))</f>
        <v/>
      </c>
      <c r="T33">
        <f>IF(OR($N33="",$O33=""),"",MAX(0,MOD($O33-$N33,1)-MAX(0,MIN($O33,13/24)-MAX($N33,0.5))))</f>
        <v/>
      </c>
      <c r="U33">
        <f>IF($A33="","",IF(ISNUMBER(MATCH($A33,祝日リスト!$A$2:$A$40,0)),"祝",IF(WEEKDAY($A33,2)=6,"土",IF(WEEKDAY($A33,2)=7,"日","平"))))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 t="inlineStr">
        <is>
          <t>休み</t>
        </is>
      </c>
      <c r="N34">
        <f>IF(ISNUMBER($D34),IF($D34&lt;1,$D34,(INT($D34/100)*60+MOD($D34,100))/1440),IFERROR(TIMEVALUE(SUBSTITUTE($D34,"：",":")),""))</f>
        <v/>
      </c>
      <c r="O34" s="35">
        <f>IF(ISNUMBER($F34),IF($F34&lt;1,$F34,(INT($F34/100)*60+MOD($F34,100))/1440),IFERROR(TIMEVALUE(SUBSTITUTE($F34,"：",":")),""))</f>
        <v/>
      </c>
      <c r="P34">
        <f>IF(ISNUMBER($G34),IF($G34&lt;1,$G34,(INT($G34/100)*60+MOD($G34,100))/1440),IFERROR(TIMEVALUE(SUBSTITUTE($G34,"：",":")),""))</f>
        <v/>
      </c>
      <c r="Q34">
        <f>IF(ISNUMBER($H34),IF($H34&lt;1,$H34,(INT($H34/100)*60+MOD($H34,100))/1440),IFERROR(TIMEVALUE(SUBSTITUTE($H34,"：",":")),""))</f>
        <v/>
      </c>
      <c r="R34">
        <f>IF(ISNUMBER($I34),IF($I34&lt;1,$I34,(INT($I34/100)*60+MOD($I34,100))/1440),IFERROR(TIMEVALUE(SUBSTITUTE($I34,"：",":")),""))</f>
        <v/>
      </c>
      <c r="S34">
        <f>IF(ISNUMBER($J34),IF($J34&lt;1,$J34,(INT($J34/100)*60+MOD($J34,100))/1440),IFERROR(TIMEVALUE(SUBSTITUTE($J34,"：",":")),""))</f>
        <v/>
      </c>
      <c r="T34">
        <f>IF(OR($N34="",$O34=""),"",MAX(0,MOD($O34-$N34,1)-MAX(0,MIN($O34,13/24)-MAX($N34,0.5))))</f>
        <v/>
      </c>
      <c r="U34">
        <f>IF($A34="","",IF(ISNUMBER(MATCH($A34,祝日リスト!$A$2:$A$40,0)),"祝",IF(WEEKDAY($A34,2)=6,"土",IF(WEEKDAY($A34,2)=7,"日","平"))))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>
        <v>0.375</v>
      </c>
      <c r="E35" s="36" t="inlineStr">
        <is>
          <t>～</t>
        </is>
      </c>
      <c r="F35" s="85" t="n">
        <v>0.625</v>
      </c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IF(ISNUMBER($D35),IF($D35&lt;1,$D35,(INT($D35/100)*60+MOD($D35,100))/1440),IFERROR(TIMEVALUE(SUBSTITUTE($D35,"：",":")),""))</f>
        <v/>
      </c>
      <c r="O35" s="35">
        <f>IF(ISNUMBER($F35),IF($F35&lt;1,$F35,(INT($F35/100)*60+MOD($F35,100))/1440),IFERROR(TIMEVALUE(SUBSTITUTE($F35,"：",":")),""))</f>
        <v/>
      </c>
      <c r="P35">
        <f>IF(ISNUMBER($G35),IF($G35&lt;1,$G35,(INT($G35/100)*60+MOD($G35,100))/1440),IFERROR(TIMEVALUE(SUBSTITUTE($G35,"：",":")),""))</f>
        <v/>
      </c>
      <c r="Q35">
        <f>IF(ISNUMBER($H35),IF($H35&lt;1,$H35,(INT($H35/100)*60+MOD($H35,100))/1440),IFERROR(TIMEVALUE(SUBSTITUTE($H35,"：",":")),""))</f>
        <v/>
      </c>
      <c r="R35">
        <f>IF(ISNUMBER($I35),IF($I35&lt;1,$I35,(INT($I35/100)*60+MOD($I35,100))/1440),IFERROR(TIMEVALUE(SUBSTITUTE($I35,"：",":")),""))</f>
        <v/>
      </c>
      <c r="S35">
        <f>IF(ISNUMBER($J35),IF($J35&lt;1,$J35,(INT($J35/100)*60+MOD($J35,100))/1440),IFERROR(TIMEVALUE(SUBSTITUTE($J35,"：",":")),""))</f>
        <v/>
      </c>
      <c r="T35">
        <f>IF(OR($N35="",$O35=""),"",MAX(0,MOD($O35-$N35,1)-MAX(0,MIN($O35,13/24)-MAX($N35,0.5))))</f>
        <v/>
      </c>
      <c r="U35">
        <f>IF($A35="","",IF(ISNUMBER(MATCH($A35,祝日リスト!$A$2:$A$40,0)),"祝",IF(WEEKDAY($A35,2)=6,"土",IF(WEEKDAY($A35,2)=7,"日","平"))))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>
        <v>0.375</v>
      </c>
      <c r="E36" s="36" t="inlineStr">
        <is>
          <t>～</t>
        </is>
      </c>
      <c r="F36" s="85" t="n">
        <v>0.625</v>
      </c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IF(ISNUMBER($D36),IF($D36&lt;1,$D36,(INT($D36/100)*60+MOD($D36,100))/1440),IFERROR(TIMEVALUE(SUBSTITUTE($D36,"：",":")),""))</f>
        <v/>
      </c>
      <c r="O36" s="35">
        <f>IF(ISNUMBER($F36),IF($F36&lt;1,$F36,(INT($F36/100)*60+MOD($F36,100))/1440),IFERROR(TIMEVALUE(SUBSTITUTE($F36,"：",":")),""))</f>
        <v/>
      </c>
      <c r="P36">
        <f>IF(ISNUMBER($G36),IF($G36&lt;1,$G36,(INT($G36/100)*60+MOD($G36,100))/1440),IFERROR(TIMEVALUE(SUBSTITUTE($G36,"：",":")),""))</f>
        <v/>
      </c>
      <c r="Q36">
        <f>IF(ISNUMBER($H36),IF($H36&lt;1,$H36,(INT($H36/100)*60+MOD($H36,100))/1440),IFERROR(TIMEVALUE(SUBSTITUTE($H36,"：",":")),""))</f>
        <v/>
      </c>
      <c r="R36">
        <f>IF(ISNUMBER($I36),IF($I36&lt;1,$I36,(INT($I36/100)*60+MOD($I36,100))/1440),IFERROR(TIMEVALUE(SUBSTITUTE($I36,"：",":")),""))</f>
        <v/>
      </c>
      <c r="S36">
        <f>IF(ISNUMBER($J36),IF($J36&lt;1,$J36,(INT($J36/100)*60+MOD($J36,100))/1440),IFERROR(TIMEVALUE(SUBSTITUTE($J36,"：",":")),""))</f>
        <v/>
      </c>
      <c r="T36">
        <f>IF(OR($N36="",$O36=""),"",MAX(0,MOD($O36-$N36,1)-MAX(0,MIN($O36,13/24)-MAX($N36,0.5))))</f>
        <v/>
      </c>
      <c r="U36">
        <f>IF($A36="","",IF(ISNUMBER(MATCH($A36,祝日リスト!$A$2:$A$40,0)),"祝",IF(WEEKDAY($A36,2)=6,"土",IF(WEEKDAY($A36,2)=7,"日","平"))))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IF(ISNUMBER($D37),IF($D37&lt;1,$D37,(INT($D37/100)*60+MOD($D37,100))/1440),IFERROR(TIMEVALUE(SUBSTITUTE($D37,"：",":")),""))</f>
        <v/>
      </c>
      <c r="O37">
        <f>IF(ISNUMBER($F37),IF($F37&lt;1,$F37,(INT($F37/100)*60+MOD($F37,100))/1440),IFERROR(TIMEVALUE(SUBSTITUTE($F37,"：",":")),""))</f>
        <v/>
      </c>
      <c r="P37">
        <f>IF(ISNUMBER($G37),IF($G37&lt;1,$G37,(INT($G37/100)*60+MOD($G37,100))/1440),IFERROR(TIMEVALUE(SUBSTITUTE($G37,"：",":")),""))</f>
        <v/>
      </c>
      <c r="Q37">
        <f>IF(ISNUMBER($H37),IF($H37&lt;1,$H37,(INT($H37/100)*60+MOD($H37,100))/1440),IFERROR(TIMEVALUE(SUBSTITUTE($H37,"：",":")),""))</f>
        <v/>
      </c>
      <c r="R37">
        <f>IF(ISNUMBER($I37),IF($I37&lt;1,$I37,(INT($I37/100)*60+MOD($I37,100))/1440),IFERROR(TIMEVALUE(SUBSTITUTE($I37,"：",":")),""))</f>
        <v/>
      </c>
      <c r="S37">
        <f>IF(ISNUMBER($J37),IF($J37&lt;1,$J37,(INT($J37/100)*60+MOD($J37,100))/1440),IFERROR(TIMEVALUE(SUBSTITUTE($J37,"：",":")),""))</f>
        <v/>
      </c>
      <c r="T37">
        <f>IF(OR($N37="",$O37=""),"",MAX(0,MOD($O37-$N37,1)-MAX(0,MIN($O37,13/24)-MAX($N37,0.5))))</f>
        <v/>
      </c>
      <c r="U37">
        <f>IF($A37="","",IF(ISNUMBER(MATCH($A37,祝日リスト!$A$2:$A$40,0)),"祝",IF(WEEKDAY($A37,2)=6,"土",IF(WEEKDAY($A37,2)=7,"日","平"))))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AND($A7&lt;&gt;"",OR(WEEKDAY($A7,2)=6,WEEKDAY($A7,2)=7,WEEKDAY($A7,2)=3,ISNUMBER(MATCH($A7,祝日リスト!$A$2:$A$40,0))))</formula>
    </cfRule>
  </conditionalFormatting>
  <dataValidations count="1">
    <dataValidation sqref="D7:D37 F7:F37 G7:G37 H7:H37 I7:I37 J7:J37" showDropDown="0" showInputMessage="0" showErrorMessage="1" allowBlank="1" errorTitle="時刻の入力" error="9:30 のように、コロン付きで入力してください（全角の 9：00 でも可）。" type="custom">
      <formula1>=OR(AND(ISNUMBER(D7),D7&gt;=0,D7&lt;1),IFERROR(ISNUMBER(TIMEVALUE(SUBSTITUTE(D7,"：",":"))),FALSE))</formula1>
    </dataValidation>
  </dataValidations>
  <pageMargins left="0.25" right="0.25" top="0.75" bottom="0.75" header="0" footer="0"/>
  <pageSetup orientation="portrait" paperSize="9" scale="96" fitToWidth="0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7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IF(ISNUMBER($D7),IF($D7&lt;1,$D7,(INT($D7/100)*60+MOD($D7,100))/1440),IFERROR(TIMEVALUE(SUBSTITUTE($D7,"：",":")),""))</f>
        <v/>
      </c>
      <c r="O7">
        <f>IF(ISNUMBER($F7),IF($F7&lt;1,$F7,(INT($F7/100)*60+MOD($F7,100))/1440),IFERROR(TIMEVALUE(SUBSTITUTE($F7,"：",":")),""))</f>
        <v/>
      </c>
      <c r="P7">
        <f>IF(ISNUMBER($G7),IF($G7&lt;1,$G7,(INT($G7/100)*60+MOD($G7,100))/1440),IFERROR(TIMEVALUE(SUBSTITUTE($G7,"：",":")),""))</f>
        <v/>
      </c>
      <c r="Q7">
        <f>IF(ISNUMBER($H7),IF($H7&lt;1,$H7,(INT($H7/100)*60+MOD($H7,100))/1440),IFERROR(TIMEVALUE(SUBSTITUTE($H7,"：",":")),""))</f>
        <v/>
      </c>
      <c r="R7">
        <f>IF(ISNUMBER($I7),IF($I7&lt;1,$I7,(INT($I7/100)*60+MOD($I7,100))/1440),IFERROR(TIMEVALUE(SUBSTITUTE($I7,"：",":")),""))</f>
        <v/>
      </c>
      <c r="S7">
        <f>IF(ISNUMBER($J7),IF($J7&lt;1,$J7,(INT($J7/100)*60+MOD($J7,100))/1440),IFERROR(TIMEVALUE(SUBSTITUTE($J7,"：",":")),""))</f>
        <v/>
      </c>
      <c r="T7">
        <f>IF(OR($N7="",$O7=""),"",MAX(0,MOD($O7-$N7,1)-MAX(0,MIN($O7,13/24)-MAX($N7,0.5))))</f>
        <v/>
      </c>
      <c r="U7">
        <f>IF($A7="","",IF(ISNUMBER(MATCH($A7,祝日リスト!$A$2:$A$40,0)),"祝",IF(WEEKDAY($A7,2)=6,"土",IF(WEEKDAY($A7,2)=7,"日","平"))))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IF(ISNUMBER($D8),IF($D8&lt;1,$D8,(INT($D8/100)*60+MOD($D8,100))/1440),IFERROR(TIMEVALUE(SUBSTITUTE($D8,"：",":")),""))</f>
        <v/>
      </c>
      <c r="O8" s="35">
        <f>IF(ISNUMBER($F8),IF($F8&lt;1,$F8,(INT($F8/100)*60+MOD($F8,100))/1440),IFERROR(TIMEVALUE(SUBSTITUTE($F8,"：",":")),""))</f>
        <v/>
      </c>
      <c r="P8">
        <f>IF(ISNUMBER($G8),IF($G8&lt;1,$G8,(INT($G8/100)*60+MOD($G8,100))/1440),IFERROR(TIMEVALUE(SUBSTITUTE($G8,"：",":")),""))</f>
        <v/>
      </c>
      <c r="Q8">
        <f>IF(ISNUMBER($H8),IF($H8&lt;1,$H8,(INT($H8/100)*60+MOD($H8,100))/1440),IFERROR(TIMEVALUE(SUBSTITUTE($H8,"：",":")),""))</f>
        <v/>
      </c>
      <c r="R8">
        <f>IF(ISNUMBER($I8),IF($I8&lt;1,$I8,(INT($I8/100)*60+MOD($I8,100))/1440),IFERROR(TIMEVALUE(SUBSTITUTE($I8,"：",":")),""))</f>
        <v/>
      </c>
      <c r="S8">
        <f>IF(ISNUMBER($J8),IF($J8&lt;1,$J8,(INT($J8/100)*60+MOD($J8,100))/1440),IFERROR(TIMEVALUE(SUBSTITUTE($J8,"：",":")),""))</f>
        <v/>
      </c>
      <c r="T8">
        <f>IF(OR($N8="",$O8=""),"",MAX(0,MOD($O8-$N8,1)-MAX(0,MIN($O8,13/24)-MAX($N8,0.5))))</f>
        <v/>
      </c>
      <c r="U8">
        <f>IF($A8="","",IF(ISNUMBER(MATCH($A8,祝日リスト!$A$2:$A$40,0)),"祝",IF(WEEKDAY($A8,2)=6,"土",IF(WEEKDAY($A8,2)=7,"日","平"))))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IF(ISNUMBER($D9),IF($D9&lt;1,$D9,(INT($D9/100)*60+MOD($D9,100))/1440),IFERROR(TIMEVALUE(SUBSTITUTE($D9,"：",":")),""))</f>
        <v/>
      </c>
      <c r="O9" s="35">
        <f>IF(ISNUMBER($F9),IF($F9&lt;1,$F9,(INT($F9/100)*60+MOD($F9,100))/1440),IFERROR(TIMEVALUE(SUBSTITUTE($F9,"：",":")),""))</f>
        <v/>
      </c>
      <c r="P9">
        <f>IF(ISNUMBER($G9),IF($G9&lt;1,$G9,(INT($G9/100)*60+MOD($G9,100))/1440),IFERROR(TIMEVALUE(SUBSTITUTE($G9,"：",":")),""))</f>
        <v/>
      </c>
      <c r="Q9">
        <f>IF(ISNUMBER($H9),IF($H9&lt;1,$H9,(INT($H9/100)*60+MOD($H9,100))/1440),IFERROR(TIMEVALUE(SUBSTITUTE($H9,"：",":")),""))</f>
        <v/>
      </c>
      <c r="R9">
        <f>IF(ISNUMBER($I9),IF($I9&lt;1,$I9,(INT($I9/100)*60+MOD($I9,100))/1440),IFERROR(TIMEVALUE(SUBSTITUTE($I9,"：",":")),""))</f>
        <v/>
      </c>
      <c r="S9">
        <f>IF(ISNUMBER($J9),IF($J9&lt;1,$J9,(INT($J9/100)*60+MOD($J9,100))/1440),IFERROR(TIMEVALUE(SUBSTITUTE($J9,"：",":")),""))</f>
        <v/>
      </c>
      <c r="T9">
        <f>IF(OR($N9="",$O9=""),"",MAX(0,MOD($O9-$N9,1)-MAX(0,MIN($O9,13/24)-MAX($N9,0.5))))</f>
        <v/>
      </c>
      <c r="U9">
        <f>IF($A9="","",IF(ISNUMBER(MATCH($A9,祝日リスト!$A$2:$A$40,0)),"祝",IF(WEEKDAY($A9,2)=6,"土",IF(WEEKDAY($A9,2)=7,"日","平"))))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IF(ISNUMBER($D10),IF($D10&lt;1,$D10,(INT($D10/100)*60+MOD($D10,100))/1440),IFERROR(TIMEVALUE(SUBSTITUTE($D10,"：",":")),""))</f>
        <v/>
      </c>
      <c r="O10" s="35">
        <f>IF(ISNUMBER($F10),IF($F10&lt;1,$F10,(INT($F10/100)*60+MOD($F10,100))/1440),IFERROR(TIMEVALUE(SUBSTITUTE($F10,"：",":")),""))</f>
        <v/>
      </c>
      <c r="P10">
        <f>IF(ISNUMBER($G10),IF($G10&lt;1,$G10,(INT($G10/100)*60+MOD($G10,100))/1440),IFERROR(TIMEVALUE(SUBSTITUTE($G10,"：",":")),""))</f>
        <v/>
      </c>
      <c r="Q10">
        <f>IF(ISNUMBER($H10),IF($H10&lt;1,$H10,(INT($H10/100)*60+MOD($H10,100))/1440),IFERROR(TIMEVALUE(SUBSTITUTE($H10,"：",":")),""))</f>
        <v/>
      </c>
      <c r="R10">
        <f>IF(ISNUMBER($I10),IF($I10&lt;1,$I10,(INT($I10/100)*60+MOD($I10,100))/1440),IFERROR(TIMEVALUE(SUBSTITUTE($I10,"：",":")),""))</f>
        <v/>
      </c>
      <c r="S10">
        <f>IF(ISNUMBER($J10),IF($J10&lt;1,$J10,(INT($J10/100)*60+MOD($J10,100))/1440),IFERROR(TIMEVALUE(SUBSTITUTE($J10,"：",":")),""))</f>
        <v/>
      </c>
      <c r="T10">
        <f>IF(OR($N10="",$O10=""),"",MAX(0,MOD($O10-$N10,1)-MAX(0,MIN($O10,13/24)-MAX($N10,0.5))))</f>
        <v/>
      </c>
      <c r="U10">
        <f>IF($A10="","",IF(ISNUMBER(MATCH($A10,祝日リスト!$A$2:$A$40,0)),"祝",IF(WEEKDAY($A10,2)=6,"土",IF(WEEKDAY($A10,2)=7,"日","平"))))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IF(ISNUMBER($D11),IF($D11&lt;1,$D11,(INT($D11/100)*60+MOD($D11,100))/1440),IFERROR(TIMEVALUE(SUBSTITUTE($D11,"：",":")),""))</f>
        <v/>
      </c>
      <c r="O11" s="35">
        <f>IF(ISNUMBER($F11),IF($F11&lt;1,$F11,(INT($F11/100)*60+MOD($F11,100))/1440),IFERROR(TIMEVALUE(SUBSTITUTE($F11,"：",":")),""))</f>
        <v/>
      </c>
      <c r="P11">
        <f>IF(ISNUMBER($G11),IF($G11&lt;1,$G11,(INT($G11/100)*60+MOD($G11,100))/1440),IFERROR(TIMEVALUE(SUBSTITUTE($G11,"：",":")),""))</f>
        <v/>
      </c>
      <c r="Q11">
        <f>IF(ISNUMBER($H11),IF($H11&lt;1,$H11,(INT($H11/100)*60+MOD($H11,100))/1440),IFERROR(TIMEVALUE(SUBSTITUTE($H11,"：",":")),""))</f>
        <v/>
      </c>
      <c r="R11">
        <f>IF(ISNUMBER($I11),IF($I11&lt;1,$I11,(INT($I11/100)*60+MOD($I11,100))/1440),IFERROR(TIMEVALUE(SUBSTITUTE($I11,"：",":")),""))</f>
        <v/>
      </c>
      <c r="S11">
        <f>IF(ISNUMBER($J11),IF($J11&lt;1,$J11,(INT($J11/100)*60+MOD($J11,100))/1440),IFERROR(TIMEVALUE(SUBSTITUTE($J11,"：",":")),""))</f>
        <v/>
      </c>
      <c r="T11">
        <f>IF(OR($N11="",$O11=""),"",MAX(0,MOD($O11-$N11,1)-MAX(0,MIN($O11,13/24)-MAX($N11,0.5))))</f>
        <v/>
      </c>
      <c r="U11">
        <f>IF($A11="","",IF(ISNUMBER(MATCH($A11,祝日リスト!$A$2:$A$40,0)),"祝",IF(WEEKDAY($A11,2)=6,"土",IF(WEEKDAY($A11,2)=7,"日","平"))))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IF(ISNUMBER($D12),IF($D12&lt;1,$D12,(INT($D12/100)*60+MOD($D12,100))/1440),IFERROR(TIMEVALUE(SUBSTITUTE($D12,"：",":")),""))</f>
        <v/>
      </c>
      <c r="O12" s="35">
        <f>IF(ISNUMBER($F12),IF($F12&lt;1,$F12,(INT($F12/100)*60+MOD($F12,100))/1440),IFERROR(TIMEVALUE(SUBSTITUTE($F12,"：",":")),""))</f>
        <v/>
      </c>
      <c r="P12">
        <f>IF(ISNUMBER($G12),IF($G12&lt;1,$G12,(INT($G12/100)*60+MOD($G12,100))/1440),IFERROR(TIMEVALUE(SUBSTITUTE($G12,"：",":")),""))</f>
        <v/>
      </c>
      <c r="Q12">
        <f>IF(ISNUMBER($H12),IF($H12&lt;1,$H12,(INT($H12/100)*60+MOD($H12,100))/1440),IFERROR(TIMEVALUE(SUBSTITUTE($H12,"：",":")),""))</f>
        <v/>
      </c>
      <c r="R12">
        <f>IF(ISNUMBER($I12),IF($I12&lt;1,$I12,(INT($I12/100)*60+MOD($I12,100))/1440),IFERROR(TIMEVALUE(SUBSTITUTE($I12,"：",":")),""))</f>
        <v/>
      </c>
      <c r="S12">
        <f>IF(ISNUMBER($J12),IF($J12&lt;1,$J12,(INT($J12/100)*60+MOD($J12,100))/1440),IFERROR(TIMEVALUE(SUBSTITUTE($J12,"：",":")),""))</f>
        <v/>
      </c>
      <c r="T12">
        <f>IF(OR($N12="",$O12=""),"",MAX(0,MOD($O12-$N12,1)-MAX(0,MIN($O12,13/24)-MAX($N12,0.5))))</f>
        <v/>
      </c>
      <c r="U12">
        <f>IF($A12="","",IF(ISNUMBER(MATCH($A12,祝日リスト!$A$2:$A$40,0)),"祝",IF(WEEKDAY($A12,2)=6,"土",IF(WEEKDAY($A12,2)=7,"日","平"))))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IF(ISNUMBER($D13),IF($D13&lt;1,$D13,(INT($D13/100)*60+MOD($D13,100))/1440),IFERROR(TIMEVALUE(SUBSTITUTE($D13,"：",":")),""))</f>
        <v/>
      </c>
      <c r="O13" s="35">
        <f>IF(ISNUMBER($F13),IF($F13&lt;1,$F13,(INT($F13/100)*60+MOD($F13,100))/1440),IFERROR(TIMEVALUE(SUBSTITUTE($F13,"：",":")),""))</f>
        <v/>
      </c>
      <c r="P13">
        <f>IF(ISNUMBER($G13),IF($G13&lt;1,$G13,(INT($G13/100)*60+MOD($G13,100))/1440),IFERROR(TIMEVALUE(SUBSTITUTE($G13,"：",":")),""))</f>
        <v/>
      </c>
      <c r="Q13">
        <f>IF(ISNUMBER($H13),IF($H13&lt;1,$H13,(INT($H13/100)*60+MOD($H13,100))/1440),IFERROR(TIMEVALUE(SUBSTITUTE($H13,"：",":")),""))</f>
        <v/>
      </c>
      <c r="R13">
        <f>IF(ISNUMBER($I13),IF($I13&lt;1,$I13,(INT($I13/100)*60+MOD($I13,100))/1440),IFERROR(TIMEVALUE(SUBSTITUTE($I13,"：",":")),""))</f>
        <v/>
      </c>
      <c r="S13">
        <f>IF(ISNUMBER($J13),IF($J13&lt;1,$J13,(INT($J13/100)*60+MOD($J13,100))/1440),IFERROR(TIMEVALUE(SUBSTITUTE($J13,"：",":")),""))</f>
        <v/>
      </c>
      <c r="T13">
        <f>IF(OR($N13="",$O13=""),"",MAX(0,MOD($O13-$N13,1)-MAX(0,MIN($O13,13/24)-MAX($N13,0.5))))</f>
        <v/>
      </c>
      <c r="U13">
        <f>IF($A13="","",IF(ISNUMBER(MATCH($A13,祝日リスト!$A$2:$A$40,0)),"祝",IF(WEEKDAY($A13,2)=6,"土",IF(WEEKDAY($A13,2)=7,"日","平"))))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IF(ISNUMBER($D14),IF($D14&lt;1,$D14,(INT($D14/100)*60+MOD($D14,100))/1440),IFERROR(TIMEVALUE(SUBSTITUTE($D14,"：",":")),""))</f>
        <v/>
      </c>
      <c r="O14" s="35">
        <f>IF(ISNUMBER($F14),IF($F14&lt;1,$F14,(INT($F14/100)*60+MOD($F14,100))/1440),IFERROR(TIMEVALUE(SUBSTITUTE($F14,"：",":")),""))</f>
        <v/>
      </c>
      <c r="P14">
        <f>IF(ISNUMBER($G14),IF($G14&lt;1,$G14,(INT($G14/100)*60+MOD($G14,100))/1440),IFERROR(TIMEVALUE(SUBSTITUTE($G14,"：",":")),""))</f>
        <v/>
      </c>
      <c r="Q14">
        <f>IF(ISNUMBER($H14),IF($H14&lt;1,$H14,(INT($H14/100)*60+MOD($H14,100))/1440),IFERROR(TIMEVALUE(SUBSTITUTE($H14,"：",":")),""))</f>
        <v/>
      </c>
      <c r="R14">
        <f>IF(ISNUMBER($I14),IF($I14&lt;1,$I14,(INT($I14/100)*60+MOD($I14,100))/1440),IFERROR(TIMEVALUE(SUBSTITUTE($I14,"：",":")),""))</f>
        <v/>
      </c>
      <c r="S14">
        <f>IF(ISNUMBER($J14),IF($J14&lt;1,$J14,(INT($J14/100)*60+MOD($J14,100))/1440),IFERROR(TIMEVALUE(SUBSTITUTE($J14,"：",":")),""))</f>
        <v/>
      </c>
      <c r="T14">
        <f>IF(OR($N14="",$O14=""),"",MAX(0,MOD($O14-$N14,1)-MAX(0,MIN($O14,13/24)-MAX($N14,0.5))))</f>
        <v/>
      </c>
      <c r="U14">
        <f>IF($A14="","",IF(ISNUMBER(MATCH($A14,祝日リスト!$A$2:$A$40,0)),"祝",IF(WEEKDAY($A14,2)=6,"土",IF(WEEKDAY($A14,2)=7,"日","平"))))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IF(ISNUMBER($D15),IF($D15&lt;1,$D15,(INT($D15/100)*60+MOD($D15,100))/1440),IFERROR(TIMEVALUE(SUBSTITUTE($D15,"：",":")),""))</f>
        <v/>
      </c>
      <c r="O15" s="35">
        <f>IF(ISNUMBER($F15),IF($F15&lt;1,$F15,(INT($F15/100)*60+MOD($F15,100))/1440),IFERROR(TIMEVALUE(SUBSTITUTE($F15,"：",":")),""))</f>
        <v/>
      </c>
      <c r="P15">
        <f>IF(ISNUMBER($G15),IF($G15&lt;1,$G15,(INT($G15/100)*60+MOD($G15,100))/1440),IFERROR(TIMEVALUE(SUBSTITUTE($G15,"：",":")),""))</f>
        <v/>
      </c>
      <c r="Q15">
        <f>IF(ISNUMBER($H15),IF($H15&lt;1,$H15,(INT($H15/100)*60+MOD($H15,100))/1440),IFERROR(TIMEVALUE(SUBSTITUTE($H15,"：",":")),""))</f>
        <v/>
      </c>
      <c r="R15">
        <f>IF(ISNUMBER($I15),IF($I15&lt;1,$I15,(INT($I15/100)*60+MOD($I15,100))/1440),IFERROR(TIMEVALUE(SUBSTITUTE($I15,"：",":")),""))</f>
        <v/>
      </c>
      <c r="S15">
        <f>IF(ISNUMBER($J15),IF($J15&lt;1,$J15,(INT($J15/100)*60+MOD($J15,100))/1440),IFERROR(TIMEVALUE(SUBSTITUTE($J15,"：",":")),""))</f>
        <v/>
      </c>
      <c r="T15">
        <f>IF(OR($N15="",$O15=""),"",MAX(0,MOD($O15-$N15,1)-MAX(0,MIN($O15,13/24)-MAX($N15,0.5))))</f>
        <v/>
      </c>
      <c r="U15">
        <f>IF($A15="","",IF(ISNUMBER(MATCH($A15,祝日リスト!$A$2:$A$40,0)),"祝",IF(WEEKDAY($A15,2)=6,"土",IF(WEEKDAY($A15,2)=7,"日","平"))))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IF(ISNUMBER($D16),IF($D16&lt;1,$D16,(INT($D16/100)*60+MOD($D16,100))/1440),IFERROR(TIMEVALUE(SUBSTITUTE($D16,"：",":")),""))</f>
        <v/>
      </c>
      <c r="O16" s="35">
        <f>IF(ISNUMBER($F16),IF($F16&lt;1,$F16,(INT($F16/100)*60+MOD($F16,100))/1440),IFERROR(TIMEVALUE(SUBSTITUTE($F16,"：",":")),""))</f>
        <v/>
      </c>
      <c r="P16">
        <f>IF(ISNUMBER($G16),IF($G16&lt;1,$G16,(INT($G16/100)*60+MOD($G16,100))/1440),IFERROR(TIMEVALUE(SUBSTITUTE($G16,"：",":")),""))</f>
        <v/>
      </c>
      <c r="Q16">
        <f>IF(ISNUMBER($H16),IF($H16&lt;1,$H16,(INT($H16/100)*60+MOD($H16,100))/1440),IFERROR(TIMEVALUE(SUBSTITUTE($H16,"：",":")),""))</f>
        <v/>
      </c>
      <c r="R16">
        <f>IF(ISNUMBER($I16),IF($I16&lt;1,$I16,(INT($I16/100)*60+MOD($I16,100))/1440),IFERROR(TIMEVALUE(SUBSTITUTE($I16,"：",":")),""))</f>
        <v/>
      </c>
      <c r="S16">
        <f>IF(ISNUMBER($J16),IF($J16&lt;1,$J16,(INT($J16/100)*60+MOD($J16,100))/1440),IFERROR(TIMEVALUE(SUBSTITUTE($J16,"：",":")),""))</f>
        <v/>
      </c>
      <c r="T16">
        <f>IF(OR($N16="",$O16=""),"",MAX(0,MOD($O16-$N16,1)-MAX(0,MIN($O16,13/24)-MAX($N16,0.5))))</f>
        <v/>
      </c>
      <c r="U16">
        <f>IF($A16="","",IF(ISNUMBER(MATCH($A16,祝日リスト!$A$2:$A$40,0)),"祝",IF(WEEKDAY($A16,2)=6,"土",IF(WEEKDAY($A16,2)=7,"日","平"))))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IF(ISNUMBER($D17),IF($D17&lt;1,$D17,(INT($D17/100)*60+MOD($D17,100))/1440),IFERROR(TIMEVALUE(SUBSTITUTE($D17,"：",":")),""))</f>
        <v/>
      </c>
      <c r="O17" s="35">
        <f>IF(ISNUMBER($F17),IF($F17&lt;1,$F17,(INT($F17/100)*60+MOD($F17,100))/1440),IFERROR(TIMEVALUE(SUBSTITUTE($F17,"：",":")),""))</f>
        <v/>
      </c>
      <c r="P17">
        <f>IF(ISNUMBER($G17),IF($G17&lt;1,$G17,(INT($G17/100)*60+MOD($G17,100))/1440),IFERROR(TIMEVALUE(SUBSTITUTE($G17,"：",":")),""))</f>
        <v/>
      </c>
      <c r="Q17">
        <f>IF(ISNUMBER($H17),IF($H17&lt;1,$H17,(INT($H17/100)*60+MOD($H17,100))/1440),IFERROR(TIMEVALUE(SUBSTITUTE($H17,"：",":")),""))</f>
        <v/>
      </c>
      <c r="R17">
        <f>IF(ISNUMBER($I17),IF($I17&lt;1,$I17,(INT($I17/100)*60+MOD($I17,100))/1440),IFERROR(TIMEVALUE(SUBSTITUTE($I17,"：",":")),""))</f>
        <v/>
      </c>
      <c r="S17">
        <f>IF(ISNUMBER($J17),IF($J17&lt;1,$J17,(INT($J17/100)*60+MOD($J17,100))/1440),IFERROR(TIMEVALUE(SUBSTITUTE($J17,"：",":")),""))</f>
        <v/>
      </c>
      <c r="T17">
        <f>IF(OR($N17="",$O17=""),"",MAX(0,MOD($O17-$N17,1)-MAX(0,MIN($O17,13/24)-MAX($N17,0.5))))</f>
        <v/>
      </c>
      <c r="U17">
        <f>IF($A17="","",IF(ISNUMBER(MATCH($A17,祝日リスト!$A$2:$A$40,0)),"祝",IF(WEEKDAY($A17,2)=6,"土",IF(WEEKDAY($A17,2)=7,"日","平"))))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IF(ISNUMBER($D18),IF($D18&lt;1,$D18,(INT($D18/100)*60+MOD($D18,100))/1440),IFERROR(TIMEVALUE(SUBSTITUTE($D18,"：",":")),""))</f>
        <v/>
      </c>
      <c r="O18" s="35">
        <f>IF(ISNUMBER($F18),IF($F18&lt;1,$F18,(INT($F18/100)*60+MOD($F18,100))/1440),IFERROR(TIMEVALUE(SUBSTITUTE($F18,"：",":")),""))</f>
        <v/>
      </c>
      <c r="P18">
        <f>IF(ISNUMBER($G18),IF($G18&lt;1,$G18,(INT($G18/100)*60+MOD($G18,100))/1440),IFERROR(TIMEVALUE(SUBSTITUTE($G18,"：",":")),""))</f>
        <v/>
      </c>
      <c r="Q18">
        <f>IF(ISNUMBER($H18),IF($H18&lt;1,$H18,(INT($H18/100)*60+MOD($H18,100))/1440),IFERROR(TIMEVALUE(SUBSTITUTE($H18,"：",":")),""))</f>
        <v/>
      </c>
      <c r="R18">
        <f>IF(ISNUMBER($I18),IF($I18&lt;1,$I18,(INT($I18/100)*60+MOD($I18,100))/1440),IFERROR(TIMEVALUE(SUBSTITUTE($I18,"：",":")),""))</f>
        <v/>
      </c>
      <c r="S18">
        <f>IF(ISNUMBER($J18),IF($J18&lt;1,$J18,(INT($J18/100)*60+MOD($J18,100))/1440),IFERROR(TIMEVALUE(SUBSTITUTE($J18,"：",":")),""))</f>
        <v/>
      </c>
      <c r="T18">
        <f>IF(OR($N18="",$O18=""),"",MAX(0,MOD($O18-$N18,1)-MAX(0,MIN($O18,13/24)-MAX($N18,0.5))))</f>
        <v/>
      </c>
      <c r="U18">
        <f>IF($A18="","",IF(ISNUMBER(MATCH($A18,祝日リスト!$A$2:$A$40,0)),"祝",IF(WEEKDAY($A18,2)=6,"土",IF(WEEKDAY($A18,2)=7,"日","平"))))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IF(ISNUMBER($D19),IF($D19&lt;1,$D19,(INT($D19/100)*60+MOD($D19,100))/1440),IFERROR(TIMEVALUE(SUBSTITUTE($D19,"：",":")),""))</f>
        <v/>
      </c>
      <c r="O19" s="35">
        <f>IF(ISNUMBER($F19),IF($F19&lt;1,$F19,(INT($F19/100)*60+MOD($F19,100))/1440),IFERROR(TIMEVALUE(SUBSTITUTE($F19,"：",":")),""))</f>
        <v/>
      </c>
      <c r="P19">
        <f>IF(ISNUMBER($G19),IF($G19&lt;1,$G19,(INT($G19/100)*60+MOD($G19,100))/1440),IFERROR(TIMEVALUE(SUBSTITUTE($G19,"：",":")),""))</f>
        <v/>
      </c>
      <c r="Q19">
        <f>IF(ISNUMBER($H19),IF($H19&lt;1,$H19,(INT($H19/100)*60+MOD($H19,100))/1440),IFERROR(TIMEVALUE(SUBSTITUTE($H19,"：",":")),""))</f>
        <v/>
      </c>
      <c r="R19">
        <f>IF(ISNUMBER($I19),IF($I19&lt;1,$I19,(INT($I19/100)*60+MOD($I19,100))/1440),IFERROR(TIMEVALUE(SUBSTITUTE($I19,"：",":")),""))</f>
        <v/>
      </c>
      <c r="S19">
        <f>IF(ISNUMBER($J19),IF($J19&lt;1,$J19,(INT($J19/100)*60+MOD($J19,100))/1440),IFERROR(TIMEVALUE(SUBSTITUTE($J19,"：",":")),""))</f>
        <v/>
      </c>
      <c r="T19">
        <f>IF(OR($N19="",$O19=""),"",MAX(0,MOD($O19-$N19,1)-MAX(0,MIN($O19,13/24)-MAX($N19,0.5))))</f>
        <v/>
      </c>
      <c r="U19">
        <f>IF($A19="","",IF(ISNUMBER(MATCH($A19,祝日リスト!$A$2:$A$40,0)),"祝",IF(WEEKDAY($A19,2)=6,"土",IF(WEEKDAY($A19,2)=7,"日","平"))))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IF(ISNUMBER($D20),IF($D20&lt;1,$D20,(INT($D20/100)*60+MOD($D20,100))/1440),IFERROR(TIMEVALUE(SUBSTITUTE($D20,"：",":")),""))</f>
        <v/>
      </c>
      <c r="O20" s="35">
        <f>IF(ISNUMBER($F20),IF($F20&lt;1,$F20,(INT($F20/100)*60+MOD($F20,100))/1440),IFERROR(TIMEVALUE(SUBSTITUTE($F20,"：",":")),""))</f>
        <v/>
      </c>
      <c r="P20">
        <f>IF(ISNUMBER($G20),IF($G20&lt;1,$G20,(INT($G20/100)*60+MOD($G20,100))/1440),IFERROR(TIMEVALUE(SUBSTITUTE($G20,"：",":")),""))</f>
        <v/>
      </c>
      <c r="Q20">
        <f>IF(ISNUMBER($H20),IF($H20&lt;1,$H20,(INT($H20/100)*60+MOD($H20,100))/1440),IFERROR(TIMEVALUE(SUBSTITUTE($H20,"：",":")),""))</f>
        <v/>
      </c>
      <c r="R20">
        <f>IF(ISNUMBER($I20),IF($I20&lt;1,$I20,(INT($I20/100)*60+MOD($I20,100))/1440),IFERROR(TIMEVALUE(SUBSTITUTE($I20,"：",":")),""))</f>
        <v/>
      </c>
      <c r="S20">
        <f>IF(ISNUMBER($J20),IF($J20&lt;1,$J20,(INT($J20/100)*60+MOD($J20,100))/1440),IFERROR(TIMEVALUE(SUBSTITUTE($J20,"：",":")),""))</f>
        <v/>
      </c>
      <c r="T20">
        <f>IF(OR($N20="",$O20=""),"",MAX(0,MOD($O20-$N20,1)-MAX(0,MIN($O20,13/24)-MAX($N20,0.5))))</f>
        <v/>
      </c>
      <c r="U20">
        <f>IF($A20="","",IF(ISNUMBER(MATCH($A20,祝日リスト!$A$2:$A$40,0)),"祝",IF(WEEKDAY($A20,2)=6,"土",IF(WEEKDAY($A20,2)=7,"日","平"))))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IF(ISNUMBER($D21),IF($D21&lt;1,$D21,(INT($D21/100)*60+MOD($D21,100))/1440),IFERROR(TIMEVALUE(SUBSTITUTE($D21,"：",":")),""))</f>
        <v/>
      </c>
      <c r="O21" s="35">
        <f>IF(ISNUMBER($F21),IF($F21&lt;1,$F21,(INT($F21/100)*60+MOD($F21,100))/1440),IFERROR(TIMEVALUE(SUBSTITUTE($F21,"：",":")),""))</f>
        <v/>
      </c>
      <c r="P21">
        <f>IF(ISNUMBER($G21),IF($G21&lt;1,$G21,(INT($G21/100)*60+MOD($G21,100))/1440),IFERROR(TIMEVALUE(SUBSTITUTE($G21,"：",":")),""))</f>
        <v/>
      </c>
      <c r="Q21">
        <f>IF(ISNUMBER($H21),IF($H21&lt;1,$H21,(INT($H21/100)*60+MOD($H21,100))/1440),IFERROR(TIMEVALUE(SUBSTITUTE($H21,"：",":")),""))</f>
        <v/>
      </c>
      <c r="R21">
        <f>IF(ISNUMBER($I21),IF($I21&lt;1,$I21,(INT($I21/100)*60+MOD($I21,100))/1440),IFERROR(TIMEVALUE(SUBSTITUTE($I21,"：",":")),""))</f>
        <v/>
      </c>
      <c r="S21">
        <f>IF(ISNUMBER($J21),IF($J21&lt;1,$J21,(INT($J21/100)*60+MOD($J21,100))/1440),IFERROR(TIMEVALUE(SUBSTITUTE($J21,"：",":")),""))</f>
        <v/>
      </c>
      <c r="T21">
        <f>IF(OR($N21="",$O21=""),"",MAX(0,MOD($O21-$N21,1)-MAX(0,MIN($O21,13/24)-MAX($N21,0.5))))</f>
        <v/>
      </c>
      <c r="U21">
        <f>IF($A21="","",IF(ISNUMBER(MATCH($A21,祝日リスト!$A$2:$A$40,0)),"祝",IF(WEEKDAY($A21,2)=6,"土",IF(WEEKDAY($A21,2)=7,"日","平"))))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IF(ISNUMBER($D22),IF($D22&lt;1,$D22,(INT($D22/100)*60+MOD($D22,100))/1440),IFERROR(TIMEVALUE(SUBSTITUTE($D22,"：",":")),""))</f>
        <v/>
      </c>
      <c r="O22" s="35">
        <f>IF(ISNUMBER($F22),IF($F22&lt;1,$F22,(INT($F22/100)*60+MOD($F22,100))/1440),IFERROR(TIMEVALUE(SUBSTITUTE($F22,"：",":")),""))</f>
        <v/>
      </c>
      <c r="P22" s="4">
        <f>IF(ISNUMBER($G22),IF($G22&lt;1,$G22,(INT($G22/100)*60+MOD($G22,100))/1440),IFERROR(TIMEVALUE(SUBSTITUTE($G22,"：",":")),""))</f>
        <v/>
      </c>
      <c r="Q22" s="4">
        <f>IF(ISNUMBER($H22),IF($H22&lt;1,$H22,(INT($H22/100)*60+MOD($H22,100))/1440),IFERROR(TIMEVALUE(SUBSTITUTE($H22,"：",":")),""))</f>
        <v/>
      </c>
      <c r="R22" s="4">
        <f>IF(ISNUMBER($I22),IF($I22&lt;1,$I22,(INT($I22/100)*60+MOD($I22,100))/1440),IFERROR(TIMEVALUE(SUBSTITUTE($I22,"：",":")),""))</f>
        <v/>
      </c>
      <c r="S22" s="4">
        <f>IF(ISNUMBER($J22),IF($J22&lt;1,$J22,(INT($J22/100)*60+MOD($J22,100))/1440),IFERROR(TIMEVALUE(SUBSTITUTE($J22,"：",":")),""))</f>
        <v/>
      </c>
      <c r="T22" s="4">
        <f>IF(OR($N22="",$O22=""),"",MAX(0,MOD($O22-$N22,1)-MAX(0,MIN($O22,13/24)-MAX($N22,0.5))))</f>
        <v/>
      </c>
      <c r="U22" s="4">
        <f>IF($A22="","",IF(ISNUMBER(MATCH($A22,祝日リスト!$A$2:$A$40,0)),"祝",IF(WEEKDAY($A22,2)=6,"土",IF(WEEKDAY($A22,2)=7,"日","平"))))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IF(ISNUMBER($D23),IF($D23&lt;1,$D23,(INT($D23/100)*60+MOD($D23,100))/1440),IFERROR(TIMEVALUE(SUBSTITUTE($D23,"：",":")),""))</f>
        <v/>
      </c>
      <c r="O23" s="35">
        <f>IF(ISNUMBER($F23),IF($F23&lt;1,$F23,(INT($F23/100)*60+MOD($F23,100))/1440),IFERROR(TIMEVALUE(SUBSTITUTE($F23,"：",":")),""))</f>
        <v/>
      </c>
      <c r="P23">
        <f>IF(ISNUMBER($G23),IF($G23&lt;1,$G23,(INT($G23/100)*60+MOD($G23,100))/1440),IFERROR(TIMEVALUE(SUBSTITUTE($G23,"：",":")),""))</f>
        <v/>
      </c>
      <c r="Q23">
        <f>IF(ISNUMBER($H23),IF($H23&lt;1,$H23,(INT($H23/100)*60+MOD($H23,100))/1440),IFERROR(TIMEVALUE(SUBSTITUTE($H23,"：",":")),""))</f>
        <v/>
      </c>
      <c r="R23">
        <f>IF(ISNUMBER($I23),IF($I23&lt;1,$I23,(INT($I23/100)*60+MOD($I23,100))/1440),IFERROR(TIMEVALUE(SUBSTITUTE($I23,"：",":")),""))</f>
        <v/>
      </c>
      <c r="S23">
        <f>IF(ISNUMBER($J23),IF($J23&lt;1,$J23,(INT($J23/100)*60+MOD($J23,100))/1440),IFERROR(TIMEVALUE(SUBSTITUTE($J23,"：",":")),""))</f>
        <v/>
      </c>
      <c r="T23">
        <f>IF(OR($N23="",$O23=""),"",MAX(0,MOD($O23-$N23,1)-MAX(0,MIN($O23,13/24)-MAX($N23,0.5))))</f>
        <v/>
      </c>
      <c r="U23">
        <f>IF($A23="","",IF(ISNUMBER(MATCH($A23,祝日リスト!$A$2:$A$40,0)),"祝",IF(WEEKDAY($A23,2)=6,"土",IF(WEEKDAY($A23,2)=7,"日","平"))))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IF(ISNUMBER($D24),IF($D24&lt;1,$D24,(INT($D24/100)*60+MOD($D24,100))/1440),IFERROR(TIMEVALUE(SUBSTITUTE($D24,"：",":")),""))</f>
        <v/>
      </c>
      <c r="O24" s="35">
        <f>IF(ISNUMBER($F24),IF($F24&lt;1,$F24,(INT($F24/100)*60+MOD($F24,100))/1440),IFERROR(TIMEVALUE(SUBSTITUTE($F24,"：",":")),""))</f>
        <v/>
      </c>
      <c r="P24">
        <f>IF(ISNUMBER($G24),IF($G24&lt;1,$G24,(INT($G24/100)*60+MOD($G24,100))/1440),IFERROR(TIMEVALUE(SUBSTITUTE($G24,"：",":")),""))</f>
        <v/>
      </c>
      <c r="Q24">
        <f>IF(ISNUMBER($H24),IF($H24&lt;1,$H24,(INT($H24/100)*60+MOD($H24,100))/1440),IFERROR(TIMEVALUE(SUBSTITUTE($H24,"：",":")),""))</f>
        <v/>
      </c>
      <c r="R24">
        <f>IF(ISNUMBER($I24),IF($I24&lt;1,$I24,(INT($I24/100)*60+MOD($I24,100))/1440),IFERROR(TIMEVALUE(SUBSTITUTE($I24,"：",":")),""))</f>
        <v/>
      </c>
      <c r="S24">
        <f>IF(ISNUMBER($J24),IF($J24&lt;1,$J24,(INT($J24/100)*60+MOD($J24,100))/1440),IFERROR(TIMEVALUE(SUBSTITUTE($J24,"：",":")),""))</f>
        <v/>
      </c>
      <c r="T24">
        <f>IF(OR($N24="",$O24=""),"",MAX(0,MOD($O24-$N24,1)-MAX(0,MIN($O24,13/24)-MAX($N24,0.5))))</f>
        <v/>
      </c>
      <c r="U24">
        <f>IF($A24="","",IF(ISNUMBER(MATCH($A24,祝日リスト!$A$2:$A$40,0)),"祝",IF(WEEKDAY($A24,2)=6,"土",IF(WEEKDAY($A24,2)=7,"日","平"))))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IF(ISNUMBER($D25),IF($D25&lt;1,$D25,(INT($D25/100)*60+MOD($D25,100))/1440),IFERROR(TIMEVALUE(SUBSTITUTE($D25,"：",":")),""))</f>
        <v/>
      </c>
      <c r="O25" s="35">
        <f>IF(ISNUMBER($F25),IF($F25&lt;1,$F25,(INT($F25/100)*60+MOD($F25,100))/1440),IFERROR(TIMEVALUE(SUBSTITUTE($F25,"：",":")),""))</f>
        <v/>
      </c>
      <c r="P25">
        <f>IF(ISNUMBER($G25),IF($G25&lt;1,$G25,(INT($G25/100)*60+MOD($G25,100))/1440),IFERROR(TIMEVALUE(SUBSTITUTE($G25,"：",":")),""))</f>
        <v/>
      </c>
      <c r="Q25">
        <f>IF(ISNUMBER($H25),IF($H25&lt;1,$H25,(INT($H25/100)*60+MOD($H25,100))/1440),IFERROR(TIMEVALUE(SUBSTITUTE($H25,"：",":")),""))</f>
        <v/>
      </c>
      <c r="R25">
        <f>IF(ISNUMBER($I25),IF($I25&lt;1,$I25,(INT($I25/100)*60+MOD($I25,100))/1440),IFERROR(TIMEVALUE(SUBSTITUTE($I25,"：",":")),""))</f>
        <v/>
      </c>
      <c r="S25">
        <f>IF(ISNUMBER($J25),IF($J25&lt;1,$J25,(INT($J25/100)*60+MOD($J25,100))/1440),IFERROR(TIMEVALUE(SUBSTITUTE($J25,"：",":")),""))</f>
        <v/>
      </c>
      <c r="T25">
        <f>IF(OR($N25="",$O25=""),"",MAX(0,MOD($O25-$N25,1)-MAX(0,MIN($O25,13/24)-MAX($N25,0.5))))</f>
        <v/>
      </c>
      <c r="U25">
        <f>IF($A25="","",IF(ISNUMBER(MATCH($A25,祝日リスト!$A$2:$A$40,0)),"祝",IF(WEEKDAY($A25,2)=6,"土",IF(WEEKDAY($A25,2)=7,"日","平"))))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IF(ISNUMBER($D26),IF($D26&lt;1,$D26,(INT($D26/100)*60+MOD($D26,100))/1440),IFERROR(TIMEVALUE(SUBSTITUTE($D26,"：",":")),""))</f>
        <v/>
      </c>
      <c r="O26" s="35">
        <f>IF(ISNUMBER($F26),IF($F26&lt;1,$F26,(INT($F26/100)*60+MOD($F26,100))/1440),IFERROR(TIMEVALUE(SUBSTITUTE($F26,"：",":")),""))</f>
        <v/>
      </c>
      <c r="P26" s="4">
        <f>IF(ISNUMBER($G26),IF($G26&lt;1,$G26,(INT($G26/100)*60+MOD($G26,100))/1440),IFERROR(TIMEVALUE(SUBSTITUTE($G26,"：",":")),""))</f>
        <v/>
      </c>
      <c r="Q26" s="4">
        <f>IF(ISNUMBER($H26),IF($H26&lt;1,$H26,(INT($H26/100)*60+MOD($H26,100))/1440),IFERROR(TIMEVALUE(SUBSTITUTE($H26,"：",":")),""))</f>
        <v/>
      </c>
      <c r="R26" s="4">
        <f>IF(ISNUMBER($I26),IF($I26&lt;1,$I26,(INT($I26/100)*60+MOD($I26,100))/1440),IFERROR(TIMEVALUE(SUBSTITUTE($I26,"：",":")),""))</f>
        <v/>
      </c>
      <c r="S26" s="4">
        <f>IF(ISNUMBER($J26),IF($J26&lt;1,$J26,(INT($J26/100)*60+MOD($J26,100))/1440),IFERROR(TIMEVALUE(SUBSTITUTE($J26,"：",":")),""))</f>
        <v/>
      </c>
      <c r="T26" s="4">
        <f>IF(OR($N26="",$O26=""),"",MAX(0,MOD($O26-$N26,1)-MAX(0,MIN($O26,13/24)-MAX($N26,0.5))))</f>
        <v/>
      </c>
      <c r="U26" s="4">
        <f>IF($A26="","",IF(ISNUMBER(MATCH($A26,祝日リスト!$A$2:$A$40,0)),"祝",IF(WEEKDAY($A26,2)=6,"土",IF(WEEKDAY($A26,2)=7,"日","平"))))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IF(ISNUMBER($D27),IF($D27&lt;1,$D27,(INT($D27/100)*60+MOD($D27,100))/1440),IFERROR(TIMEVALUE(SUBSTITUTE($D27,"：",":")),""))</f>
        <v/>
      </c>
      <c r="O27" s="35">
        <f>IF(ISNUMBER($F27),IF($F27&lt;1,$F27,(INT($F27/100)*60+MOD($F27,100))/1440),IFERROR(TIMEVALUE(SUBSTITUTE($F27,"：",":")),""))</f>
        <v/>
      </c>
      <c r="P27">
        <f>IF(ISNUMBER($G27),IF($G27&lt;1,$G27,(INT($G27/100)*60+MOD($G27,100))/1440),IFERROR(TIMEVALUE(SUBSTITUTE($G27,"：",":")),""))</f>
        <v/>
      </c>
      <c r="Q27">
        <f>IF(ISNUMBER($H27),IF($H27&lt;1,$H27,(INT($H27/100)*60+MOD($H27,100))/1440),IFERROR(TIMEVALUE(SUBSTITUTE($H27,"：",":")),""))</f>
        <v/>
      </c>
      <c r="R27">
        <f>IF(ISNUMBER($I27),IF($I27&lt;1,$I27,(INT($I27/100)*60+MOD($I27,100))/1440),IFERROR(TIMEVALUE(SUBSTITUTE($I27,"：",":")),""))</f>
        <v/>
      </c>
      <c r="S27">
        <f>IF(ISNUMBER($J27),IF($J27&lt;1,$J27,(INT($J27/100)*60+MOD($J27,100))/1440),IFERROR(TIMEVALUE(SUBSTITUTE($J27,"：",":")),""))</f>
        <v/>
      </c>
      <c r="T27">
        <f>IF(OR($N27="",$O27=""),"",MAX(0,MOD($O27-$N27,1)-MAX(0,MIN($O27,13/24)-MAX($N27,0.5))))</f>
        <v/>
      </c>
      <c r="U27">
        <f>IF($A27="","",IF(ISNUMBER(MATCH($A27,祝日リスト!$A$2:$A$40,0)),"祝",IF(WEEKDAY($A27,2)=6,"土",IF(WEEKDAY($A27,2)=7,"日","平"))))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IF(ISNUMBER($D28),IF($D28&lt;1,$D28,(INT($D28/100)*60+MOD($D28,100))/1440),IFERROR(TIMEVALUE(SUBSTITUTE($D28,"：",":")),""))</f>
        <v/>
      </c>
      <c r="O28" s="35">
        <f>IF(ISNUMBER($F28),IF($F28&lt;1,$F28,(INT($F28/100)*60+MOD($F28,100))/1440),IFERROR(TIMEVALUE(SUBSTITUTE($F28,"：",":")),""))</f>
        <v/>
      </c>
      <c r="P28">
        <f>IF(ISNUMBER($G28),IF($G28&lt;1,$G28,(INT($G28/100)*60+MOD($G28,100))/1440),IFERROR(TIMEVALUE(SUBSTITUTE($G28,"：",":")),""))</f>
        <v/>
      </c>
      <c r="Q28">
        <f>IF(ISNUMBER($H28),IF($H28&lt;1,$H28,(INT($H28/100)*60+MOD($H28,100))/1440),IFERROR(TIMEVALUE(SUBSTITUTE($H28,"：",":")),""))</f>
        <v/>
      </c>
      <c r="R28">
        <f>IF(ISNUMBER($I28),IF($I28&lt;1,$I28,(INT($I28/100)*60+MOD($I28,100))/1440),IFERROR(TIMEVALUE(SUBSTITUTE($I28,"：",":")),""))</f>
        <v/>
      </c>
      <c r="S28">
        <f>IF(ISNUMBER($J28),IF($J28&lt;1,$J28,(INT($J28/100)*60+MOD($J28,100))/1440),IFERROR(TIMEVALUE(SUBSTITUTE($J28,"：",":")),""))</f>
        <v/>
      </c>
      <c r="T28">
        <f>IF(OR($N28="",$O28=""),"",MAX(0,MOD($O28-$N28,1)-MAX(0,MIN($O28,13/24)-MAX($N28,0.5))))</f>
        <v/>
      </c>
      <c r="U28">
        <f>IF($A28="","",IF(ISNUMBER(MATCH($A28,祝日リスト!$A$2:$A$40,0)),"祝",IF(WEEKDAY($A28,2)=6,"土",IF(WEEKDAY($A28,2)=7,"日","平"))))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IF(ISNUMBER($D29),IF($D29&lt;1,$D29,(INT($D29/100)*60+MOD($D29,100))/1440),IFERROR(TIMEVALUE(SUBSTITUTE($D29,"：",":")),""))</f>
        <v/>
      </c>
      <c r="O29" s="35">
        <f>IF(ISNUMBER($F29),IF($F29&lt;1,$F29,(INT($F29/100)*60+MOD($F29,100))/1440),IFERROR(TIMEVALUE(SUBSTITUTE($F29,"：",":")),""))</f>
        <v/>
      </c>
      <c r="P29">
        <f>IF(ISNUMBER($G29),IF($G29&lt;1,$G29,(INT($G29/100)*60+MOD($G29,100))/1440),IFERROR(TIMEVALUE(SUBSTITUTE($G29,"：",":")),""))</f>
        <v/>
      </c>
      <c r="Q29">
        <f>IF(ISNUMBER($H29),IF($H29&lt;1,$H29,(INT($H29/100)*60+MOD($H29,100))/1440),IFERROR(TIMEVALUE(SUBSTITUTE($H29,"：",":")),""))</f>
        <v/>
      </c>
      <c r="R29">
        <f>IF(ISNUMBER($I29),IF($I29&lt;1,$I29,(INT($I29/100)*60+MOD($I29,100))/1440),IFERROR(TIMEVALUE(SUBSTITUTE($I29,"：",":")),""))</f>
        <v/>
      </c>
      <c r="S29">
        <f>IF(ISNUMBER($J29),IF($J29&lt;1,$J29,(INT($J29/100)*60+MOD($J29,100))/1440),IFERROR(TIMEVALUE(SUBSTITUTE($J29,"：",":")),""))</f>
        <v/>
      </c>
      <c r="T29">
        <f>IF(OR($N29="",$O29=""),"",MAX(0,MOD($O29-$N29,1)-MAX(0,MIN($O29,13/24)-MAX($N29,0.5))))</f>
        <v/>
      </c>
      <c r="U29">
        <f>IF($A29="","",IF(ISNUMBER(MATCH($A29,祝日リスト!$A$2:$A$40,0)),"祝",IF(WEEKDAY($A29,2)=6,"土",IF(WEEKDAY($A29,2)=7,"日","平"))))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IF(ISNUMBER($D30),IF($D30&lt;1,$D30,(INT($D30/100)*60+MOD($D30,100))/1440),IFERROR(TIMEVALUE(SUBSTITUTE($D30,"：",":")),""))</f>
        <v/>
      </c>
      <c r="O30" s="35">
        <f>IF(ISNUMBER($F30),IF($F30&lt;1,$F30,(INT($F30/100)*60+MOD($F30,100))/1440),IFERROR(TIMEVALUE(SUBSTITUTE($F30,"：",":")),""))</f>
        <v/>
      </c>
      <c r="P30">
        <f>IF(ISNUMBER($G30),IF($G30&lt;1,$G30,(INT($G30/100)*60+MOD($G30,100))/1440),IFERROR(TIMEVALUE(SUBSTITUTE($G30,"：",":")),""))</f>
        <v/>
      </c>
      <c r="Q30">
        <f>IF(ISNUMBER($H30),IF($H30&lt;1,$H30,(INT($H30/100)*60+MOD($H30,100))/1440),IFERROR(TIMEVALUE(SUBSTITUTE($H30,"：",":")),""))</f>
        <v/>
      </c>
      <c r="R30">
        <f>IF(ISNUMBER($I30),IF($I30&lt;1,$I30,(INT($I30/100)*60+MOD($I30,100))/1440),IFERROR(TIMEVALUE(SUBSTITUTE($I30,"：",":")),""))</f>
        <v/>
      </c>
      <c r="S30">
        <f>IF(ISNUMBER($J30),IF($J30&lt;1,$J30,(INT($J30/100)*60+MOD($J30,100))/1440),IFERROR(TIMEVALUE(SUBSTITUTE($J30,"：",":")),""))</f>
        <v/>
      </c>
      <c r="T30">
        <f>IF(OR($N30="",$O30=""),"",MAX(0,MOD($O30-$N30,1)-MAX(0,MIN($O30,13/24)-MAX($N30,0.5))))</f>
        <v/>
      </c>
      <c r="U30">
        <f>IF($A30="","",IF(ISNUMBER(MATCH($A30,祝日リスト!$A$2:$A$40,0)),"祝",IF(WEEKDAY($A30,2)=6,"土",IF(WEEKDAY($A30,2)=7,"日","平"))))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IF(ISNUMBER($D31),IF($D31&lt;1,$D31,(INT($D31/100)*60+MOD($D31,100))/1440),IFERROR(TIMEVALUE(SUBSTITUTE($D31,"：",":")),""))</f>
        <v/>
      </c>
      <c r="O31" s="35">
        <f>IF(ISNUMBER($F31),IF($F31&lt;1,$F31,(INT($F31/100)*60+MOD($F31,100))/1440),IFERROR(TIMEVALUE(SUBSTITUTE($F31,"：",":")),""))</f>
        <v/>
      </c>
      <c r="P31">
        <f>IF(ISNUMBER($G31),IF($G31&lt;1,$G31,(INT($G31/100)*60+MOD($G31,100))/1440),IFERROR(TIMEVALUE(SUBSTITUTE($G31,"：",":")),""))</f>
        <v/>
      </c>
      <c r="Q31">
        <f>IF(ISNUMBER($H31),IF($H31&lt;1,$H31,(INT($H31/100)*60+MOD($H31,100))/1440),IFERROR(TIMEVALUE(SUBSTITUTE($H31,"：",":")),""))</f>
        <v/>
      </c>
      <c r="R31">
        <f>IF(ISNUMBER($I31),IF($I31&lt;1,$I31,(INT($I31/100)*60+MOD($I31,100))/1440),IFERROR(TIMEVALUE(SUBSTITUTE($I31,"：",":")),""))</f>
        <v/>
      </c>
      <c r="S31">
        <f>IF(ISNUMBER($J31),IF($J31&lt;1,$J31,(INT($J31/100)*60+MOD($J31,100))/1440),IFERROR(TIMEVALUE(SUBSTITUTE($J31,"：",":")),""))</f>
        <v/>
      </c>
      <c r="T31">
        <f>IF(OR($N31="",$O31=""),"",MAX(0,MOD($O31-$N31,1)-MAX(0,MIN($O31,13/24)-MAX($N31,0.5))))</f>
        <v/>
      </c>
      <c r="U31">
        <f>IF($A31="","",IF(ISNUMBER(MATCH($A31,祝日リスト!$A$2:$A$40,0)),"祝",IF(WEEKDAY($A31,2)=6,"土",IF(WEEKDAY($A31,2)=7,"日","平"))))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IF(ISNUMBER($D32),IF($D32&lt;1,$D32,(INT($D32/100)*60+MOD($D32,100))/1440),IFERROR(TIMEVALUE(SUBSTITUTE($D32,"：",":")),""))</f>
        <v/>
      </c>
      <c r="O32" s="35">
        <f>IF(ISNUMBER($F32),IF($F32&lt;1,$F32,(INT($F32/100)*60+MOD($F32,100))/1440),IFERROR(TIMEVALUE(SUBSTITUTE($F32,"：",":")),""))</f>
        <v/>
      </c>
      <c r="P32">
        <f>IF(ISNUMBER($G32),IF($G32&lt;1,$G32,(INT($G32/100)*60+MOD($G32,100))/1440),IFERROR(TIMEVALUE(SUBSTITUTE($G32,"：",":")),""))</f>
        <v/>
      </c>
      <c r="Q32">
        <f>IF(ISNUMBER($H32),IF($H32&lt;1,$H32,(INT($H32/100)*60+MOD($H32,100))/1440),IFERROR(TIMEVALUE(SUBSTITUTE($H32,"：",":")),""))</f>
        <v/>
      </c>
      <c r="R32">
        <f>IF(ISNUMBER($I32),IF($I32&lt;1,$I32,(INT($I32/100)*60+MOD($I32,100))/1440),IFERROR(TIMEVALUE(SUBSTITUTE($I32,"：",":")),""))</f>
        <v/>
      </c>
      <c r="S32">
        <f>IF(ISNUMBER($J32),IF($J32&lt;1,$J32,(INT($J32/100)*60+MOD($J32,100))/1440),IFERROR(TIMEVALUE(SUBSTITUTE($J32,"：",":")),""))</f>
        <v/>
      </c>
      <c r="T32">
        <f>IF(OR($N32="",$O32=""),"",MAX(0,MOD($O32-$N32,1)-MAX(0,MIN($O32,13/24)-MAX($N32,0.5))))</f>
        <v/>
      </c>
      <c r="U32">
        <f>IF($A32="","",IF(ISNUMBER(MATCH($A32,祝日リスト!$A$2:$A$40,0)),"祝",IF(WEEKDAY($A32,2)=6,"土",IF(WEEKDAY($A32,2)=7,"日","平"))))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IF(ISNUMBER($D33),IF($D33&lt;1,$D33,(INT($D33/100)*60+MOD($D33,100))/1440),IFERROR(TIMEVALUE(SUBSTITUTE($D33,"：",":")),""))</f>
        <v/>
      </c>
      <c r="O33" s="35">
        <f>IF(ISNUMBER($F33),IF($F33&lt;1,$F33,(INT($F33/100)*60+MOD($F33,100))/1440),IFERROR(TIMEVALUE(SUBSTITUTE($F33,"：",":")),""))</f>
        <v/>
      </c>
      <c r="P33">
        <f>IF(ISNUMBER($G33),IF($G33&lt;1,$G33,(INT($G33/100)*60+MOD($G33,100))/1440),IFERROR(TIMEVALUE(SUBSTITUTE($G33,"：",":")),""))</f>
        <v/>
      </c>
      <c r="Q33">
        <f>IF(ISNUMBER($H33),IF($H33&lt;1,$H33,(INT($H33/100)*60+MOD($H33,100))/1440),IFERROR(TIMEVALUE(SUBSTITUTE($H33,"：",":")),""))</f>
        <v/>
      </c>
      <c r="R33">
        <f>IF(ISNUMBER($I33),IF($I33&lt;1,$I33,(INT($I33/100)*60+MOD($I33,100))/1440),IFERROR(TIMEVALUE(SUBSTITUTE($I33,"：",":")),""))</f>
        <v/>
      </c>
      <c r="S33">
        <f>IF(ISNUMBER($J33),IF($J33&lt;1,$J33,(INT($J33/100)*60+MOD($J33,100))/1440),IFERROR(TIMEVALUE(SUBSTITUTE($J33,"：",":")),""))</f>
        <v/>
      </c>
      <c r="T33">
        <f>IF(OR($N33="",$O33=""),"",MAX(0,MOD($O33-$N33,1)-MAX(0,MIN($O33,13/24)-MAX($N33,0.5))))</f>
        <v/>
      </c>
      <c r="U33">
        <f>IF($A33="","",IF(ISNUMBER(MATCH($A33,祝日リスト!$A$2:$A$40,0)),"祝",IF(WEEKDAY($A33,2)=6,"土",IF(WEEKDAY($A33,2)=7,"日","平"))))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IF(ISNUMBER($D34),IF($D34&lt;1,$D34,(INT($D34/100)*60+MOD($D34,100))/1440),IFERROR(TIMEVALUE(SUBSTITUTE($D34,"：",":")),""))</f>
        <v/>
      </c>
      <c r="O34" s="35">
        <f>IF(ISNUMBER($F34),IF($F34&lt;1,$F34,(INT($F34/100)*60+MOD($F34,100))/1440),IFERROR(TIMEVALUE(SUBSTITUTE($F34,"：",":")),""))</f>
        <v/>
      </c>
      <c r="P34">
        <f>IF(ISNUMBER($G34),IF($G34&lt;1,$G34,(INT($G34/100)*60+MOD($G34,100))/1440),IFERROR(TIMEVALUE(SUBSTITUTE($G34,"：",":")),""))</f>
        <v/>
      </c>
      <c r="Q34">
        <f>IF(ISNUMBER($H34),IF($H34&lt;1,$H34,(INT($H34/100)*60+MOD($H34,100))/1440),IFERROR(TIMEVALUE(SUBSTITUTE($H34,"：",":")),""))</f>
        <v/>
      </c>
      <c r="R34">
        <f>IF(ISNUMBER($I34),IF($I34&lt;1,$I34,(INT($I34/100)*60+MOD($I34,100))/1440),IFERROR(TIMEVALUE(SUBSTITUTE($I34,"：",":")),""))</f>
        <v/>
      </c>
      <c r="S34">
        <f>IF(ISNUMBER($J34),IF($J34&lt;1,$J34,(INT($J34/100)*60+MOD($J34,100))/1440),IFERROR(TIMEVALUE(SUBSTITUTE($J34,"：",":")),""))</f>
        <v/>
      </c>
      <c r="T34">
        <f>IF(OR($N34="",$O34=""),"",MAX(0,MOD($O34-$N34,1)-MAX(0,MIN($O34,13/24)-MAX($N34,0.5))))</f>
        <v/>
      </c>
      <c r="U34">
        <f>IF($A34="","",IF(ISNUMBER(MATCH($A34,祝日リスト!$A$2:$A$40,0)),"祝",IF(WEEKDAY($A34,2)=6,"土",IF(WEEKDAY($A34,2)=7,"日","平"))))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IF(ISNUMBER($D35),IF($D35&lt;1,$D35,(INT($D35/100)*60+MOD($D35,100))/1440),IFERROR(TIMEVALUE(SUBSTITUTE($D35,"：",":")),""))</f>
        <v/>
      </c>
      <c r="O35" s="35">
        <f>IF(ISNUMBER($F35),IF($F35&lt;1,$F35,(INT($F35/100)*60+MOD($F35,100))/1440),IFERROR(TIMEVALUE(SUBSTITUTE($F35,"：",":")),""))</f>
        <v/>
      </c>
      <c r="P35">
        <f>IF(ISNUMBER($G35),IF($G35&lt;1,$G35,(INT($G35/100)*60+MOD($G35,100))/1440),IFERROR(TIMEVALUE(SUBSTITUTE($G35,"：",":")),""))</f>
        <v/>
      </c>
      <c r="Q35">
        <f>IF(ISNUMBER($H35),IF($H35&lt;1,$H35,(INT($H35/100)*60+MOD($H35,100))/1440),IFERROR(TIMEVALUE(SUBSTITUTE($H35,"：",":")),""))</f>
        <v/>
      </c>
      <c r="R35">
        <f>IF(ISNUMBER($I35),IF($I35&lt;1,$I35,(INT($I35/100)*60+MOD($I35,100))/1440),IFERROR(TIMEVALUE(SUBSTITUTE($I35,"：",":")),""))</f>
        <v/>
      </c>
      <c r="S35">
        <f>IF(ISNUMBER($J35),IF($J35&lt;1,$J35,(INT($J35/100)*60+MOD($J35,100))/1440),IFERROR(TIMEVALUE(SUBSTITUTE($J35,"：",":")),""))</f>
        <v/>
      </c>
      <c r="T35">
        <f>IF(OR($N35="",$O35=""),"",MAX(0,MOD($O35-$N35,1)-MAX(0,MIN($O35,13/24)-MAX($N35,0.5))))</f>
        <v/>
      </c>
      <c r="U35">
        <f>IF($A35="","",IF(ISNUMBER(MATCH($A35,祝日リスト!$A$2:$A$40,0)),"祝",IF(WEEKDAY($A35,2)=6,"土",IF(WEEKDAY($A35,2)=7,"日","平"))))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IF(ISNUMBER($D36),IF($D36&lt;1,$D36,(INT($D36/100)*60+MOD($D36,100))/1440),IFERROR(TIMEVALUE(SUBSTITUTE($D36,"：",":")),""))</f>
        <v/>
      </c>
      <c r="O36" s="35">
        <f>IF(ISNUMBER($F36),IF($F36&lt;1,$F36,(INT($F36/100)*60+MOD($F36,100))/1440),IFERROR(TIMEVALUE(SUBSTITUTE($F36,"：",":")),""))</f>
        <v/>
      </c>
      <c r="P36">
        <f>IF(ISNUMBER($G36),IF($G36&lt;1,$G36,(INT($G36/100)*60+MOD($G36,100))/1440),IFERROR(TIMEVALUE(SUBSTITUTE($G36,"：",":")),""))</f>
        <v/>
      </c>
      <c r="Q36">
        <f>IF(ISNUMBER($H36),IF($H36&lt;1,$H36,(INT($H36/100)*60+MOD($H36,100))/1440),IFERROR(TIMEVALUE(SUBSTITUTE($H36,"：",":")),""))</f>
        <v/>
      </c>
      <c r="R36">
        <f>IF(ISNUMBER($I36),IF($I36&lt;1,$I36,(INT($I36/100)*60+MOD($I36,100))/1440),IFERROR(TIMEVALUE(SUBSTITUTE($I36,"：",":")),""))</f>
        <v/>
      </c>
      <c r="S36">
        <f>IF(ISNUMBER($J36),IF($J36&lt;1,$J36,(INT($J36/100)*60+MOD($J36,100))/1440),IFERROR(TIMEVALUE(SUBSTITUTE($J36,"：",":")),""))</f>
        <v/>
      </c>
      <c r="T36">
        <f>IF(OR($N36="",$O36=""),"",MAX(0,MOD($O36-$N36,1)-MAX(0,MIN($O36,13/24)-MAX($N36,0.5))))</f>
        <v/>
      </c>
      <c r="U36">
        <f>IF($A36="","",IF(ISNUMBER(MATCH($A36,祝日リスト!$A$2:$A$40,0)),"祝",IF(WEEKDAY($A36,2)=6,"土",IF(WEEKDAY($A36,2)=7,"日","平"))))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IF(ISNUMBER($D37),IF($D37&lt;1,$D37,(INT($D37/100)*60+MOD($D37,100))/1440),IFERROR(TIMEVALUE(SUBSTITUTE($D37,"：",":")),""))</f>
        <v/>
      </c>
      <c r="O37">
        <f>IF(ISNUMBER($F37),IF($F37&lt;1,$F37,(INT($F37/100)*60+MOD($F37,100))/1440),IFERROR(TIMEVALUE(SUBSTITUTE($F37,"：",":")),""))</f>
        <v/>
      </c>
      <c r="P37">
        <f>IF(ISNUMBER($G37),IF($G37&lt;1,$G37,(INT($G37/100)*60+MOD($G37,100))/1440),IFERROR(TIMEVALUE(SUBSTITUTE($G37,"：",":")),""))</f>
        <v/>
      </c>
      <c r="Q37">
        <f>IF(ISNUMBER($H37),IF($H37&lt;1,$H37,(INT($H37/100)*60+MOD($H37,100))/1440),IFERROR(TIMEVALUE(SUBSTITUTE($H37,"：",":")),""))</f>
        <v/>
      </c>
      <c r="R37">
        <f>IF(ISNUMBER($I37),IF($I37&lt;1,$I37,(INT($I37/100)*60+MOD($I37,100))/1440),IFERROR(TIMEVALUE(SUBSTITUTE($I37,"：",":")),""))</f>
        <v/>
      </c>
      <c r="S37">
        <f>IF(ISNUMBER($J37),IF($J37&lt;1,$J37,(INT($J37/100)*60+MOD($J37,100))/1440),IFERROR(TIMEVALUE(SUBSTITUTE($J37,"：",":")),""))</f>
        <v/>
      </c>
      <c r="T37">
        <f>IF(OR($N37="",$O37=""),"",MAX(0,MOD($O37-$N37,1)-MAX(0,MIN($O37,13/24)-MAX($N37,0.5))))</f>
        <v/>
      </c>
      <c r="U37">
        <f>IF($A37="","",IF(ISNUMBER(MATCH($A37,祝日リスト!$A$2:$A$40,0)),"祝",IF(WEEKDAY($A37,2)=6,"土",IF(WEEKDAY($A37,2)=7,"日","平"))))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AND($A7&lt;&gt;"",OR(WEEKDAY($A7,2)=6,WEEKDAY($A7,2)=7,WEEKDAY($A7,2)=3,ISNUMBER(MATCH($A7,祝日リスト!$A$2:$A$40,0))))</formula>
    </cfRule>
  </conditionalFormatting>
  <dataValidations count="1">
    <dataValidation sqref="D7:D37 F7:F37 G7:G37 H7:H37 I7:I37 J7:J37" showDropDown="0" showInputMessage="0" showErrorMessage="1" allowBlank="1" errorTitle="時刻の入力" error="9:30 のように、コロン付きで入力してください（全角の 9：00 でも可）。" type="custom">
      <formula1>=OR(AND(ISNUMBER(D7),D7&gt;=0,D7&lt;1),IFERROR(ISNUMBER(TIMEVALUE(SUBSTITUTE(D7,"：",":"))),FALSE))</formula1>
    </dataValidation>
  </dataValidations>
  <pageMargins left="0.25" right="0.25" top="0.75" bottom="0.75" header="0" footer="0"/>
  <pageSetup orientation="portrait" paperSize="9" scale="96" fitToWidth="0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8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IF(ISNUMBER($D7),IF($D7&lt;1,$D7,(INT($D7/100)*60+MOD($D7,100))/1440),IFERROR(TIMEVALUE(SUBSTITUTE($D7,"：",":")),""))</f>
        <v/>
      </c>
      <c r="O7">
        <f>IF(ISNUMBER($F7),IF($F7&lt;1,$F7,(INT($F7/100)*60+MOD($F7,100))/1440),IFERROR(TIMEVALUE(SUBSTITUTE($F7,"：",":")),""))</f>
        <v/>
      </c>
      <c r="P7">
        <f>IF(ISNUMBER($G7),IF($G7&lt;1,$G7,(INT($G7/100)*60+MOD($G7,100))/1440),IFERROR(TIMEVALUE(SUBSTITUTE($G7,"：",":")),""))</f>
        <v/>
      </c>
      <c r="Q7">
        <f>IF(ISNUMBER($H7),IF($H7&lt;1,$H7,(INT($H7/100)*60+MOD($H7,100))/1440),IFERROR(TIMEVALUE(SUBSTITUTE($H7,"：",":")),""))</f>
        <v/>
      </c>
      <c r="R7">
        <f>IF(ISNUMBER($I7),IF($I7&lt;1,$I7,(INT($I7/100)*60+MOD($I7,100))/1440),IFERROR(TIMEVALUE(SUBSTITUTE($I7,"：",":")),""))</f>
        <v/>
      </c>
      <c r="S7">
        <f>IF(ISNUMBER($J7),IF($J7&lt;1,$J7,(INT($J7/100)*60+MOD($J7,100))/1440),IFERROR(TIMEVALUE(SUBSTITUTE($J7,"：",":")),""))</f>
        <v/>
      </c>
      <c r="T7">
        <f>IF(OR($N7="",$O7=""),"",MAX(0,MOD($O7-$N7,1)-MAX(0,MIN($O7,13/24)-MAX($N7,0.5))))</f>
        <v/>
      </c>
      <c r="U7">
        <f>IF($A7="","",IF(ISNUMBER(MATCH($A7,祝日リスト!$A$2:$A$40,0)),"祝",IF(WEEKDAY($A7,2)=6,"土",IF(WEEKDAY($A7,2)=7,"日","平"))))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IF(ISNUMBER($D8),IF($D8&lt;1,$D8,(INT($D8/100)*60+MOD($D8,100))/1440),IFERROR(TIMEVALUE(SUBSTITUTE($D8,"：",":")),""))</f>
        <v/>
      </c>
      <c r="O8" s="35">
        <f>IF(ISNUMBER($F8),IF($F8&lt;1,$F8,(INT($F8/100)*60+MOD($F8,100))/1440),IFERROR(TIMEVALUE(SUBSTITUTE($F8,"：",":")),""))</f>
        <v/>
      </c>
      <c r="P8">
        <f>IF(ISNUMBER($G8),IF($G8&lt;1,$G8,(INT($G8/100)*60+MOD($G8,100))/1440),IFERROR(TIMEVALUE(SUBSTITUTE($G8,"：",":")),""))</f>
        <v/>
      </c>
      <c r="Q8">
        <f>IF(ISNUMBER($H8),IF($H8&lt;1,$H8,(INT($H8/100)*60+MOD($H8,100))/1440),IFERROR(TIMEVALUE(SUBSTITUTE($H8,"：",":")),""))</f>
        <v/>
      </c>
      <c r="R8">
        <f>IF(ISNUMBER($I8),IF($I8&lt;1,$I8,(INT($I8/100)*60+MOD($I8,100))/1440),IFERROR(TIMEVALUE(SUBSTITUTE($I8,"：",":")),""))</f>
        <v/>
      </c>
      <c r="S8">
        <f>IF(ISNUMBER($J8),IF($J8&lt;1,$J8,(INT($J8/100)*60+MOD($J8,100))/1440),IFERROR(TIMEVALUE(SUBSTITUTE($J8,"：",":")),""))</f>
        <v/>
      </c>
      <c r="T8">
        <f>IF(OR($N8="",$O8=""),"",MAX(0,MOD($O8-$N8,1)-MAX(0,MIN($O8,13/24)-MAX($N8,0.5))))</f>
        <v/>
      </c>
      <c r="U8">
        <f>IF($A8="","",IF(ISNUMBER(MATCH($A8,祝日リスト!$A$2:$A$40,0)),"祝",IF(WEEKDAY($A8,2)=6,"土",IF(WEEKDAY($A8,2)=7,"日","平"))))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IF(ISNUMBER($D9),IF($D9&lt;1,$D9,(INT($D9/100)*60+MOD($D9,100))/1440),IFERROR(TIMEVALUE(SUBSTITUTE($D9,"：",":")),""))</f>
        <v/>
      </c>
      <c r="O9" s="35">
        <f>IF(ISNUMBER($F9),IF($F9&lt;1,$F9,(INT($F9/100)*60+MOD($F9,100))/1440),IFERROR(TIMEVALUE(SUBSTITUTE($F9,"：",":")),""))</f>
        <v/>
      </c>
      <c r="P9">
        <f>IF(ISNUMBER($G9),IF($G9&lt;1,$G9,(INT($G9/100)*60+MOD($G9,100))/1440),IFERROR(TIMEVALUE(SUBSTITUTE($G9,"：",":")),""))</f>
        <v/>
      </c>
      <c r="Q9">
        <f>IF(ISNUMBER($H9),IF($H9&lt;1,$H9,(INT($H9/100)*60+MOD($H9,100))/1440),IFERROR(TIMEVALUE(SUBSTITUTE($H9,"：",":")),""))</f>
        <v/>
      </c>
      <c r="R9">
        <f>IF(ISNUMBER($I9),IF($I9&lt;1,$I9,(INT($I9/100)*60+MOD($I9,100))/1440),IFERROR(TIMEVALUE(SUBSTITUTE($I9,"：",":")),""))</f>
        <v/>
      </c>
      <c r="S9">
        <f>IF(ISNUMBER($J9),IF($J9&lt;1,$J9,(INT($J9/100)*60+MOD($J9,100))/1440),IFERROR(TIMEVALUE(SUBSTITUTE($J9,"：",":")),""))</f>
        <v/>
      </c>
      <c r="T9">
        <f>IF(OR($N9="",$O9=""),"",MAX(0,MOD($O9-$N9,1)-MAX(0,MIN($O9,13/24)-MAX($N9,0.5))))</f>
        <v/>
      </c>
      <c r="U9">
        <f>IF($A9="","",IF(ISNUMBER(MATCH($A9,祝日リスト!$A$2:$A$40,0)),"祝",IF(WEEKDAY($A9,2)=6,"土",IF(WEEKDAY($A9,2)=7,"日","平"))))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IF(ISNUMBER($D10),IF($D10&lt;1,$D10,(INT($D10/100)*60+MOD($D10,100))/1440),IFERROR(TIMEVALUE(SUBSTITUTE($D10,"：",":")),""))</f>
        <v/>
      </c>
      <c r="O10" s="35">
        <f>IF(ISNUMBER($F10),IF($F10&lt;1,$F10,(INT($F10/100)*60+MOD($F10,100))/1440),IFERROR(TIMEVALUE(SUBSTITUTE($F10,"：",":")),""))</f>
        <v/>
      </c>
      <c r="P10">
        <f>IF(ISNUMBER($G10),IF($G10&lt;1,$G10,(INT($G10/100)*60+MOD($G10,100))/1440),IFERROR(TIMEVALUE(SUBSTITUTE($G10,"：",":")),""))</f>
        <v/>
      </c>
      <c r="Q10">
        <f>IF(ISNUMBER($H10),IF($H10&lt;1,$H10,(INT($H10/100)*60+MOD($H10,100))/1440),IFERROR(TIMEVALUE(SUBSTITUTE($H10,"：",":")),""))</f>
        <v/>
      </c>
      <c r="R10">
        <f>IF(ISNUMBER($I10),IF($I10&lt;1,$I10,(INT($I10/100)*60+MOD($I10,100))/1440),IFERROR(TIMEVALUE(SUBSTITUTE($I10,"：",":")),""))</f>
        <v/>
      </c>
      <c r="S10">
        <f>IF(ISNUMBER($J10),IF($J10&lt;1,$J10,(INT($J10/100)*60+MOD($J10,100))/1440),IFERROR(TIMEVALUE(SUBSTITUTE($J10,"：",":")),""))</f>
        <v/>
      </c>
      <c r="T10">
        <f>IF(OR($N10="",$O10=""),"",MAX(0,MOD($O10-$N10,1)-MAX(0,MIN($O10,13/24)-MAX($N10,0.5))))</f>
        <v/>
      </c>
      <c r="U10">
        <f>IF($A10="","",IF(ISNUMBER(MATCH($A10,祝日リスト!$A$2:$A$40,0)),"祝",IF(WEEKDAY($A10,2)=6,"土",IF(WEEKDAY($A10,2)=7,"日","平"))))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IF(ISNUMBER($D11),IF($D11&lt;1,$D11,(INT($D11/100)*60+MOD($D11,100))/1440),IFERROR(TIMEVALUE(SUBSTITUTE($D11,"：",":")),""))</f>
        <v/>
      </c>
      <c r="O11" s="35">
        <f>IF(ISNUMBER($F11),IF($F11&lt;1,$F11,(INT($F11/100)*60+MOD($F11,100))/1440),IFERROR(TIMEVALUE(SUBSTITUTE($F11,"：",":")),""))</f>
        <v/>
      </c>
      <c r="P11">
        <f>IF(ISNUMBER($G11),IF($G11&lt;1,$G11,(INT($G11/100)*60+MOD($G11,100))/1440),IFERROR(TIMEVALUE(SUBSTITUTE($G11,"：",":")),""))</f>
        <v/>
      </c>
      <c r="Q11">
        <f>IF(ISNUMBER($H11),IF($H11&lt;1,$H11,(INT($H11/100)*60+MOD($H11,100))/1440),IFERROR(TIMEVALUE(SUBSTITUTE($H11,"：",":")),""))</f>
        <v/>
      </c>
      <c r="R11">
        <f>IF(ISNUMBER($I11),IF($I11&lt;1,$I11,(INT($I11/100)*60+MOD($I11,100))/1440),IFERROR(TIMEVALUE(SUBSTITUTE($I11,"：",":")),""))</f>
        <v/>
      </c>
      <c r="S11">
        <f>IF(ISNUMBER($J11),IF($J11&lt;1,$J11,(INT($J11/100)*60+MOD($J11,100))/1440),IFERROR(TIMEVALUE(SUBSTITUTE($J11,"：",":")),""))</f>
        <v/>
      </c>
      <c r="T11">
        <f>IF(OR($N11="",$O11=""),"",MAX(0,MOD($O11-$N11,1)-MAX(0,MIN($O11,13/24)-MAX($N11,0.5))))</f>
        <v/>
      </c>
      <c r="U11">
        <f>IF($A11="","",IF(ISNUMBER(MATCH($A11,祝日リスト!$A$2:$A$40,0)),"祝",IF(WEEKDAY($A11,2)=6,"土",IF(WEEKDAY($A11,2)=7,"日","平"))))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IF(ISNUMBER($D12),IF($D12&lt;1,$D12,(INT($D12/100)*60+MOD($D12,100))/1440),IFERROR(TIMEVALUE(SUBSTITUTE($D12,"：",":")),""))</f>
        <v/>
      </c>
      <c r="O12" s="35">
        <f>IF(ISNUMBER($F12),IF($F12&lt;1,$F12,(INT($F12/100)*60+MOD($F12,100))/1440),IFERROR(TIMEVALUE(SUBSTITUTE($F12,"：",":")),""))</f>
        <v/>
      </c>
      <c r="P12">
        <f>IF(ISNUMBER($G12),IF($G12&lt;1,$G12,(INT($G12/100)*60+MOD($G12,100))/1440),IFERROR(TIMEVALUE(SUBSTITUTE($G12,"：",":")),""))</f>
        <v/>
      </c>
      <c r="Q12">
        <f>IF(ISNUMBER($H12),IF($H12&lt;1,$H12,(INT($H12/100)*60+MOD($H12,100))/1440),IFERROR(TIMEVALUE(SUBSTITUTE($H12,"：",":")),""))</f>
        <v/>
      </c>
      <c r="R12">
        <f>IF(ISNUMBER($I12),IF($I12&lt;1,$I12,(INT($I12/100)*60+MOD($I12,100))/1440),IFERROR(TIMEVALUE(SUBSTITUTE($I12,"：",":")),""))</f>
        <v/>
      </c>
      <c r="S12">
        <f>IF(ISNUMBER($J12),IF($J12&lt;1,$J12,(INT($J12/100)*60+MOD($J12,100))/1440),IFERROR(TIMEVALUE(SUBSTITUTE($J12,"：",":")),""))</f>
        <v/>
      </c>
      <c r="T12">
        <f>IF(OR($N12="",$O12=""),"",MAX(0,MOD($O12-$N12,1)-MAX(0,MIN($O12,13/24)-MAX($N12,0.5))))</f>
        <v/>
      </c>
      <c r="U12">
        <f>IF($A12="","",IF(ISNUMBER(MATCH($A12,祝日リスト!$A$2:$A$40,0)),"祝",IF(WEEKDAY($A12,2)=6,"土",IF(WEEKDAY($A12,2)=7,"日","平"))))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IF(ISNUMBER($D13),IF($D13&lt;1,$D13,(INT($D13/100)*60+MOD($D13,100))/1440),IFERROR(TIMEVALUE(SUBSTITUTE($D13,"：",":")),""))</f>
        <v/>
      </c>
      <c r="O13" s="35">
        <f>IF(ISNUMBER($F13),IF($F13&lt;1,$F13,(INT($F13/100)*60+MOD($F13,100))/1440),IFERROR(TIMEVALUE(SUBSTITUTE($F13,"：",":")),""))</f>
        <v/>
      </c>
      <c r="P13">
        <f>IF(ISNUMBER($G13),IF($G13&lt;1,$G13,(INT($G13/100)*60+MOD($G13,100))/1440),IFERROR(TIMEVALUE(SUBSTITUTE($G13,"：",":")),""))</f>
        <v/>
      </c>
      <c r="Q13">
        <f>IF(ISNUMBER($H13),IF($H13&lt;1,$H13,(INT($H13/100)*60+MOD($H13,100))/1440),IFERROR(TIMEVALUE(SUBSTITUTE($H13,"：",":")),""))</f>
        <v/>
      </c>
      <c r="R13">
        <f>IF(ISNUMBER($I13),IF($I13&lt;1,$I13,(INT($I13/100)*60+MOD($I13,100))/1440),IFERROR(TIMEVALUE(SUBSTITUTE($I13,"：",":")),""))</f>
        <v/>
      </c>
      <c r="S13">
        <f>IF(ISNUMBER($J13),IF($J13&lt;1,$J13,(INT($J13/100)*60+MOD($J13,100))/1440),IFERROR(TIMEVALUE(SUBSTITUTE($J13,"：",":")),""))</f>
        <v/>
      </c>
      <c r="T13">
        <f>IF(OR($N13="",$O13=""),"",MAX(0,MOD($O13-$N13,1)-MAX(0,MIN($O13,13/24)-MAX($N13,0.5))))</f>
        <v/>
      </c>
      <c r="U13">
        <f>IF($A13="","",IF(ISNUMBER(MATCH($A13,祝日リスト!$A$2:$A$40,0)),"祝",IF(WEEKDAY($A13,2)=6,"土",IF(WEEKDAY($A13,2)=7,"日","平"))))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IF(ISNUMBER($D14),IF($D14&lt;1,$D14,(INT($D14/100)*60+MOD($D14,100))/1440),IFERROR(TIMEVALUE(SUBSTITUTE($D14,"：",":")),""))</f>
        <v/>
      </c>
      <c r="O14" s="35">
        <f>IF(ISNUMBER($F14),IF($F14&lt;1,$F14,(INT($F14/100)*60+MOD($F14,100))/1440),IFERROR(TIMEVALUE(SUBSTITUTE($F14,"：",":")),""))</f>
        <v/>
      </c>
      <c r="P14">
        <f>IF(ISNUMBER($G14),IF($G14&lt;1,$G14,(INT($G14/100)*60+MOD($G14,100))/1440),IFERROR(TIMEVALUE(SUBSTITUTE($G14,"：",":")),""))</f>
        <v/>
      </c>
      <c r="Q14">
        <f>IF(ISNUMBER($H14),IF($H14&lt;1,$H14,(INT($H14/100)*60+MOD($H14,100))/1440),IFERROR(TIMEVALUE(SUBSTITUTE($H14,"：",":")),""))</f>
        <v/>
      </c>
      <c r="R14">
        <f>IF(ISNUMBER($I14),IF($I14&lt;1,$I14,(INT($I14/100)*60+MOD($I14,100))/1440),IFERROR(TIMEVALUE(SUBSTITUTE($I14,"：",":")),""))</f>
        <v/>
      </c>
      <c r="S14">
        <f>IF(ISNUMBER($J14),IF($J14&lt;1,$J14,(INT($J14/100)*60+MOD($J14,100))/1440),IFERROR(TIMEVALUE(SUBSTITUTE($J14,"：",":")),""))</f>
        <v/>
      </c>
      <c r="T14">
        <f>IF(OR($N14="",$O14=""),"",MAX(0,MOD($O14-$N14,1)-MAX(0,MIN($O14,13/24)-MAX($N14,0.5))))</f>
        <v/>
      </c>
      <c r="U14">
        <f>IF($A14="","",IF(ISNUMBER(MATCH($A14,祝日リスト!$A$2:$A$40,0)),"祝",IF(WEEKDAY($A14,2)=6,"土",IF(WEEKDAY($A14,2)=7,"日","平"))))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IF(ISNUMBER($D15),IF($D15&lt;1,$D15,(INT($D15/100)*60+MOD($D15,100))/1440),IFERROR(TIMEVALUE(SUBSTITUTE($D15,"：",":")),""))</f>
        <v/>
      </c>
      <c r="O15" s="35">
        <f>IF(ISNUMBER($F15),IF($F15&lt;1,$F15,(INT($F15/100)*60+MOD($F15,100))/1440),IFERROR(TIMEVALUE(SUBSTITUTE($F15,"：",":")),""))</f>
        <v/>
      </c>
      <c r="P15">
        <f>IF(ISNUMBER($G15),IF($G15&lt;1,$G15,(INT($G15/100)*60+MOD($G15,100))/1440),IFERROR(TIMEVALUE(SUBSTITUTE($G15,"：",":")),""))</f>
        <v/>
      </c>
      <c r="Q15">
        <f>IF(ISNUMBER($H15),IF($H15&lt;1,$H15,(INT($H15/100)*60+MOD($H15,100))/1440),IFERROR(TIMEVALUE(SUBSTITUTE($H15,"：",":")),""))</f>
        <v/>
      </c>
      <c r="R15">
        <f>IF(ISNUMBER($I15),IF($I15&lt;1,$I15,(INT($I15/100)*60+MOD($I15,100))/1440),IFERROR(TIMEVALUE(SUBSTITUTE($I15,"：",":")),""))</f>
        <v/>
      </c>
      <c r="S15">
        <f>IF(ISNUMBER($J15),IF($J15&lt;1,$J15,(INT($J15/100)*60+MOD($J15,100))/1440),IFERROR(TIMEVALUE(SUBSTITUTE($J15,"：",":")),""))</f>
        <v/>
      </c>
      <c r="T15">
        <f>IF(OR($N15="",$O15=""),"",MAX(0,MOD($O15-$N15,1)-MAX(0,MIN($O15,13/24)-MAX($N15,0.5))))</f>
        <v/>
      </c>
      <c r="U15">
        <f>IF($A15="","",IF(ISNUMBER(MATCH($A15,祝日リスト!$A$2:$A$40,0)),"祝",IF(WEEKDAY($A15,2)=6,"土",IF(WEEKDAY($A15,2)=7,"日","平"))))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IF(ISNUMBER($D16),IF($D16&lt;1,$D16,(INT($D16/100)*60+MOD($D16,100))/1440),IFERROR(TIMEVALUE(SUBSTITUTE($D16,"：",":")),""))</f>
        <v/>
      </c>
      <c r="O16" s="35">
        <f>IF(ISNUMBER($F16),IF($F16&lt;1,$F16,(INT($F16/100)*60+MOD($F16,100))/1440),IFERROR(TIMEVALUE(SUBSTITUTE($F16,"：",":")),""))</f>
        <v/>
      </c>
      <c r="P16">
        <f>IF(ISNUMBER($G16),IF($G16&lt;1,$G16,(INT($G16/100)*60+MOD($G16,100))/1440),IFERROR(TIMEVALUE(SUBSTITUTE($G16,"：",":")),""))</f>
        <v/>
      </c>
      <c r="Q16">
        <f>IF(ISNUMBER($H16),IF($H16&lt;1,$H16,(INT($H16/100)*60+MOD($H16,100))/1440),IFERROR(TIMEVALUE(SUBSTITUTE($H16,"：",":")),""))</f>
        <v/>
      </c>
      <c r="R16">
        <f>IF(ISNUMBER($I16),IF($I16&lt;1,$I16,(INT($I16/100)*60+MOD($I16,100))/1440),IFERROR(TIMEVALUE(SUBSTITUTE($I16,"：",":")),""))</f>
        <v/>
      </c>
      <c r="S16">
        <f>IF(ISNUMBER($J16),IF($J16&lt;1,$J16,(INT($J16/100)*60+MOD($J16,100))/1440),IFERROR(TIMEVALUE(SUBSTITUTE($J16,"：",":")),""))</f>
        <v/>
      </c>
      <c r="T16">
        <f>IF(OR($N16="",$O16=""),"",MAX(0,MOD($O16-$N16,1)-MAX(0,MIN($O16,13/24)-MAX($N16,0.5))))</f>
        <v/>
      </c>
      <c r="U16">
        <f>IF($A16="","",IF(ISNUMBER(MATCH($A16,祝日リスト!$A$2:$A$40,0)),"祝",IF(WEEKDAY($A16,2)=6,"土",IF(WEEKDAY($A16,2)=7,"日","平"))))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IF(ISNUMBER($D17),IF($D17&lt;1,$D17,(INT($D17/100)*60+MOD($D17,100))/1440),IFERROR(TIMEVALUE(SUBSTITUTE($D17,"：",":")),""))</f>
        <v/>
      </c>
      <c r="O17" s="35">
        <f>IF(ISNUMBER($F17),IF($F17&lt;1,$F17,(INT($F17/100)*60+MOD($F17,100))/1440),IFERROR(TIMEVALUE(SUBSTITUTE($F17,"：",":")),""))</f>
        <v/>
      </c>
      <c r="P17">
        <f>IF(ISNUMBER($G17),IF($G17&lt;1,$G17,(INT($G17/100)*60+MOD($G17,100))/1440),IFERROR(TIMEVALUE(SUBSTITUTE($G17,"：",":")),""))</f>
        <v/>
      </c>
      <c r="Q17">
        <f>IF(ISNUMBER($H17),IF($H17&lt;1,$H17,(INT($H17/100)*60+MOD($H17,100))/1440),IFERROR(TIMEVALUE(SUBSTITUTE($H17,"：",":")),""))</f>
        <v/>
      </c>
      <c r="R17">
        <f>IF(ISNUMBER($I17),IF($I17&lt;1,$I17,(INT($I17/100)*60+MOD($I17,100))/1440),IFERROR(TIMEVALUE(SUBSTITUTE($I17,"：",":")),""))</f>
        <v/>
      </c>
      <c r="S17">
        <f>IF(ISNUMBER($J17),IF($J17&lt;1,$J17,(INT($J17/100)*60+MOD($J17,100))/1440),IFERROR(TIMEVALUE(SUBSTITUTE($J17,"：",":")),""))</f>
        <v/>
      </c>
      <c r="T17">
        <f>IF(OR($N17="",$O17=""),"",MAX(0,MOD($O17-$N17,1)-MAX(0,MIN($O17,13/24)-MAX($N17,0.5))))</f>
        <v/>
      </c>
      <c r="U17">
        <f>IF($A17="","",IF(ISNUMBER(MATCH($A17,祝日リスト!$A$2:$A$40,0)),"祝",IF(WEEKDAY($A17,2)=6,"土",IF(WEEKDAY($A17,2)=7,"日","平"))))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IF(ISNUMBER($D18),IF($D18&lt;1,$D18,(INT($D18/100)*60+MOD($D18,100))/1440),IFERROR(TIMEVALUE(SUBSTITUTE($D18,"：",":")),""))</f>
        <v/>
      </c>
      <c r="O18" s="35">
        <f>IF(ISNUMBER($F18),IF($F18&lt;1,$F18,(INT($F18/100)*60+MOD($F18,100))/1440),IFERROR(TIMEVALUE(SUBSTITUTE($F18,"：",":")),""))</f>
        <v/>
      </c>
      <c r="P18">
        <f>IF(ISNUMBER($G18),IF($G18&lt;1,$G18,(INT($G18/100)*60+MOD($G18,100))/1440),IFERROR(TIMEVALUE(SUBSTITUTE($G18,"：",":")),""))</f>
        <v/>
      </c>
      <c r="Q18">
        <f>IF(ISNUMBER($H18),IF($H18&lt;1,$H18,(INT($H18/100)*60+MOD($H18,100))/1440),IFERROR(TIMEVALUE(SUBSTITUTE($H18,"：",":")),""))</f>
        <v/>
      </c>
      <c r="R18">
        <f>IF(ISNUMBER($I18),IF($I18&lt;1,$I18,(INT($I18/100)*60+MOD($I18,100))/1440),IFERROR(TIMEVALUE(SUBSTITUTE($I18,"：",":")),""))</f>
        <v/>
      </c>
      <c r="S18">
        <f>IF(ISNUMBER($J18),IF($J18&lt;1,$J18,(INT($J18/100)*60+MOD($J18,100))/1440),IFERROR(TIMEVALUE(SUBSTITUTE($J18,"：",":")),""))</f>
        <v/>
      </c>
      <c r="T18">
        <f>IF(OR($N18="",$O18=""),"",MAX(0,MOD($O18-$N18,1)-MAX(0,MIN($O18,13/24)-MAX($N18,0.5))))</f>
        <v/>
      </c>
      <c r="U18">
        <f>IF($A18="","",IF(ISNUMBER(MATCH($A18,祝日リスト!$A$2:$A$40,0)),"祝",IF(WEEKDAY($A18,2)=6,"土",IF(WEEKDAY($A18,2)=7,"日","平"))))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IF(ISNUMBER($D19),IF($D19&lt;1,$D19,(INT($D19/100)*60+MOD($D19,100))/1440),IFERROR(TIMEVALUE(SUBSTITUTE($D19,"：",":")),""))</f>
        <v/>
      </c>
      <c r="O19" s="35">
        <f>IF(ISNUMBER($F19),IF($F19&lt;1,$F19,(INT($F19/100)*60+MOD($F19,100))/1440),IFERROR(TIMEVALUE(SUBSTITUTE($F19,"：",":")),""))</f>
        <v/>
      </c>
      <c r="P19">
        <f>IF(ISNUMBER($G19),IF($G19&lt;1,$G19,(INT($G19/100)*60+MOD($G19,100))/1440),IFERROR(TIMEVALUE(SUBSTITUTE($G19,"：",":")),""))</f>
        <v/>
      </c>
      <c r="Q19">
        <f>IF(ISNUMBER($H19),IF($H19&lt;1,$H19,(INT($H19/100)*60+MOD($H19,100))/1440),IFERROR(TIMEVALUE(SUBSTITUTE($H19,"：",":")),""))</f>
        <v/>
      </c>
      <c r="R19">
        <f>IF(ISNUMBER($I19),IF($I19&lt;1,$I19,(INT($I19/100)*60+MOD($I19,100))/1440),IFERROR(TIMEVALUE(SUBSTITUTE($I19,"：",":")),""))</f>
        <v/>
      </c>
      <c r="S19">
        <f>IF(ISNUMBER($J19),IF($J19&lt;1,$J19,(INT($J19/100)*60+MOD($J19,100))/1440),IFERROR(TIMEVALUE(SUBSTITUTE($J19,"：",":")),""))</f>
        <v/>
      </c>
      <c r="T19">
        <f>IF(OR($N19="",$O19=""),"",MAX(0,MOD($O19-$N19,1)-MAX(0,MIN($O19,13/24)-MAX($N19,0.5))))</f>
        <v/>
      </c>
      <c r="U19">
        <f>IF($A19="","",IF(ISNUMBER(MATCH($A19,祝日リスト!$A$2:$A$40,0)),"祝",IF(WEEKDAY($A19,2)=6,"土",IF(WEEKDAY($A19,2)=7,"日","平"))))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IF(ISNUMBER($D20),IF($D20&lt;1,$D20,(INT($D20/100)*60+MOD($D20,100))/1440),IFERROR(TIMEVALUE(SUBSTITUTE($D20,"：",":")),""))</f>
        <v/>
      </c>
      <c r="O20" s="35">
        <f>IF(ISNUMBER($F20),IF($F20&lt;1,$F20,(INT($F20/100)*60+MOD($F20,100))/1440),IFERROR(TIMEVALUE(SUBSTITUTE($F20,"：",":")),""))</f>
        <v/>
      </c>
      <c r="P20">
        <f>IF(ISNUMBER($G20),IF($G20&lt;1,$G20,(INT($G20/100)*60+MOD($G20,100))/1440),IFERROR(TIMEVALUE(SUBSTITUTE($G20,"：",":")),""))</f>
        <v/>
      </c>
      <c r="Q20">
        <f>IF(ISNUMBER($H20),IF($H20&lt;1,$H20,(INT($H20/100)*60+MOD($H20,100))/1440),IFERROR(TIMEVALUE(SUBSTITUTE($H20,"：",":")),""))</f>
        <v/>
      </c>
      <c r="R20">
        <f>IF(ISNUMBER($I20),IF($I20&lt;1,$I20,(INT($I20/100)*60+MOD($I20,100))/1440),IFERROR(TIMEVALUE(SUBSTITUTE($I20,"：",":")),""))</f>
        <v/>
      </c>
      <c r="S20">
        <f>IF(ISNUMBER($J20),IF($J20&lt;1,$J20,(INT($J20/100)*60+MOD($J20,100))/1440),IFERROR(TIMEVALUE(SUBSTITUTE($J20,"：",":")),""))</f>
        <v/>
      </c>
      <c r="T20">
        <f>IF(OR($N20="",$O20=""),"",MAX(0,MOD($O20-$N20,1)-MAX(0,MIN($O20,13/24)-MAX($N20,0.5))))</f>
        <v/>
      </c>
      <c r="U20">
        <f>IF($A20="","",IF(ISNUMBER(MATCH($A20,祝日リスト!$A$2:$A$40,0)),"祝",IF(WEEKDAY($A20,2)=6,"土",IF(WEEKDAY($A20,2)=7,"日","平"))))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IF(ISNUMBER($D21),IF($D21&lt;1,$D21,(INT($D21/100)*60+MOD($D21,100))/1440),IFERROR(TIMEVALUE(SUBSTITUTE($D21,"：",":")),""))</f>
        <v/>
      </c>
      <c r="O21" s="35">
        <f>IF(ISNUMBER($F21),IF($F21&lt;1,$F21,(INT($F21/100)*60+MOD($F21,100))/1440),IFERROR(TIMEVALUE(SUBSTITUTE($F21,"：",":")),""))</f>
        <v/>
      </c>
      <c r="P21">
        <f>IF(ISNUMBER($G21),IF($G21&lt;1,$G21,(INT($G21/100)*60+MOD($G21,100))/1440),IFERROR(TIMEVALUE(SUBSTITUTE($G21,"：",":")),""))</f>
        <v/>
      </c>
      <c r="Q21">
        <f>IF(ISNUMBER($H21),IF($H21&lt;1,$H21,(INT($H21/100)*60+MOD($H21,100))/1440),IFERROR(TIMEVALUE(SUBSTITUTE($H21,"：",":")),""))</f>
        <v/>
      </c>
      <c r="R21">
        <f>IF(ISNUMBER($I21),IF($I21&lt;1,$I21,(INT($I21/100)*60+MOD($I21,100))/1440),IFERROR(TIMEVALUE(SUBSTITUTE($I21,"：",":")),""))</f>
        <v/>
      </c>
      <c r="S21">
        <f>IF(ISNUMBER($J21),IF($J21&lt;1,$J21,(INT($J21/100)*60+MOD($J21,100))/1440),IFERROR(TIMEVALUE(SUBSTITUTE($J21,"：",":")),""))</f>
        <v/>
      </c>
      <c r="T21">
        <f>IF(OR($N21="",$O21=""),"",MAX(0,MOD($O21-$N21,1)-MAX(0,MIN($O21,13/24)-MAX($N21,0.5))))</f>
        <v/>
      </c>
      <c r="U21">
        <f>IF($A21="","",IF(ISNUMBER(MATCH($A21,祝日リスト!$A$2:$A$40,0)),"祝",IF(WEEKDAY($A21,2)=6,"土",IF(WEEKDAY($A21,2)=7,"日","平"))))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IF(ISNUMBER($D22),IF($D22&lt;1,$D22,(INT($D22/100)*60+MOD($D22,100))/1440),IFERROR(TIMEVALUE(SUBSTITUTE($D22,"：",":")),""))</f>
        <v/>
      </c>
      <c r="O22" s="35">
        <f>IF(ISNUMBER($F22),IF($F22&lt;1,$F22,(INT($F22/100)*60+MOD($F22,100))/1440),IFERROR(TIMEVALUE(SUBSTITUTE($F22,"：",":")),""))</f>
        <v/>
      </c>
      <c r="P22" s="4">
        <f>IF(ISNUMBER($G22),IF($G22&lt;1,$G22,(INT($G22/100)*60+MOD($G22,100))/1440),IFERROR(TIMEVALUE(SUBSTITUTE($G22,"：",":")),""))</f>
        <v/>
      </c>
      <c r="Q22" s="4">
        <f>IF(ISNUMBER($H22),IF($H22&lt;1,$H22,(INT($H22/100)*60+MOD($H22,100))/1440),IFERROR(TIMEVALUE(SUBSTITUTE($H22,"：",":")),""))</f>
        <v/>
      </c>
      <c r="R22" s="4">
        <f>IF(ISNUMBER($I22),IF($I22&lt;1,$I22,(INT($I22/100)*60+MOD($I22,100))/1440),IFERROR(TIMEVALUE(SUBSTITUTE($I22,"：",":")),""))</f>
        <v/>
      </c>
      <c r="S22" s="4">
        <f>IF(ISNUMBER($J22),IF($J22&lt;1,$J22,(INT($J22/100)*60+MOD($J22,100))/1440),IFERROR(TIMEVALUE(SUBSTITUTE($J22,"：",":")),""))</f>
        <v/>
      </c>
      <c r="T22" s="4">
        <f>IF(OR($N22="",$O22=""),"",MAX(0,MOD($O22-$N22,1)-MAX(0,MIN($O22,13/24)-MAX($N22,0.5))))</f>
        <v/>
      </c>
      <c r="U22" s="4">
        <f>IF($A22="","",IF(ISNUMBER(MATCH($A22,祝日リスト!$A$2:$A$40,0)),"祝",IF(WEEKDAY($A22,2)=6,"土",IF(WEEKDAY($A22,2)=7,"日","平"))))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IF(ISNUMBER($D23),IF($D23&lt;1,$D23,(INT($D23/100)*60+MOD($D23,100))/1440),IFERROR(TIMEVALUE(SUBSTITUTE($D23,"：",":")),""))</f>
        <v/>
      </c>
      <c r="O23" s="35">
        <f>IF(ISNUMBER($F23),IF($F23&lt;1,$F23,(INT($F23/100)*60+MOD($F23,100))/1440),IFERROR(TIMEVALUE(SUBSTITUTE($F23,"：",":")),""))</f>
        <v/>
      </c>
      <c r="P23">
        <f>IF(ISNUMBER($G23),IF($G23&lt;1,$G23,(INT($G23/100)*60+MOD($G23,100))/1440),IFERROR(TIMEVALUE(SUBSTITUTE($G23,"：",":")),""))</f>
        <v/>
      </c>
      <c r="Q23">
        <f>IF(ISNUMBER($H23),IF($H23&lt;1,$H23,(INT($H23/100)*60+MOD($H23,100))/1440),IFERROR(TIMEVALUE(SUBSTITUTE($H23,"：",":")),""))</f>
        <v/>
      </c>
      <c r="R23">
        <f>IF(ISNUMBER($I23),IF($I23&lt;1,$I23,(INT($I23/100)*60+MOD($I23,100))/1440),IFERROR(TIMEVALUE(SUBSTITUTE($I23,"：",":")),""))</f>
        <v/>
      </c>
      <c r="S23">
        <f>IF(ISNUMBER($J23),IF($J23&lt;1,$J23,(INT($J23/100)*60+MOD($J23,100))/1440),IFERROR(TIMEVALUE(SUBSTITUTE($J23,"：",":")),""))</f>
        <v/>
      </c>
      <c r="T23">
        <f>IF(OR($N23="",$O23=""),"",MAX(0,MOD($O23-$N23,1)-MAX(0,MIN($O23,13/24)-MAX($N23,0.5))))</f>
        <v/>
      </c>
      <c r="U23">
        <f>IF($A23="","",IF(ISNUMBER(MATCH($A23,祝日リスト!$A$2:$A$40,0)),"祝",IF(WEEKDAY($A23,2)=6,"土",IF(WEEKDAY($A23,2)=7,"日","平"))))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IF(ISNUMBER($D24),IF($D24&lt;1,$D24,(INT($D24/100)*60+MOD($D24,100))/1440),IFERROR(TIMEVALUE(SUBSTITUTE($D24,"：",":")),""))</f>
        <v/>
      </c>
      <c r="O24" s="35">
        <f>IF(ISNUMBER($F24),IF($F24&lt;1,$F24,(INT($F24/100)*60+MOD($F24,100))/1440),IFERROR(TIMEVALUE(SUBSTITUTE($F24,"：",":")),""))</f>
        <v/>
      </c>
      <c r="P24">
        <f>IF(ISNUMBER($G24),IF($G24&lt;1,$G24,(INT($G24/100)*60+MOD($G24,100))/1440),IFERROR(TIMEVALUE(SUBSTITUTE($G24,"：",":")),""))</f>
        <v/>
      </c>
      <c r="Q24">
        <f>IF(ISNUMBER($H24),IF($H24&lt;1,$H24,(INT($H24/100)*60+MOD($H24,100))/1440),IFERROR(TIMEVALUE(SUBSTITUTE($H24,"：",":")),""))</f>
        <v/>
      </c>
      <c r="R24">
        <f>IF(ISNUMBER($I24),IF($I24&lt;1,$I24,(INT($I24/100)*60+MOD($I24,100))/1440),IFERROR(TIMEVALUE(SUBSTITUTE($I24,"：",":")),""))</f>
        <v/>
      </c>
      <c r="S24">
        <f>IF(ISNUMBER($J24),IF($J24&lt;1,$J24,(INT($J24/100)*60+MOD($J24,100))/1440),IFERROR(TIMEVALUE(SUBSTITUTE($J24,"：",":")),""))</f>
        <v/>
      </c>
      <c r="T24">
        <f>IF(OR($N24="",$O24=""),"",MAX(0,MOD($O24-$N24,1)-MAX(0,MIN($O24,13/24)-MAX($N24,0.5))))</f>
        <v/>
      </c>
      <c r="U24">
        <f>IF($A24="","",IF(ISNUMBER(MATCH($A24,祝日リスト!$A$2:$A$40,0)),"祝",IF(WEEKDAY($A24,2)=6,"土",IF(WEEKDAY($A24,2)=7,"日","平"))))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IF(ISNUMBER($D25),IF($D25&lt;1,$D25,(INT($D25/100)*60+MOD($D25,100))/1440),IFERROR(TIMEVALUE(SUBSTITUTE($D25,"：",":")),""))</f>
        <v/>
      </c>
      <c r="O25" s="35">
        <f>IF(ISNUMBER($F25),IF($F25&lt;1,$F25,(INT($F25/100)*60+MOD($F25,100))/1440),IFERROR(TIMEVALUE(SUBSTITUTE($F25,"：",":")),""))</f>
        <v/>
      </c>
      <c r="P25">
        <f>IF(ISNUMBER($G25),IF($G25&lt;1,$G25,(INT($G25/100)*60+MOD($G25,100))/1440),IFERROR(TIMEVALUE(SUBSTITUTE($G25,"：",":")),""))</f>
        <v/>
      </c>
      <c r="Q25">
        <f>IF(ISNUMBER($H25),IF($H25&lt;1,$H25,(INT($H25/100)*60+MOD($H25,100))/1440),IFERROR(TIMEVALUE(SUBSTITUTE($H25,"：",":")),""))</f>
        <v/>
      </c>
      <c r="R25">
        <f>IF(ISNUMBER($I25),IF($I25&lt;1,$I25,(INT($I25/100)*60+MOD($I25,100))/1440),IFERROR(TIMEVALUE(SUBSTITUTE($I25,"：",":")),""))</f>
        <v/>
      </c>
      <c r="S25">
        <f>IF(ISNUMBER($J25),IF($J25&lt;1,$J25,(INT($J25/100)*60+MOD($J25,100))/1440),IFERROR(TIMEVALUE(SUBSTITUTE($J25,"：",":")),""))</f>
        <v/>
      </c>
      <c r="T25">
        <f>IF(OR($N25="",$O25=""),"",MAX(0,MOD($O25-$N25,1)-MAX(0,MIN($O25,13/24)-MAX($N25,0.5))))</f>
        <v/>
      </c>
      <c r="U25">
        <f>IF($A25="","",IF(ISNUMBER(MATCH($A25,祝日リスト!$A$2:$A$40,0)),"祝",IF(WEEKDAY($A25,2)=6,"土",IF(WEEKDAY($A25,2)=7,"日","平"))))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IF(ISNUMBER($D26),IF($D26&lt;1,$D26,(INT($D26/100)*60+MOD($D26,100))/1440),IFERROR(TIMEVALUE(SUBSTITUTE($D26,"：",":")),""))</f>
        <v/>
      </c>
      <c r="O26" s="35">
        <f>IF(ISNUMBER($F26),IF($F26&lt;1,$F26,(INT($F26/100)*60+MOD($F26,100))/1440),IFERROR(TIMEVALUE(SUBSTITUTE($F26,"：",":")),""))</f>
        <v/>
      </c>
      <c r="P26" s="4">
        <f>IF(ISNUMBER($G26),IF($G26&lt;1,$G26,(INT($G26/100)*60+MOD($G26,100))/1440),IFERROR(TIMEVALUE(SUBSTITUTE($G26,"：",":")),""))</f>
        <v/>
      </c>
      <c r="Q26" s="4">
        <f>IF(ISNUMBER($H26),IF($H26&lt;1,$H26,(INT($H26/100)*60+MOD($H26,100))/1440),IFERROR(TIMEVALUE(SUBSTITUTE($H26,"：",":")),""))</f>
        <v/>
      </c>
      <c r="R26" s="4">
        <f>IF(ISNUMBER($I26),IF($I26&lt;1,$I26,(INT($I26/100)*60+MOD($I26,100))/1440),IFERROR(TIMEVALUE(SUBSTITUTE($I26,"：",":")),""))</f>
        <v/>
      </c>
      <c r="S26" s="4">
        <f>IF(ISNUMBER($J26),IF($J26&lt;1,$J26,(INT($J26/100)*60+MOD($J26,100))/1440),IFERROR(TIMEVALUE(SUBSTITUTE($J26,"：",":")),""))</f>
        <v/>
      </c>
      <c r="T26" s="4">
        <f>IF(OR($N26="",$O26=""),"",MAX(0,MOD($O26-$N26,1)-MAX(0,MIN($O26,13/24)-MAX($N26,0.5))))</f>
        <v/>
      </c>
      <c r="U26" s="4">
        <f>IF($A26="","",IF(ISNUMBER(MATCH($A26,祝日リスト!$A$2:$A$40,0)),"祝",IF(WEEKDAY($A26,2)=6,"土",IF(WEEKDAY($A26,2)=7,"日","平"))))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IF(ISNUMBER($D27),IF($D27&lt;1,$D27,(INT($D27/100)*60+MOD($D27,100))/1440),IFERROR(TIMEVALUE(SUBSTITUTE($D27,"：",":")),""))</f>
        <v/>
      </c>
      <c r="O27" s="35">
        <f>IF(ISNUMBER($F27),IF($F27&lt;1,$F27,(INT($F27/100)*60+MOD($F27,100))/1440),IFERROR(TIMEVALUE(SUBSTITUTE($F27,"：",":")),""))</f>
        <v/>
      </c>
      <c r="P27">
        <f>IF(ISNUMBER($G27),IF($G27&lt;1,$G27,(INT($G27/100)*60+MOD($G27,100))/1440),IFERROR(TIMEVALUE(SUBSTITUTE($G27,"：",":")),""))</f>
        <v/>
      </c>
      <c r="Q27">
        <f>IF(ISNUMBER($H27),IF($H27&lt;1,$H27,(INT($H27/100)*60+MOD($H27,100))/1440),IFERROR(TIMEVALUE(SUBSTITUTE($H27,"：",":")),""))</f>
        <v/>
      </c>
      <c r="R27">
        <f>IF(ISNUMBER($I27),IF($I27&lt;1,$I27,(INT($I27/100)*60+MOD($I27,100))/1440),IFERROR(TIMEVALUE(SUBSTITUTE($I27,"：",":")),""))</f>
        <v/>
      </c>
      <c r="S27">
        <f>IF(ISNUMBER($J27),IF($J27&lt;1,$J27,(INT($J27/100)*60+MOD($J27,100))/1440),IFERROR(TIMEVALUE(SUBSTITUTE($J27,"：",":")),""))</f>
        <v/>
      </c>
      <c r="T27">
        <f>IF(OR($N27="",$O27=""),"",MAX(0,MOD($O27-$N27,1)-MAX(0,MIN($O27,13/24)-MAX($N27,0.5))))</f>
        <v/>
      </c>
      <c r="U27">
        <f>IF($A27="","",IF(ISNUMBER(MATCH($A27,祝日リスト!$A$2:$A$40,0)),"祝",IF(WEEKDAY($A27,2)=6,"土",IF(WEEKDAY($A27,2)=7,"日","平"))))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IF(ISNUMBER($D28),IF($D28&lt;1,$D28,(INT($D28/100)*60+MOD($D28,100))/1440),IFERROR(TIMEVALUE(SUBSTITUTE($D28,"：",":")),""))</f>
        <v/>
      </c>
      <c r="O28" s="35">
        <f>IF(ISNUMBER($F28),IF($F28&lt;1,$F28,(INT($F28/100)*60+MOD($F28,100))/1440),IFERROR(TIMEVALUE(SUBSTITUTE($F28,"：",":")),""))</f>
        <v/>
      </c>
      <c r="P28">
        <f>IF(ISNUMBER($G28),IF($G28&lt;1,$G28,(INT($G28/100)*60+MOD($G28,100))/1440),IFERROR(TIMEVALUE(SUBSTITUTE($G28,"：",":")),""))</f>
        <v/>
      </c>
      <c r="Q28">
        <f>IF(ISNUMBER($H28),IF($H28&lt;1,$H28,(INT($H28/100)*60+MOD($H28,100))/1440),IFERROR(TIMEVALUE(SUBSTITUTE($H28,"：",":")),""))</f>
        <v/>
      </c>
      <c r="R28">
        <f>IF(ISNUMBER($I28),IF($I28&lt;1,$I28,(INT($I28/100)*60+MOD($I28,100))/1440),IFERROR(TIMEVALUE(SUBSTITUTE($I28,"：",":")),""))</f>
        <v/>
      </c>
      <c r="S28">
        <f>IF(ISNUMBER($J28),IF($J28&lt;1,$J28,(INT($J28/100)*60+MOD($J28,100))/1440),IFERROR(TIMEVALUE(SUBSTITUTE($J28,"：",":")),""))</f>
        <v/>
      </c>
      <c r="T28">
        <f>IF(OR($N28="",$O28=""),"",MAX(0,MOD($O28-$N28,1)-MAX(0,MIN($O28,13/24)-MAX($N28,0.5))))</f>
        <v/>
      </c>
      <c r="U28">
        <f>IF($A28="","",IF(ISNUMBER(MATCH($A28,祝日リスト!$A$2:$A$40,0)),"祝",IF(WEEKDAY($A28,2)=6,"土",IF(WEEKDAY($A28,2)=7,"日","平"))))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IF(ISNUMBER($D29),IF($D29&lt;1,$D29,(INT($D29/100)*60+MOD($D29,100))/1440),IFERROR(TIMEVALUE(SUBSTITUTE($D29,"：",":")),""))</f>
        <v/>
      </c>
      <c r="O29" s="35">
        <f>IF(ISNUMBER($F29),IF($F29&lt;1,$F29,(INT($F29/100)*60+MOD($F29,100))/1440),IFERROR(TIMEVALUE(SUBSTITUTE($F29,"：",":")),""))</f>
        <v/>
      </c>
      <c r="P29">
        <f>IF(ISNUMBER($G29),IF($G29&lt;1,$G29,(INT($G29/100)*60+MOD($G29,100))/1440),IFERROR(TIMEVALUE(SUBSTITUTE($G29,"：",":")),""))</f>
        <v/>
      </c>
      <c r="Q29">
        <f>IF(ISNUMBER($H29),IF($H29&lt;1,$H29,(INT($H29/100)*60+MOD($H29,100))/1440),IFERROR(TIMEVALUE(SUBSTITUTE($H29,"：",":")),""))</f>
        <v/>
      </c>
      <c r="R29">
        <f>IF(ISNUMBER($I29),IF($I29&lt;1,$I29,(INT($I29/100)*60+MOD($I29,100))/1440),IFERROR(TIMEVALUE(SUBSTITUTE($I29,"：",":")),""))</f>
        <v/>
      </c>
      <c r="S29">
        <f>IF(ISNUMBER($J29),IF($J29&lt;1,$J29,(INT($J29/100)*60+MOD($J29,100))/1440),IFERROR(TIMEVALUE(SUBSTITUTE($J29,"：",":")),""))</f>
        <v/>
      </c>
      <c r="T29">
        <f>IF(OR($N29="",$O29=""),"",MAX(0,MOD($O29-$N29,1)-MAX(0,MIN($O29,13/24)-MAX($N29,0.5))))</f>
        <v/>
      </c>
      <c r="U29">
        <f>IF($A29="","",IF(ISNUMBER(MATCH($A29,祝日リスト!$A$2:$A$40,0)),"祝",IF(WEEKDAY($A29,2)=6,"土",IF(WEEKDAY($A29,2)=7,"日","平"))))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IF(ISNUMBER($D30),IF($D30&lt;1,$D30,(INT($D30/100)*60+MOD($D30,100))/1440),IFERROR(TIMEVALUE(SUBSTITUTE($D30,"：",":")),""))</f>
        <v/>
      </c>
      <c r="O30" s="35">
        <f>IF(ISNUMBER($F30),IF($F30&lt;1,$F30,(INT($F30/100)*60+MOD($F30,100))/1440),IFERROR(TIMEVALUE(SUBSTITUTE($F30,"：",":")),""))</f>
        <v/>
      </c>
      <c r="P30">
        <f>IF(ISNUMBER($G30),IF($G30&lt;1,$G30,(INT($G30/100)*60+MOD($G30,100))/1440),IFERROR(TIMEVALUE(SUBSTITUTE($G30,"：",":")),""))</f>
        <v/>
      </c>
      <c r="Q30">
        <f>IF(ISNUMBER($H30),IF($H30&lt;1,$H30,(INT($H30/100)*60+MOD($H30,100))/1440),IFERROR(TIMEVALUE(SUBSTITUTE($H30,"：",":")),""))</f>
        <v/>
      </c>
      <c r="R30">
        <f>IF(ISNUMBER($I30),IF($I30&lt;1,$I30,(INT($I30/100)*60+MOD($I30,100))/1440),IFERROR(TIMEVALUE(SUBSTITUTE($I30,"：",":")),""))</f>
        <v/>
      </c>
      <c r="S30">
        <f>IF(ISNUMBER($J30),IF($J30&lt;1,$J30,(INT($J30/100)*60+MOD($J30,100))/1440),IFERROR(TIMEVALUE(SUBSTITUTE($J30,"：",":")),""))</f>
        <v/>
      </c>
      <c r="T30">
        <f>IF(OR($N30="",$O30=""),"",MAX(0,MOD($O30-$N30,1)-MAX(0,MIN($O30,13/24)-MAX($N30,0.5))))</f>
        <v/>
      </c>
      <c r="U30">
        <f>IF($A30="","",IF(ISNUMBER(MATCH($A30,祝日リスト!$A$2:$A$40,0)),"祝",IF(WEEKDAY($A30,2)=6,"土",IF(WEEKDAY($A30,2)=7,"日","平"))))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IF(ISNUMBER($D31),IF($D31&lt;1,$D31,(INT($D31/100)*60+MOD($D31,100))/1440),IFERROR(TIMEVALUE(SUBSTITUTE($D31,"：",":")),""))</f>
        <v/>
      </c>
      <c r="O31" s="35">
        <f>IF(ISNUMBER($F31),IF($F31&lt;1,$F31,(INT($F31/100)*60+MOD($F31,100))/1440),IFERROR(TIMEVALUE(SUBSTITUTE($F31,"：",":")),""))</f>
        <v/>
      </c>
      <c r="P31">
        <f>IF(ISNUMBER($G31),IF($G31&lt;1,$G31,(INT($G31/100)*60+MOD($G31,100))/1440),IFERROR(TIMEVALUE(SUBSTITUTE($G31,"：",":")),""))</f>
        <v/>
      </c>
      <c r="Q31">
        <f>IF(ISNUMBER($H31),IF($H31&lt;1,$H31,(INT($H31/100)*60+MOD($H31,100))/1440),IFERROR(TIMEVALUE(SUBSTITUTE($H31,"：",":")),""))</f>
        <v/>
      </c>
      <c r="R31">
        <f>IF(ISNUMBER($I31),IF($I31&lt;1,$I31,(INT($I31/100)*60+MOD($I31,100))/1440),IFERROR(TIMEVALUE(SUBSTITUTE($I31,"：",":")),""))</f>
        <v/>
      </c>
      <c r="S31">
        <f>IF(ISNUMBER($J31),IF($J31&lt;1,$J31,(INT($J31/100)*60+MOD($J31,100))/1440),IFERROR(TIMEVALUE(SUBSTITUTE($J31,"：",":")),""))</f>
        <v/>
      </c>
      <c r="T31">
        <f>IF(OR($N31="",$O31=""),"",MAX(0,MOD($O31-$N31,1)-MAX(0,MIN($O31,13/24)-MAX($N31,0.5))))</f>
        <v/>
      </c>
      <c r="U31">
        <f>IF($A31="","",IF(ISNUMBER(MATCH($A31,祝日リスト!$A$2:$A$40,0)),"祝",IF(WEEKDAY($A31,2)=6,"土",IF(WEEKDAY($A31,2)=7,"日","平"))))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IF(ISNUMBER($D32),IF($D32&lt;1,$D32,(INT($D32/100)*60+MOD($D32,100))/1440),IFERROR(TIMEVALUE(SUBSTITUTE($D32,"：",":")),""))</f>
        <v/>
      </c>
      <c r="O32" s="35">
        <f>IF(ISNUMBER($F32),IF($F32&lt;1,$F32,(INT($F32/100)*60+MOD($F32,100))/1440),IFERROR(TIMEVALUE(SUBSTITUTE($F32,"：",":")),""))</f>
        <v/>
      </c>
      <c r="P32">
        <f>IF(ISNUMBER($G32),IF($G32&lt;1,$G32,(INT($G32/100)*60+MOD($G32,100))/1440),IFERROR(TIMEVALUE(SUBSTITUTE($G32,"：",":")),""))</f>
        <v/>
      </c>
      <c r="Q32">
        <f>IF(ISNUMBER($H32),IF($H32&lt;1,$H32,(INT($H32/100)*60+MOD($H32,100))/1440),IFERROR(TIMEVALUE(SUBSTITUTE($H32,"：",":")),""))</f>
        <v/>
      </c>
      <c r="R32">
        <f>IF(ISNUMBER($I32),IF($I32&lt;1,$I32,(INT($I32/100)*60+MOD($I32,100))/1440),IFERROR(TIMEVALUE(SUBSTITUTE($I32,"：",":")),""))</f>
        <v/>
      </c>
      <c r="S32">
        <f>IF(ISNUMBER($J32),IF($J32&lt;1,$J32,(INT($J32/100)*60+MOD($J32,100))/1440),IFERROR(TIMEVALUE(SUBSTITUTE($J32,"：",":")),""))</f>
        <v/>
      </c>
      <c r="T32">
        <f>IF(OR($N32="",$O32=""),"",MAX(0,MOD($O32-$N32,1)-MAX(0,MIN($O32,13/24)-MAX($N32,0.5))))</f>
        <v/>
      </c>
      <c r="U32">
        <f>IF($A32="","",IF(ISNUMBER(MATCH($A32,祝日リスト!$A$2:$A$40,0)),"祝",IF(WEEKDAY($A32,2)=6,"土",IF(WEEKDAY($A32,2)=7,"日","平"))))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IF(ISNUMBER($D33),IF($D33&lt;1,$D33,(INT($D33/100)*60+MOD($D33,100))/1440),IFERROR(TIMEVALUE(SUBSTITUTE($D33,"：",":")),""))</f>
        <v/>
      </c>
      <c r="O33" s="35">
        <f>IF(ISNUMBER($F33),IF($F33&lt;1,$F33,(INT($F33/100)*60+MOD($F33,100))/1440),IFERROR(TIMEVALUE(SUBSTITUTE($F33,"：",":")),""))</f>
        <v/>
      </c>
      <c r="P33">
        <f>IF(ISNUMBER($G33),IF($G33&lt;1,$G33,(INT($G33/100)*60+MOD($G33,100))/1440),IFERROR(TIMEVALUE(SUBSTITUTE($G33,"：",":")),""))</f>
        <v/>
      </c>
      <c r="Q33">
        <f>IF(ISNUMBER($H33),IF($H33&lt;1,$H33,(INT($H33/100)*60+MOD($H33,100))/1440),IFERROR(TIMEVALUE(SUBSTITUTE($H33,"：",":")),""))</f>
        <v/>
      </c>
      <c r="R33">
        <f>IF(ISNUMBER($I33),IF($I33&lt;1,$I33,(INT($I33/100)*60+MOD($I33,100))/1440),IFERROR(TIMEVALUE(SUBSTITUTE($I33,"：",":")),""))</f>
        <v/>
      </c>
      <c r="S33">
        <f>IF(ISNUMBER($J33),IF($J33&lt;1,$J33,(INT($J33/100)*60+MOD($J33,100))/1440),IFERROR(TIMEVALUE(SUBSTITUTE($J33,"：",":")),""))</f>
        <v/>
      </c>
      <c r="T33">
        <f>IF(OR($N33="",$O33=""),"",MAX(0,MOD($O33-$N33,1)-MAX(0,MIN($O33,13/24)-MAX($N33,0.5))))</f>
        <v/>
      </c>
      <c r="U33">
        <f>IF($A33="","",IF(ISNUMBER(MATCH($A33,祝日リスト!$A$2:$A$40,0)),"祝",IF(WEEKDAY($A33,2)=6,"土",IF(WEEKDAY($A33,2)=7,"日","平"))))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IF(ISNUMBER($D34),IF($D34&lt;1,$D34,(INT($D34/100)*60+MOD($D34,100))/1440),IFERROR(TIMEVALUE(SUBSTITUTE($D34,"：",":")),""))</f>
        <v/>
      </c>
      <c r="O34" s="35">
        <f>IF(ISNUMBER($F34),IF($F34&lt;1,$F34,(INT($F34/100)*60+MOD($F34,100))/1440),IFERROR(TIMEVALUE(SUBSTITUTE($F34,"：",":")),""))</f>
        <v/>
      </c>
      <c r="P34">
        <f>IF(ISNUMBER($G34),IF($G34&lt;1,$G34,(INT($G34/100)*60+MOD($G34,100))/1440),IFERROR(TIMEVALUE(SUBSTITUTE($G34,"：",":")),""))</f>
        <v/>
      </c>
      <c r="Q34">
        <f>IF(ISNUMBER($H34),IF($H34&lt;1,$H34,(INT($H34/100)*60+MOD($H34,100))/1440),IFERROR(TIMEVALUE(SUBSTITUTE($H34,"：",":")),""))</f>
        <v/>
      </c>
      <c r="R34">
        <f>IF(ISNUMBER($I34),IF($I34&lt;1,$I34,(INT($I34/100)*60+MOD($I34,100))/1440),IFERROR(TIMEVALUE(SUBSTITUTE($I34,"：",":")),""))</f>
        <v/>
      </c>
      <c r="S34">
        <f>IF(ISNUMBER($J34),IF($J34&lt;1,$J34,(INT($J34/100)*60+MOD($J34,100))/1440),IFERROR(TIMEVALUE(SUBSTITUTE($J34,"：",":")),""))</f>
        <v/>
      </c>
      <c r="T34">
        <f>IF(OR($N34="",$O34=""),"",MAX(0,MOD($O34-$N34,1)-MAX(0,MIN($O34,13/24)-MAX($N34,0.5))))</f>
        <v/>
      </c>
      <c r="U34">
        <f>IF($A34="","",IF(ISNUMBER(MATCH($A34,祝日リスト!$A$2:$A$40,0)),"祝",IF(WEEKDAY($A34,2)=6,"土",IF(WEEKDAY($A34,2)=7,"日","平"))))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IF(ISNUMBER($D35),IF($D35&lt;1,$D35,(INT($D35/100)*60+MOD($D35,100))/1440),IFERROR(TIMEVALUE(SUBSTITUTE($D35,"：",":")),""))</f>
        <v/>
      </c>
      <c r="O35" s="35">
        <f>IF(ISNUMBER($F35),IF($F35&lt;1,$F35,(INT($F35/100)*60+MOD($F35,100))/1440),IFERROR(TIMEVALUE(SUBSTITUTE($F35,"：",":")),""))</f>
        <v/>
      </c>
      <c r="P35">
        <f>IF(ISNUMBER($G35),IF($G35&lt;1,$G35,(INT($G35/100)*60+MOD($G35,100))/1440),IFERROR(TIMEVALUE(SUBSTITUTE($G35,"：",":")),""))</f>
        <v/>
      </c>
      <c r="Q35">
        <f>IF(ISNUMBER($H35),IF($H35&lt;1,$H35,(INT($H35/100)*60+MOD($H35,100))/1440),IFERROR(TIMEVALUE(SUBSTITUTE($H35,"：",":")),""))</f>
        <v/>
      </c>
      <c r="R35">
        <f>IF(ISNUMBER($I35),IF($I35&lt;1,$I35,(INT($I35/100)*60+MOD($I35,100))/1440),IFERROR(TIMEVALUE(SUBSTITUTE($I35,"：",":")),""))</f>
        <v/>
      </c>
      <c r="S35">
        <f>IF(ISNUMBER($J35),IF($J35&lt;1,$J35,(INT($J35/100)*60+MOD($J35,100))/1440),IFERROR(TIMEVALUE(SUBSTITUTE($J35,"：",":")),""))</f>
        <v/>
      </c>
      <c r="T35">
        <f>IF(OR($N35="",$O35=""),"",MAX(0,MOD($O35-$N35,1)-MAX(0,MIN($O35,13/24)-MAX($N35,0.5))))</f>
        <v/>
      </c>
      <c r="U35">
        <f>IF($A35="","",IF(ISNUMBER(MATCH($A35,祝日リスト!$A$2:$A$40,0)),"祝",IF(WEEKDAY($A35,2)=6,"土",IF(WEEKDAY($A35,2)=7,"日","平"))))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IF(ISNUMBER($D36),IF($D36&lt;1,$D36,(INT($D36/100)*60+MOD($D36,100))/1440),IFERROR(TIMEVALUE(SUBSTITUTE($D36,"：",":")),""))</f>
        <v/>
      </c>
      <c r="O36" s="35">
        <f>IF(ISNUMBER($F36),IF($F36&lt;1,$F36,(INT($F36/100)*60+MOD($F36,100))/1440),IFERROR(TIMEVALUE(SUBSTITUTE($F36,"：",":")),""))</f>
        <v/>
      </c>
      <c r="P36">
        <f>IF(ISNUMBER($G36),IF($G36&lt;1,$G36,(INT($G36/100)*60+MOD($G36,100))/1440),IFERROR(TIMEVALUE(SUBSTITUTE($G36,"：",":")),""))</f>
        <v/>
      </c>
      <c r="Q36">
        <f>IF(ISNUMBER($H36),IF($H36&lt;1,$H36,(INT($H36/100)*60+MOD($H36,100))/1440),IFERROR(TIMEVALUE(SUBSTITUTE($H36,"：",":")),""))</f>
        <v/>
      </c>
      <c r="R36">
        <f>IF(ISNUMBER($I36),IF($I36&lt;1,$I36,(INT($I36/100)*60+MOD($I36,100))/1440),IFERROR(TIMEVALUE(SUBSTITUTE($I36,"：",":")),""))</f>
        <v/>
      </c>
      <c r="S36">
        <f>IF(ISNUMBER($J36),IF($J36&lt;1,$J36,(INT($J36/100)*60+MOD($J36,100))/1440),IFERROR(TIMEVALUE(SUBSTITUTE($J36,"：",":")),""))</f>
        <v/>
      </c>
      <c r="T36">
        <f>IF(OR($N36="",$O36=""),"",MAX(0,MOD($O36-$N36,1)-MAX(0,MIN($O36,13/24)-MAX($N36,0.5))))</f>
        <v/>
      </c>
      <c r="U36">
        <f>IF($A36="","",IF(ISNUMBER(MATCH($A36,祝日リスト!$A$2:$A$40,0)),"祝",IF(WEEKDAY($A36,2)=6,"土",IF(WEEKDAY($A36,2)=7,"日","平"))))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IF(ISNUMBER($D37),IF($D37&lt;1,$D37,(INT($D37/100)*60+MOD($D37,100))/1440),IFERROR(TIMEVALUE(SUBSTITUTE($D37,"：",":")),""))</f>
        <v/>
      </c>
      <c r="O37">
        <f>IF(ISNUMBER($F37),IF($F37&lt;1,$F37,(INT($F37/100)*60+MOD($F37,100))/1440),IFERROR(TIMEVALUE(SUBSTITUTE($F37,"：",":")),""))</f>
        <v/>
      </c>
      <c r="P37">
        <f>IF(ISNUMBER($G37),IF($G37&lt;1,$G37,(INT($G37/100)*60+MOD($G37,100))/1440),IFERROR(TIMEVALUE(SUBSTITUTE($G37,"：",":")),""))</f>
        <v/>
      </c>
      <c r="Q37">
        <f>IF(ISNUMBER($H37),IF($H37&lt;1,$H37,(INT($H37/100)*60+MOD($H37,100))/1440),IFERROR(TIMEVALUE(SUBSTITUTE($H37,"：",":")),""))</f>
        <v/>
      </c>
      <c r="R37">
        <f>IF(ISNUMBER($I37),IF($I37&lt;1,$I37,(INT($I37/100)*60+MOD($I37,100))/1440),IFERROR(TIMEVALUE(SUBSTITUTE($I37,"：",":")),""))</f>
        <v/>
      </c>
      <c r="S37">
        <f>IF(ISNUMBER($J37),IF($J37&lt;1,$J37,(INT($J37/100)*60+MOD($J37,100))/1440),IFERROR(TIMEVALUE(SUBSTITUTE($J37,"：",":")),""))</f>
        <v/>
      </c>
      <c r="T37">
        <f>IF(OR($N37="",$O37=""),"",MAX(0,MOD($O37-$N37,1)-MAX(0,MIN($O37,13/24)-MAX($N37,0.5))))</f>
        <v/>
      </c>
      <c r="U37">
        <f>IF($A37="","",IF(ISNUMBER(MATCH($A37,祝日リスト!$A$2:$A$40,0)),"祝",IF(WEEKDAY($A37,2)=6,"土",IF(WEEKDAY($A37,2)=7,"日","平"))))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AND($A7&lt;&gt;"",OR(WEEKDAY($A7,2)=6,WEEKDAY($A7,2)=7,WEEKDAY($A7,2)=3,ISNUMBER(MATCH($A7,祝日リスト!$A$2:$A$40,0))))</formula>
    </cfRule>
  </conditionalFormatting>
  <dataValidations count="1">
    <dataValidation sqref="D7:D37 F7:F37 G7:G37 H7:H37 I7:I37 J7:J37" showDropDown="0" showInputMessage="0" showErrorMessage="1" allowBlank="1" errorTitle="時刻の入力" error="9:30 のように、コロン付きで入力してください（全角の 9：00 でも可）。" type="custom">
      <formula1>=OR(AND(ISNUMBER(D7),D7&gt;=0,D7&lt;1),IFERROR(ISNUMBER(TIMEVALUE(SUBSTITUTE(D7,"：",":"))),FALSE))</formula1>
    </dataValidation>
  </dataValidations>
  <pageMargins left="0.25" right="0.25" top="0.75" bottom="0.75" header="0" footer="0"/>
  <pageSetup orientation="portrait" paperSize="9" scale="96" fitToWidth="0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9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IF(ISNUMBER($D7),IF($D7&lt;1,$D7,(INT($D7/100)*60+MOD($D7,100))/1440),IFERROR(TIMEVALUE(SUBSTITUTE($D7,"：",":")),""))</f>
        <v/>
      </c>
      <c r="O7">
        <f>IF(ISNUMBER($F7),IF($F7&lt;1,$F7,(INT($F7/100)*60+MOD($F7,100))/1440),IFERROR(TIMEVALUE(SUBSTITUTE($F7,"：",":")),""))</f>
        <v/>
      </c>
      <c r="P7">
        <f>IF(ISNUMBER($G7),IF($G7&lt;1,$G7,(INT($G7/100)*60+MOD($G7,100))/1440),IFERROR(TIMEVALUE(SUBSTITUTE($G7,"：",":")),""))</f>
        <v/>
      </c>
      <c r="Q7">
        <f>IF(ISNUMBER($H7),IF($H7&lt;1,$H7,(INT($H7/100)*60+MOD($H7,100))/1440),IFERROR(TIMEVALUE(SUBSTITUTE($H7,"：",":")),""))</f>
        <v/>
      </c>
      <c r="R7">
        <f>IF(ISNUMBER($I7),IF($I7&lt;1,$I7,(INT($I7/100)*60+MOD($I7,100))/1440),IFERROR(TIMEVALUE(SUBSTITUTE($I7,"：",":")),""))</f>
        <v/>
      </c>
      <c r="S7">
        <f>IF(ISNUMBER($J7),IF($J7&lt;1,$J7,(INT($J7/100)*60+MOD($J7,100))/1440),IFERROR(TIMEVALUE(SUBSTITUTE($J7,"：",":")),""))</f>
        <v/>
      </c>
      <c r="T7">
        <f>IF(OR($N7="",$O7=""),"",MAX(0,MOD($O7-$N7,1)-MAX(0,MIN($O7,13/24)-MAX($N7,0.5))))</f>
        <v/>
      </c>
      <c r="U7">
        <f>IF($A7="","",IF(ISNUMBER(MATCH($A7,祝日リスト!$A$2:$A$40,0)),"祝",IF(WEEKDAY($A7,2)=6,"土",IF(WEEKDAY($A7,2)=7,"日","平"))))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IF(ISNUMBER($D8),IF($D8&lt;1,$D8,(INT($D8/100)*60+MOD($D8,100))/1440),IFERROR(TIMEVALUE(SUBSTITUTE($D8,"：",":")),""))</f>
        <v/>
      </c>
      <c r="O8" s="35">
        <f>IF(ISNUMBER($F8),IF($F8&lt;1,$F8,(INT($F8/100)*60+MOD($F8,100))/1440),IFERROR(TIMEVALUE(SUBSTITUTE($F8,"：",":")),""))</f>
        <v/>
      </c>
      <c r="P8">
        <f>IF(ISNUMBER($G8),IF($G8&lt;1,$G8,(INT($G8/100)*60+MOD($G8,100))/1440),IFERROR(TIMEVALUE(SUBSTITUTE($G8,"：",":")),""))</f>
        <v/>
      </c>
      <c r="Q8">
        <f>IF(ISNUMBER($H8),IF($H8&lt;1,$H8,(INT($H8/100)*60+MOD($H8,100))/1440),IFERROR(TIMEVALUE(SUBSTITUTE($H8,"：",":")),""))</f>
        <v/>
      </c>
      <c r="R8">
        <f>IF(ISNUMBER($I8),IF($I8&lt;1,$I8,(INT($I8/100)*60+MOD($I8,100))/1440),IFERROR(TIMEVALUE(SUBSTITUTE($I8,"：",":")),""))</f>
        <v/>
      </c>
      <c r="S8">
        <f>IF(ISNUMBER($J8),IF($J8&lt;1,$J8,(INT($J8/100)*60+MOD($J8,100))/1440),IFERROR(TIMEVALUE(SUBSTITUTE($J8,"：",":")),""))</f>
        <v/>
      </c>
      <c r="T8">
        <f>IF(OR($N8="",$O8=""),"",MAX(0,MOD($O8-$N8,1)-MAX(0,MIN($O8,13/24)-MAX($N8,0.5))))</f>
        <v/>
      </c>
      <c r="U8">
        <f>IF($A8="","",IF(ISNUMBER(MATCH($A8,祝日リスト!$A$2:$A$40,0)),"祝",IF(WEEKDAY($A8,2)=6,"土",IF(WEEKDAY($A8,2)=7,"日","平"))))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IF(ISNUMBER($D9),IF($D9&lt;1,$D9,(INT($D9/100)*60+MOD($D9,100))/1440),IFERROR(TIMEVALUE(SUBSTITUTE($D9,"：",":")),""))</f>
        <v/>
      </c>
      <c r="O9" s="35">
        <f>IF(ISNUMBER($F9),IF($F9&lt;1,$F9,(INT($F9/100)*60+MOD($F9,100))/1440),IFERROR(TIMEVALUE(SUBSTITUTE($F9,"：",":")),""))</f>
        <v/>
      </c>
      <c r="P9">
        <f>IF(ISNUMBER($G9),IF($G9&lt;1,$G9,(INT($G9/100)*60+MOD($G9,100))/1440),IFERROR(TIMEVALUE(SUBSTITUTE($G9,"：",":")),""))</f>
        <v/>
      </c>
      <c r="Q9">
        <f>IF(ISNUMBER($H9),IF($H9&lt;1,$H9,(INT($H9/100)*60+MOD($H9,100))/1440),IFERROR(TIMEVALUE(SUBSTITUTE($H9,"：",":")),""))</f>
        <v/>
      </c>
      <c r="R9">
        <f>IF(ISNUMBER($I9),IF($I9&lt;1,$I9,(INT($I9/100)*60+MOD($I9,100))/1440),IFERROR(TIMEVALUE(SUBSTITUTE($I9,"：",":")),""))</f>
        <v/>
      </c>
      <c r="S9">
        <f>IF(ISNUMBER($J9),IF($J9&lt;1,$J9,(INT($J9/100)*60+MOD($J9,100))/1440),IFERROR(TIMEVALUE(SUBSTITUTE($J9,"：",":")),""))</f>
        <v/>
      </c>
      <c r="T9">
        <f>IF(OR($N9="",$O9=""),"",MAX(0,MOD($O9-$N9,1)-MAX(0,MIN($O9,13/24)-MAX($N9,0.5))))</f>
        <v/>
      </c>
      <c r="U9">
        <f>IF($A9="","",IF(ISNUMBER(MATCH($A9,祝日リスト!$A$2:$A$40,0)),"祝",IF(WEEKDAY($A9,2)=6,"土",IF(WEEKDAY($A9,2)=7,"日","平"))))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IF(ISNUMBER($D10),IF($D10&lt;1,$D10,(INT($D10/100)*60+MOD($D10,100))/1440),IFERROR(TIMEVALUE(SUBSTITUTE($D10,"：",":")),""))</f>
        <v/>
      </c>
      <c r="O10" s="35">
        <f>IF(ISNUMBER($F10),IF($F10&lt;1,$F10,(INT($F10/100)*60+MOD($F10,100))/1440),IFERROR(TIMEVALUE(SUBSTITUTE($F10,"：",":")),""))</f>
        <v/>
      </c>
      <c r="P10">
        <f>IF(ISNUMBER($G10),IF($G10&lt;1,$G10,(INT($G10/100)*60+MOD($G10,100))/1440),IFERROR(TIMEVALUE(SUBSTITUTE($G10,"：",":")),""))</f>
        <v/>
      </c>
      <c r="Q10">
        <f>IF(ISNUMBER($H10),IF($H10&lt;1,$H10,(INT($H10/100)*60+MOD($H10,100))/1440),IFERROR(TIMEVALUE(SUBSTITUTE($H10,"：",":")),""))</f>
        <v/>
      </c>
      <c r="R10">
        <f>IF(ISNUMBER($I10),IF($I10&lt;1,$I10,(INT($I10/100)*60+MOD($I10,100))/1440),IFERROR(TIMEVALUE(SUBSTITUTE($I10,"：",":")),""))</f>
        <v/>
      </c>
      <c r="S10">
        <f>IF(ISNUMBER($J10),IF($J10&lt;1,$J10,(INT($J10/100)*60+MOD($J10,100))/1440),IFERROR(TIMEVALUE(SUBSTITUTE($J10,"：",":")),""))</f>
        <v/>
      </c>
      <c r="T10">
        <f>IF(OR($N10="",$O10=""),"",MAX(0,MOD($O10-$N10,1)-MAX(0,MIN($O10,13/24)-MAX($N10,0.5))))</f>
        <v/>
      </c>
      <c r="U10">
        <f>IF($A10="","",IF(ISNUMBER(MATCH($A10,祝日リスト!$A$2:$A$40,0)),"祝",IF(WEEKDAY($A10,2)=6,"土",IF(WEEKDAY($A10,2)=7,"日","平"))))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IF(ISNUMBER($D11),IF($D11&lt;1,$D11,(INT($D11/100)*60+MOD($D11,100))/1440),IFERROR(TIMEVALUE(SUBSTITUTE($D11,"：",":")),""))</f>
        <v/>
      </c>
      <c r="O11" s="35">
        <f>IF(ISNUMBER($F11),IF($F11&lt;1,$F11,(INT($F11/100)*60+MOD($F11,100))/1440),IFERROR(TIMEVALUE(SUBSTITUTE($F11,"：",":")),""))</f>
        <v/>
      </c>
      <c r="P11">
        <f>IF(ISNUMBER($G11),IF($G11&lt;1,$G11,(INT($G11/100)*60+MOD($G11,100))/1440),IFERROR(TIMEVALUE(SUBSTITUTE($G11,"：",":")),""))</f>
        <v/>
      </c>
      <c r="Q11">
        <f>IF(ISNUMBER($H11),IF($H11&lt;1,$H11,(INT($H11/100)*60+MOD($H11,100))/1440),IFERROR(TIMEVALUE(SUBSTITUTE($H11,"：",":")),""))</f>
        <v/>
      </c>
      <c r="R11">
        <f>IF(ISNUMBER($I11),IF($I11&lt;1,$I11,(INT($I11/100)*60+MOD($I11,100))/1440),IFERROR(TIMEVALUE(SUBSTITUTE($I11,"：",":")),""))</f>
        <v/>
      </c>
      <c r="S11">
        <f>IF(ISNUMBER($J11),IF($J11&lt;1,$J11,(INT($J11/100)*60+MOD($J11,100))/1440),IFERROR(TIMEVALUE(SUBSTITUTE($J11,"：",":")),""))</f>
        <v/>
      </c>
      <c r="T11">
        <f>IF(OR($N11="",$O11=""),"",MAX(0,MOD($O11-$N11,1)-MAX(0,MIN($O11,13/24)-MAX($N11,0.5))))</f>
        <v/>
      </c>
      <c r="U11">
        <f>IF($A11="","",IF(ISNUMBER(MATCH($A11,祝日リスト!$A$2:$A$40,0)),"祝",IF(WEEKDAY($A11,2)=6,"土",IF(WEEKDAY($A11,2)=7,"日","平"))))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IF(ISNUMBER($D12),IF($D12&lt;1,$D12,(INT($D12/100)*60+MOD($D12,100))/1440),IFERROR(TIMEVALUE(SUBSTITUTE($D12,"：",":")),""))</f>
        <v/>
      </c>
      <c r="O12" s="35">
        <f>IF(ISNUMBER($F12),IF($F12&lt;1,$F12,(INT($F12/100)*60+MOD($F12,100))/1440),IFERROR(TIMEVALUE(SUBSTITUTE($F12,"：",":")),""))</f>
        <v/>
      </c>
      <c r="P12">
        <f>IF(ISNUMBER($G12),IF($G12&lt;1,$G12,(INT($G12/100)*60+MOD($G12,100))/1440),IFERROR(TIMEVALUE(SUBSTITUTE($G12,"：",":")),""))</f>
        <v/>
      </c>
      <c r="Q12">
        <f>IF(ISNUMBER($H12),IF($H12&lt;1,$H12,(INT($H12/100)*60+MOD($H12,100))/1440),IFERROR(TIMEVALUE(SUBSTITUTE($H12,"：",":")),""))</f>
        <v/>
      </c>
      <c r="R12">
        <f>IF(ISNUMBER($I12),IF($I12&lt;1,$I12,(INT($I12/100)*60+MOD($I12,100))/1440),IFERROR(TIMEVALUE(SUBSTITUTE($I12,"：",":")),""))</f>
        <v/>
      </c>
      <c r="S12">
        <f>IF(ISNUMBER($J12),IF($J12&lt;1,$J12,(INT($J12/100)*60+MOD($J12,100))/1440),IFERROR(TIMEVALUE(SUBSTITUTE($J12,"：",":")),""))</f>
        <v/>
      </c>
      <c r="T12">
        <f>IF(OR($N12="",$O12=""),"",MAX(0,MOD($O12-$N12,1)-MAX(0,MIN($O12,13/24)-MAX($N12,0.5))))</f>
        <v/>
      </c>
      <c r="U12">
        <f>IF($A12="","",IF(ISNUMBER(MATCH($A12,祝日リスト!$A$2:$A$40,0)),"祝",IF(WEEKDAY($A12,2)=6,"土",IF(WEEKDAY($A12,2)=7,"日","平"))))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IF(ISNUMBER($D13),IF($D13&lt;1,$D13,(INT($D13/100)*60+MOD($D13,100))/1440),IFERROR(TIMEVALUE(SUBSTITUTE($D13,"：",":")),""))</f>
        <v/>
      </c>
      <c r="O13" s="35">
        <f>IF(ISNUMBER($F13),IF($F13&lt;1,$F13,(INT($F13/100)*60+MOD($F13,100))/1440),IFERROR(TIMEVALUE(SUBSTITUTE($F13,"：",":")),""))</f>
        <v/>
      </c>
      <c r="P13">
        <f>IF(ISNUMBER($G13),IF($G13&lt;1,$G13,(INT($G13/100)*60+MOD($G13,100))/1440),IFERROR(TIMEVALUE(SUBSTITUTE($G13,"：",":")),""))</f>
        <v/>
      </c>
      <c r="Q13">
        <f>IF(ISNUMBER($H13),IF($H13&lt;1,$H13,(INT($H13/100)*60+MOD($H13,100))/1440),IFERROR(TIMEVALUE(SUBSTITUTE($H13,"：",":")),""))</f>
        <v/>
      </c>
      <c r="R13">
        <f>IF(ISNUMBER($I13),IF($I13&lt;1,$I13,(INT($I13/100)*60+MOD($I13,100))/1440),IFERROR(TIMEVALUE(SUBSTITUTE($I13,"：",":")),""))</f>
        <v/>
      </c>
      <c r="S13">
        <f>IF(ISNUMBER($J13),IF($J13&lt;1,$J13,(INT($J13/100)*60+MOD($J13,100))/1440),IFERROR(TIMEVALUE(SUBSTITUTE($J13,"：",":")),""))</f>
        <v/>
      </c>
      <c r="T13">
        <f>IF(OR($N13="",$O13=""),"",MAX(0,MOD($O13-$N13,1)-MAX(0,MIN($O13,13/24)-MAX($N13,0.5))))</f>
        <v/>
      </c>
      <c r="U13">
        <f>IF($A13="","",IF(ISNUMBER(MATCH($A13,祝日リスト!$A$2:$A$40,0)),"祝",IF(WEEKDAY($A13,2)=6,"土",IF(WEEKDAY($A13,2)=7,"日","平"))))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IF(ISNUMBER($D14),IF($D14&lt;1,$D14,(INT($D14/100)*60+MOD($D14,100))/1440),IFERROR(TIMEVALUE(SUBSTITUTE($D14,"：",":")),""))</f>
        <v/>
      </c>
      <c r="O14" s="35">
        <f>IF(ISNUMBER($F14),IF($F14&lt;1,$F14,(INT($F14/100)*60+MOD($F14,100))/1440),IFERROR(TIMEVALUE(SUBSTITUTE($F14,"：",":")),""))</f>
        <v/>
      </c>
      <c r="P14">
        <f>IF(ISNUMBER($G14),IF($G14&lt;1,$G14,(INT($G14/100)*60+MOD($G14,100))/1440),IFERROR(TIMEVALUE(SUBSTITUTE($G14,"：",":")),""))</f>
        <v/>
      </c>
      <c r="Q14">
        <f>IF(ISNUMBER($H14),IF($H14&lt;1,$H14,(INT($H14/100)*60+MOD($H14,100))/1440),IFERROR(TIMEVALUE(SUBSTITUTE($H14,"：",":")),""))</f>
        <v/>
      </c>
      <c r="R14">
        <f>IF(ISNUMBER($I14),IF($I14&lt;1,$I14,(INT($I14/100)*60+MOD($I14,100))/1440),IFERROR(TIMEVALUE(SUBSTITUTE($I14,"：",":")),""))</f>
        <v/>
      </c>
      <c r="S14">
        <f>IF(ISNUMBER($J14),IF($J14&lt;1,$J14,(INT($J14/100)*60+MOD($J14,100))/1440),IFERROR(TIMEVALUE(SUBSTITUTE($J14,"：",":")),""))</f>
        <v/>
      </c>
      <c r="T14">
        <f>IF(OR($N14="",$O14=""),"",MAX(0,MOD($O14-$N14,1)-MAX(0,MIN($O14,13/24)-MAX($N14,0.5))))</f>
        <v/>
      </c>
      <c r="U14">
        <f>IF($A14="","",IF(ISNUMBER(MATCH($A14,祝日リスト!$A$2:$A$40,0)),"祝",IF(WEEKDAY($A14,2)=6,"土",IF(WEEKDAY($A14,2)=7,"日","平"))))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IF(ISNUMBER($D15),IF($D15&lt;1,$D15,(INT($D15/100)*60+MOD($D15,100))/1440),IFERROR(TIMEVALUE(SUBSTITUTE($D15,"：",":")),""))</f>
        <v/>
      </c>
      <c r="O15" s="35">
        <f>IF(ISNUMBER($F15),IF($F15&lt;1,$F15,(INT($F15/100)*60+MOD($F15,100))/1440),IFERROR(TIMEVALUE(SUBSTITUTE($F15,"：",":")),""))</f>
        <v/>
      </c>
      <c r="P15">
        <f>IF(ISNUMBER($G15),IF($G15&lt;1,$G15,(INT($G15/100)*60+MOD($G15,100))/1440),IFERROR(TIMEVALUE(SUBSTITUTE($G15,"：",":")),""))</f>
        <v/>
      </c>
      <c r="Q15">
        <f>IF(ISNUMBER($H15),IF($H15&lt;1,$H15,(INT($H15/100)*60+MOD($H15,100))/1440),IFERROR(TIMEVALUE(SUBSTITUTE($H15,"：",":")),""))</f>
        <v/>
      </c>
      <c r="R15">
        <f>IF(ISNUMBER($I15),IF($I15&lt;1,$I15,(INT($I15/100)*60+MOD($I15,100))/1440),IFERROR(TIMEVALUE(SUBSTITUTE($I15,"：",":")),""))</f>
        <v/>
      </c>
      <c r="S15">
        <f>IF(ISNUMBER($J15),IF($J15&lt;1,$J15,(INT($J15/100)*60+MOD($J15,100))/1440),IFERROR(TIMEVALUE(SUBSTITUTE($J15,"：",":")),""))</f>
        <v/>
      </c>
      <c r="T15">
        <f>IF(OR($N15="",$O15=""),"",MAX(0,MOD($O15-$N15,1)-MAX(0,MIN($O15,13/24)-MAX($N15,0.5))))</f>
        <v/>
      </c>
      <c r="U15">
        <f>IF($A15="","",IF(ISNUMBER(MATCH($A15,祝日リスト!$A$2:$A$40,0)),"祝",IF(WEEKDAY($A15,2)=6,"土",IF(WEEKDAY($A15,2)=7,"日","平"))))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IF(ISNUMBER($D16),IF($D16&lt;1,$D16,(INT($D16/100)*60+MOD($D16,100))/1440),IFERROR(TIMEVALUE(SUBSTITUTE($D16,"：",":")),""))</f>
        <v/>
      </c>
      <c r="O16" s="35">
        <f>IF(ISNUMBER($F16),IF($F16&lt;1,$F16,(INT($F16/100)*60+MOD($F16,100))/1440),IFERROR(TIMEVALUE(SUBSTITUTE($F16,"：",":")),""))</f>
        <v/>
      </c>
      <c r="P16">
        <f>IF(ISNUMBER($G16),IF($G16&lt;1,$G16,(INT($G16/100)*60+MOD($G16,100))/1440),IFERROR(TIMEVALUE(SUBSTITUTE($G16,"：",":")),""))</f>
        <v/>
      </c>
      <c r="Q16">
        <f>IF(ISNUMBER($H16),IF($H16&lt;1,$H16,(INT($H16/100)*60+MOD($H16,100))/1440),IFERROR(TIMEVALUE(SUBSTITUTE($H16,"：",":")),""))</f>
        <v/>
      </c>
      <c r="R16">
        <f>IF(ISNUMBER($I16),IF($I16&lt;1,$I16,(INT($I16/100)*60+MOD($I16,100))/1440),IFERROR(TIMEVALUE(SUBSTITUTE($I16,"：",":")),""))</f>
        <v/>
      </c>
      <c r="S16">
        <f>IF(ISNUMBER($J16),IF($J16&lt;1,$J16,(INT($J16/100)*60+MOD($J16,100))/1440),IFERROR(TIMEVALUE(SUBSTITUTE($J16,"：",":")),""))</f>
        <v/>
      </c>
      <c r="T16">
        <f>IF(OR($N16="",$O16=""),"",MAX(0,MOD($O16-$N16,1)-MAX(0,MIN($O16,13/24)-MAX($N16,0.5))))</f>
        <v/>
      </c>
      <c r="U16">
        <f>IF($A16="","",IF(ISNUMBER(MATCH($A16,祝日リスト!$A$2:$A$40,0)),"祝",IF(WEEKDAY($A16,2)=6,"土",IF(WEEKDAY($A16,2)=7,"日","平"))))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IF(ISNUMBER($D17),IF($D17&lt;1,$D17,(INT($D17/100)*60+MOD($D17,100))/1440),IFERROR(TIMEVALUE(SUBSTITUTE($D17,"：",":")),""))</f>
        <v/>
      </c>
      <c r="O17" s="35">
        <f>IF(ISNUMBER($F17),IF($F17&lt;1,$F17,(INT($F17/100)*60+MOD($F17,100))/1440),IFERROR(TIMEVALUE(SUBSTITUTE($F17,"：",":")),""))</f>
        <v/>
      </c>
      <c r="P17">
        <f>IF(ISNUMBER($G17),IF($G17&lt;1,$G17,(INT($G17/100)*60+MOD($G17,100))/1440),IFERROR(TIMEVALUE(SUBSTITUTE($G17,"：",":")),""))</f>
        <v/>
      </c>
      <c r="Q17">
        <f>IF(ISNUMBER($H17),IF($H17&lt;1,$H17,(INT($H17/100)*60+MOD($H17,100))/1440),IFERROR(TIMEVALUE(SUBSTITUTE($H17,"：",":")),""))</f>
        <v/>
      </c>
      <c r="R17">
        <f>IF(ISNUMBER($I17),IF($I17&lt;1,$I17,(INT($I17/100)*60+MOD($I17,100))/1440),IFERROR(TIMEVALUE(SUBSTITUTE($I17,"：",":")),""))</f>
        <v/>
      </c>
      <c r="S17">
        <f>IF(ISNUMBER($J17),IF($J17&lt;1,$J17,(INT($J17/100)*60+MOD($J17,100))/1440),IFERROR(TIMEVALUE(SUBSTITUTE($J17,"：",":")),""))</f>
        <v/>
      </c>
      <c r="T17">
        <f>IF(OR($N17="",$O17=""),"",MAX(0,MOD($O17-$N17,1)-MAX(0,MIN($O17,13/24)-MAX($N17,0.5))))</f>
        <v/>
      </c>
      <c r="U17">
        <f>IF($A17="","",IF(ISNUMBER(MATCH($A17,祝日リスト!$A$2:$A$40,0)),"祝",IF(WEEKDAY($A17,2)=6,"土",IF(WEEKDAY($A17,2)=7,"日","平"))))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IF(ISNUMBER($D18),IF($D18&lt;1,$D18,(INT($D18/100)*60+MOD($D18,100))/1440),IFERROR(TIMEVALUE(SUBSTITUTE($D18,"：",":")),""))</f>
        <v/>
      </c>
      <c r="O18" s="35">
        <f>IF(ISNUMBER($F18),IF($F18&lt;1,$F18,(INT($F18/100)*60+MOD($F18,100))/1440),IFERROR(TIMEVALUE(SUBSTITUTE($F18,"：",":")),""))</f>
        <v/>
      </c>
      <c r="P18">
        <f>IF(ISNUMBER($G18),IF($G18&lt;1,$G18,(INT($G18/100)*60+MOD($G18,100))/1440),IFERROR(TIMEVALUE(SUBSTITUTE($G18,"：",":")),""))</f>
        <v/>
      </c>
      <c r="Q18">
        <f>IF(ISNUMBER($H18),IF($H18&lt;1,$H18,(INT($H18/100)*60+MOD($H18,100))/1440),IFERROR(TIMEVALUE(SUBSTITUTE($H18,"：",":")),""))</f>
        <v/>
      </c>
      <c r="R18">
        <f>IF(ISNUMBER($I18),IF($I18&lt;1,$I18,(INT($I18/100)*60+MOD($I18,100))/1440),IFERROR(TIMEVALUE(SUBSTITUTE($I18,"：",":")),""))</f>
        <v/>
      </c>
      <c r="S18">
        <f>IF(ISNUMBER($J18),IF($J18&lt;1,$J18,(INT($J18/100)*60+MOD($J18,100))/1440),IFERROR(TIMEVALUE(SUBSTITUTE($J18,"：",":")),""))</f>
        <v/>
      </c>
      <c r="T18">
        <f>IF(OR($N18="",$O18=""),"",MAX(0,MOD($O18-$N18,1)-MAX(0,MIN($O18,13/24)-MAX($N18,0.5))))</f>
        <v/>
      </c>
      <c r="U18">
        <f>IF($A18="","",IF(ISNUMBER(MATCH($A18,祝日リスト!$A$2:$A$40,0)),"祝",IF(WEEKDAY($A18,2)=6,"土",IF(WEEKDAY($A18,2)=7,"日","平"))))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IF(ISNUMBER($D19),IF($D19&lt;1,$D19,(INT($D19/100)*60+MOD($D19,100))/1440),IFERROR(TIMEVALUE(SUBSTITUTE($D19,"：",":")),""))</f>
        <v/>
      </c>
      <c r="O19" s="35">
        <f>IF(ISNUMBER($F19),IF($F19&lt;1,$F19,(INT($F19/100)*60+MOD($F19,100))/1440),IFERROR(TIMEVALUE(SUBSTITUTE($F19,"：",":")),""))</f>
        <v/>
      </c>
      <c r="P19">
        <f>IF(ISNUMBER($G19),IF($G19&lt;1,$G19,(INT($G19/100)*60+MOD($G19,100))/1440),IFERROR(TIMEVALUE(SUBSTITUTE($G19,"：",":")),""))</f>
        <v/>
      </c>
      <c r="Q19">
        <f>IF(ISNUMBER($H19),IF($H19&lt;1,$H19,(INT($H19/100)*60+MOD($H19,100))/1440),IFERROR(TIMEVALUE(SUBSTITUTE($H19,"：",":")),""))</f>
        <v/>
      </c>
      <c r="R19">
        <f>IF(ISNUMBER($I19),IF($I19&lt;1,$I19,(INT($I19/100)*60+MOD($I19,100))/1440),IFERROR(TIMEVALUE(SUBSTITUTE($I19,"：",":")),""))</f>
        <v/>
      </c>
      <c r="S19">
        <f>IF(ISNUMBER($J19),IF($J19&lt;1,$J19,(INT($J19/100)*60+MOD($J19,100))/1440),IFERROR(TIMEVALUE(SUBSTITUTE($J19,"：",":")),""))</f>
        <v/>
      </c>
      <c r="T19">
        <f>IF(OR($N19="",$O19=""),"",MAX(0,MOD($O19-$N19,1)-MAX(0,MIN($O19,13/24)-MAX($N19,0.5))))</f>
        <v/>
      </c>
      <c r="U19">
        <f>IF($A19="","",IF(ISNUMBER(MATCH($A19,祝日リスト!$A$2:$A$40,0)),"祝",IF(WEEKDAY($A19,2)=6,"土",IF(WEEKDAY($A19,2)=7,"日","平"))))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IF(ISNUMBER($D20),IF($D20&lt;1,$D20,(INT($D20/100)*60+MOD($D20,100))/1440),IFERROR(TIMEVALUE(SUBSTITUTE($D20,"：",":")),""))</f>
        <v/>
      </c>
      <c r="O20" s="35">
        <f>IF(ISNUMBER($F20),IF($F20&lt;1,$F20,(INT($F20/100)*60+MOD($F20,100))/1440),IFERROR(TIMEVALUE(SUBSTITUTE($F20,"：",":")),""))</f>
        <v/>
      </c>
      <c r="P20">
        <f>IF(ISNUMBER($G20),IF($G20&lt;1,$G20,(INT($G20/100)*60+MOD($G20,100))/1440),IFERROR(TIMEVALUE(SUBSTITUTE($G20,"：",":")),""))</f>
        <v/>
      </c>
      <c r="Q20">
        <f>IF(ISNUMBER($H20),IF($H20&lt;1,$H20,(INT($H20/100)*60+MOD($H20,100))/1440),IFERROR(TIMEVALUE(SUBSTITUTE($H20,"：",":")),""))</f>
        <v/>
      </c>
      <c r="R20">
        <f>IF(ISNUMBER($I20),IF($I20&lt;1,$I20,(INT($I20/100)*60+MOD($I20,100))/1440),IFERROR(TIMEVALUE(SUBSTITUTE($I20,"：",":")),""))</f>
        <v/>
      </c>
      <c r="S20">
        <f>IF(ISNUMBER($J20),IF($J20&lt;1,$J20,(INT($J20/100)*60+MOD($J20,100))/1440),IFERROR(TIMEVALUE(SUBSTITUTE($J20,"：",":")),""))</f>
        <v/>
      </c>
      <c r="T20">
        <f>IF(OR($N20="",$O20=""),"",MAX(0,MOD($O20-$N20,1)-MAX(0,MIN($O20,13/24)-MAX($N20,0.5))))</f>
        <v/>
      </c>
      <c r="U20">
        <f>IF($A20="","",IF(ISNUMBER(MATCH($A20,祝日リスト!$A$2:$A$40,0)),"祝",IF(WEEKDAY($A20,2)=6,"土",IF(WEEKDAY($A20,2)=7,"日","平"))))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IF(ISNUMBER($D21),IF($D21&lt;1,$D21,(INT($D21/100)*60+MOD($D21,100))/1440),IFERROR(TIMEVALUE(SUBSTITUTE($D21,"：",":")),""))</f>
        <v/>
      </c>
      <c r="O21" s="35">
        <f>IF(ISNUMBER($F21),IF($F21&lt;1,$F21,(INT($F21/100)*60+MOD($F21,100))/1440),IFERROR(TIMEVALUE(SUBSTITUTE($F21,"：",":")),""))</f>
        <v/>
      </c>
      <c r="P21">
        <f>IF(ISNUMBER($G21),IF($G21&lt;1,$G21,(INT($G21/100)*60+MOD($G21,100))/1440),IFERROR(TIMEVALUE(SUBSTITUTE($G21,"：",":")),""))</f>
        <v/>
      </c>
      <c r="Q21">
        <f>IF(ISNUMBER($H21),IF($H21&lt;1,$H21,(INT($H21/100)*60+MOD($H21,100))/1440),IFERROR(TIMEVALUE(SUBSTITUTE($H21,"：",":")),""))</f>
        <v/>
      </c>
      <c r="R21">
        <f>IF(ISNUMBER($I21),IF($I21&lt;1,$I21,(INT($I21/100)*60+MOD($I21,100))/1440),IFERROR(TIMEVALUE(SUBSTITUTE($I21,"：",":")),""))</f>
        <v/>
      </c>
      <c r="S21">
        <f>IF(ISNUMBER($J21),IF($J21&lt;1,$J21,(INT($J21/100)*60+MOD($J21,100))/1440),IFERROR(TIMEVALUE(SUBSTITUTE($J21,"：",":")),""))</f>
        <v/>
      </c>
      <c r="T21">
        <f>IF(OR($N21="",$O21=""),"",MAX(0,MOD($O21-$N21,1)-MAX(0,MIN($O21,13/24)-MAX($N21,0.5))))</f>
        <v/>
      </c>
      <c r="U21">
        <f>IF($A21="","",IF(ISNUMBER(MATCH($A21,祝日リスト!$A$2:$A$40,0)),"祝",IF(WEEKDAY($A21,2)=6,"土",IF(WEEKDAY($A21,2)=7,"日","平"))))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IF(ISNUMBER($D22),IF($D22&lt;1,$D22,(INT($D22/100)*60+MOD($D22,100))/1440),IFERROR(TIMEVALUE(SUBSTITUTE($D22,"：",":")),""))</f>
        <v/>
      </c>
      <c r="O22" s="35">
        <f>IF(ISNUMBER($F22),IF($F22&lt;1,$F22,(INT($F22/100)*60+MOD($F22,100))/1440),IFERROR(TIMEVALUE(SUBSTITUTE($F22,"：",":")),""))</f>
        <v/>
      </c>
      <c r="P22" s="4">
        <f>IF(ISNUMBER($G22),IF($G22&lt;1,$G22,(INT($G22/100)*60+MOD($G22,100))/1440),IFERROR(TIMEVALUE(SUBSTITUTE($G22,"：",":")),""))</f>
        <v/>
      </c>
      <c r="Q22" s="4">
        <f>IF(ISNUMBER($H22),IF($H22&lt;1,$H22,(INT($H22/100)*60+MOD($H22,100))/1440),IFERROR(TIMEVALUE(SUBSTITUTE($H22,"：",":")),""))</f>
        <v/>
      </c>
      <c r="R22" s="4">
        <f>IF(ISNUMBER($I22),IF($I22&lt;1,$I22,(INT($I22/100)*60+MOD($I22,100))/1440),IFERROR(TIMEVALUE(SUBSTITUTE($I22,"：",":")),""))</f>
        <v/>
      </c>
      <c r="S22" s="4">
        <f>IF(ISNUMBER($J22),IF($J22&lt;1,$J22,(INT($J22/100)*60+MOD($J22,100))/1440),IFERROR(TIMEVALUE(SUBSTITUTE($J22,"：",":")),""))</f>
        <v/>
      </c>
      <c r="T22" s="4">
        <f>IF(OR($N22="",$O22=""),"",MAX(0,MOD($O22-$N22,1)-MAX(0,MIN($O22,13/24)-MAX($N22,0.5))))</f>
        <v/>
      </c>
      <c r="U22" s="4">
        <f>IF($A22="","",IF(ISNUMBER(MATCH($A22,祝日リスト!$A$2:$A$40,0)),"祝",IF(WEEKDAY($A22,2)=6,"土",IF(WEEKDAY($A22,2)=7,"日","平"))))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IF(ISNUMBER($D23),IF($D23&lt;1,$D23,(INT($D23/100)*60+MOD($D23,100))/1440),IFERROR(TIMEVALUE(SUBSTITUTE($D23,"：",":")),""))</f>
        <v/>
      </c>
      <c r="O23" s="35">
        <f>IF(ISNUMBER($F23),IF($F23&lt;1,$F23,(INT($F23/100)*60+MOD($F23,100))/1440),IFERROR(TIMEVALUE(SUBSTITUTE($F23,"：",":")),""))</f>
        <v/>
      </c>
      <c r="P23">
        <f>IF(ISNUMBER($G23),IF($G23&lt;1,$G23,(INT($G23/100)*60+MOD($G23,100))/1440),IFERROR(TIMEVALUE(SUBSTITUTE($G23,"：",":")),""))</f>
        <v/>
      </c>
      <c r="Q23">
        <f>IF(ISNUMBER($H23),IF($H23&lt;1,$H23,(INT($H23/100)*60+MOD($H23,100))/1440),IFERROR(TIMEVALUE(SUBSTITUTE($H23,"：",":")),""))</f>
        <v/>
      </c>
      <c r="R23">
        <f>IF(ISNUMBER($I23),IF($I23&lt;1,$I23,(INT($I23/100)*60+MOD($I23,100))/1440),IFERROR(TIMEVALUE(SUBSTITUTE($I23,"：",":")),""))</f>
        <v/>
      </c>
      <c r="S23">
        <f>IF(ISNUMBER($J23),IF($J23&lt;1,$J23,(INT($J23/100)*60+MOD($J23,100))/1440),IFERROR(TIMEVALUE(SUBSTITUTE($J23,"：",":")),""))</f>
        <v/>
      </c>
      <c r="T23">
        <f>IF(OR($N23="",$O23=""),"",MAX(0,MOD($O23-$N23,1)-MAX(0,MIN($O23,13/24)-MAX($N23,0.5))))</f>
        <v/>
      </c>
      <c r="U23">
        <f>IF($A23="","",IF(ISNUMBER(MATCH($A23,祝日リスト!$A$2:$A$40,0)),"祝",IF(WEEKDAY($A23,2)=6,"土",IF(WEEKDAY($A23,2)=7,"日","平"))))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IF(ISNUMBER($D24),IF($D24&lt;1,$D24,(INT($D24/100)*60+MOD($D24,100))/1440),IFERROR(TIMEVALUE(SUBSTITUTE($D24,"：",":")),""))</f>
        <v/>
      </c>
      <c r="O24" s="35">
        <f>IF(ISNUMBER($F24),IF($F24&lt;1,$F24,(INT($F24/100)*60+MOD($F24,100))/1440),IFERROR(TIMEVALUE(SUBSTITUTE($F24,"：",":")),""))</f>
        <v/>
      </c>
      <c r="P24">
        <f>IF(ISNUMBER($G24),IF($G24&lt;1,$G24,(INT($G24/100)*60+MOD($G24,100))/1440),IFERROR(TIMEVALUE(SUBSTITUTE($G24,"：",":")),""))</f>
        <v/>
      </c>
      <c r="Q24">
        <f>IF(ISNUMBER($H24),IF($H24&lt;1,$H24,(INT($H24/100)*60+MOD($H24,100))/1440),IFERROR(TIMEVALUE(SUBSTITUTE($H24,"：",":")),""))</f>
        <v/>
      </c>
      <c r="R24">
        <f>IF(ISNUMBER($I24),IF($I24&lt;1,$I24,(INT($I24/100)*60+MOD($I24,100))/1440),IFERROR(TIMEVALUE(SUBSTITUTE($I24,"：",":")),""))</f>
        <v/>
      </c>
      <c r="S24">
        <f>IF(ISNUMBER($J24),IF($J24&lt;1,$J24,(INT($J24/100)*60+MOD($J24,100))/1440),IFERROR(TIMEVALUE(SUBSTITUTE($J24,"：",":")),""))</f>
        <v/>
      </c>
      <c r="T24">
        <f>IF(OR($N24="",$O24=""),"",MAX(0,MOD($O24-$N24,1)-MAX(0,MIN($O24,13/24)-MAX($N24,0.5))))</f>
        <v/>
      </c>
      <c r="U24">
        <f>IF($A24="","",IF(ISNUMBER(MATCH($A24,祝日リスト!$A$2:$A$40,0)),"祝",IF(WEEKDAY($A24,2)=6,"土",IF(WEEKDAY($A24,2)=7,"日","平"))))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IF(ISNUMBER($D25),IF($D25&lt;1,$D25,(INT($D25/100)*60+MOD($D25,100))/1440),IFERROR(TIMEVALUE(SUBSTITUTE($D25,"：",":")),""))</f>
        <v/>
      </c>
      <c r="O25" s="35">
        <f>IF(ISNUMBER($F25),IF($F25&lt;1,$F25,(INT($F25/100)*60+MOD($F25,100))/1440),IFERROR(TIMEVALUE(SUBSTITUTE($F25,"：",":")),""))</f>
        <v/>
      </c>
      <c r="P25">
        <f>IF(ISNUMBER($G25),IF($G25&lt;1,$G25,(INT($G25/100)*60+MOD($G25,100))/1440),IFERROR(TIMEVALUE(SUBSTITUTE($G25,"：",":")),""))</f>
        <v/>
      </c>
      <c r="Q25">
        <f>IF(ISNUMBER($H25),IF($H25&lt;1,$H25,(INT($H25/100)*60+MOD($H25,100))/1440),IFERROR(TIMEVALUE(SUBSTITUTE($H25,"：",":")),""))</f>
        <v/>
      </c>
      <c r="R25">
        <f>IF(ISNUMBER($I25),IF($I25&lt;1,$I25,(INT($I25/100)*60+MOD($I25,100))/1440),IFERROR(TIMEVALUE(SUBSTITUTE($I25,"：",":")),""))</f>
        <v/>
      </c>
      <c r="S25">
        <f>IF(ISNUMBER($J25),IF($J25&lt;1,$J25,(INT($J25/100)*60+MOD($J25,100))/1440),IFERROR(TIMEVALUE(SUBSTITUTE($J25,"：",":")),""))</f>
        <v/>
      </c>
      <c r="T25">
        <f>IF(OR($N25="",$O25=""),"",MAX(0,MOD($O25-$N25,1)-MAX(0,MIN($O25,13/24)-MAX($N25,0.5))))</f>
        <v/>
      </c>
      <c r="U25">
        <f>IF($A25="","",IF(ISNUMBER(MATCH($A25,祝日リスト!$A$2:$A$40,0)),"祝",IF(WEEKDAY($A25,2)=6,"土",IF(WEEKDAY($A25,2)=7,"日","平"))))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IF(ISNUMBER($D26),IF($D26&lt;1,$D26,(INT($D26/100)*60+MOD($D26,100))/1440),IFERROR(TIMEVALUE(SUBSTITUTE($D26,"：",":")),""))</f>
        <v/>
      </c>
      <c r="O26" s="35">
        <f>IF(ISNUMBER($F26),IF($F26&lt;1,$F26,(INT($F26/100)*60+MOD($F26,100))/1440),IFERROR(TIMEVALUE(SUBSTITUTE($F26,"：",":")),""))</f>
        <v/>
      </c>
      <c r="P26" s="4">
        <f>IF(ISNUMBER($G26),IF($G26&lt;1,$G26,(INT($G26/100)*60+MOD($G26,100))/1440),IFERROR(TIMEVALUE(SUBSTITUTE($G26,"：",":")),""))</f>
        <v/>
      </c>
      <c r="Q26" s="4">
        <f>IF(ISNUMBER($H26),IF($H26&lt;1,$H26,(INT($H26/100)*60+MOD($H26,100))/1440),IFERROR(TIMEVALUE(SUBSTITUTE($H26,"：",":")),""))</f>
        <v/>
      </c>
      <c r="R26" s="4">
        <f>IF(ISNUMBER($I26),IF($I26&lt;1,$I26,(INT($I26/100)*60+MOD($I26,100))/1440),IFERROR(TIMEVALUE(SUBSTITUTE($I26,"：",":")),""))</f>
        <v/>
      </c>
      <c r="S26" s="4">
        <f>IF(ISNUMBER($J26),IF($J26&lt;1,$J26,(INT($J26/100)*60+MOD($J26,100))/1440),IFERROR(TIMEVALUE(SUBSTITUTE($J26,"：",":")),""))</f>
        <v/>
      </c>
      <c r="T26" s="4">
        <f>IF(OR($N26="",$O26=""),"",MAX(0,MOD($O26-$N26,1)-MAX(0,MIN($O26,13/24)-MAX($N26,0.5))))</f>
        <v/>
      </c>
      <c r="U26" s="4">
        <f>IF($A26="","",IF(ISNUMBER(MATCH($A26,祝日リスト!$A$2:$A$40,0)),"祝",IF(WEEKDAY($A26,2)=6,"土",IF(WEEKDAY($A26,2)=7,"日","平"))))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IF(ISNUMBER($D27),IF($D27&lt;1,$D27,(INT($D27/100)*60+MOD($D27,100))/1440),IFERROR(TIMEVALUE(SUBSTITUTE($D27,"：",":")),""))</f>
        <v/>
      </c>
      <c r="O27" s="35">
        <f>IF(ISNUMBER($F27),IF($F27&lt;1,$F27,(INT($F27/100)*60+MOD($F27,100))/1440),IFERROR(TIMEVALUE(SUBSTITUTE($F27,"：",":")),""))</f>
        <v/>
      </c>
      <c r="P27">
        <f>IF(ISNUMBER($G27),IF($G27&lt;1,$G27,(INT($G27/100)*60+MOD($G27,100))/1440),IFERROR(TIMEVALUE(SUBSTITUTE($G27,"：",":")),""))</f>
        <v/>
      </c>
      <c r="Q27">
        <f>IF(ISNUMBER($H27),IF($H27&lt;1,$H27,(INT($H27/100)*60+MOD($H27,100))/1440),IFERROR(TIMEVALUE(SUBSTITUTE($H27,"：",":")),""))</f>
        <v/>
      </c>
      <c r="R27">
        <f>IF(ISNUMBER($I27),IF($I27&lt;1,$I27,(INT($I27/100)*60+MOD($I27,100))/1440),IFERROR(TIMEVALUE(SUBSTITUTE($I27,"：",":")),""))</f>
        <v/>
      </c>
      <c r="S27">
        <f>IF(ISNUMBER($J27),IF($J27&lt;1,$J27,(INT($J27/100)*60+MOD($J27,100))/1440),IFERROR(TIMEVALUE(SUBSTITUTE($J27,"：",":")),""))</f>
        <v/>
      </c>
      <c r="T27">
        <f>IF(OR($N27="",$O27=""),"",MAX(0,MOD($O27-$N27,1)-MAX(0,MIN($O27,13/24)-MAX($N27,0.5))))</f>
        <v/>
      </c>
      <c r="U27">
        <f>IF($A27="","",IF(ISNUMBER(MATCH($A27,祝日リスト!$A$2:$A$40,0)),"祝",IF(WEEKDAY($A27,2)=6,"土",IF(WEEKDAY($A27,2)=7,"日","平"))))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IF(ISNUMBER($D28),IF($D28&lt;1,$D28,(INT($D28/100)*60+MOD($D28,100))/1440),IFERROR(TIMEVALUE(SUBSTITUTE($D28,"：",":")),""))</f>
        <v/>
      </c>
      <c r="O28" s="35">
        <f>IF(ISNUMBER($F28),IF($F28&lt;1,$F28,(INT($F28/100)*60+MOD($F28,100))/1440),IFERROR(TIMEVALUE(SUBSTITUTE($F28,"：",":")),""))</f>
        <v/>
      </c>
      <c r="P28">
        <f>IF(ISNUMBER($G28),IF($G28&lt;1,$G28,(INT($G28/100)*60+MOD($G28,100))/1440),IFERROR(TIMEVALUE(SUBSTITUTE($G28,"：",":")),""))</f>
        <v/>
      </c>
      <c r="Q28">
        <f>IF(ISNUMBER($H28),IF($H28&lt;1,$H28,(INT($H28/100)*60+MOD($H28,100))/1440),IFERROR(TIMEVALUE(SUBSTITUTE($H28,"：",":")),""))</f>
        <v/>
      </c>
      <c r="R28">
        <f>IF(ISNUMBER($I28),IF($I28&lt;1,$I28,(INT($I28/100)*60+MOD($I28,100))/1440),IFERROR(TIMEVALUE(SUBSTITUTE($I28,"：",":")),""))</f>
        <v/>
      </c>
      <c r="S28">
        <f>IF(ISNUMBER($J28),IF($J28&lt;1,$J28,(INT($J28/100)*60+MOD($J28,100))/1440),IFERROR(TIMEVALUE(SUBSTITUTE($J28,"：",":")),""))</f>
        <v/>
      </c>
      <c r="T28">
        <f>IF(OR($N28="",$O28=""),"",MAX(0,MOD($O28-$N28,1)-MAX(0,MIN($O28,13/24)-MAX($N28,0.5))))</f>
        <v/>
      </c>
      <c r="U28">
        <f>IF($A28="","",IF(ISNUMBER(MATCH($A28,祝日リスト!$A$2:$A$40,0)),"祝",IF(WEEKDAY($A28,2)=6,"土",IF(WEEKDAY($A28,2)=7,"日","平"))))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IF(ISNUMBER($D29),IF($D29&lt;1,$D29,(INT($D29/100)*60+MOD($D29,100))/1440),IFERROR(TIMEVALUE(SUBSTITUTE($D29,"：",":")),""))</f>
        <v/>
      </c>
      <c r="O29" s="35">
        <f>IF(ISNUMBER($F29),IF($F29&lt;1,$F29,(INT($F29/100)*60+MOD($F29,100))/1440),IFERROR(TIMEVALUE(SUBSTITUTE($F29,"：",":")),""))</f>
        <v/>
      </c>
      <c r="P29">
        <f>IF(ISNUMBER($G29),IF($G29&lt;1,$G29,(INT($G29/100)*60+MOD($G29,100))/1440),IFERROR(TIMEVALUE(SUBSTITUTE($G29,"：",":")),""))</f>
        <v/>
      </c>
      <c r="Q29">
        <f>IF(ISNUMBER($H29),IF($H29&lt;1,$H29,(INT($H29/100)*60+MOD($H29,100))/1440),IFERROR(TIMEVALUE(SUBSTITUTE($H29,"：",":")),""))</f>
        <v/>
      </c>
      <c r="R29">
        <f>IF(ISNUMBER($I29),IF($I29&lt;1,$I29,(INT($I29/100)*60+MOD($I29,100))/1440),IFERROR(TIMEVALUE(SUBSTITUTE($I29,"：",":")),""))</f>
        <v/>
      </c>
      <c r="S29">
        <f>IF(ISNUMBER($J29),IF($J29&lt;1,$J29,(INT($J29/100)*60+MOD($J29,100))/1440),IFERROR(TIMEVALUE(SUBSTITUTE($J29,"：",":")),""))</f>
        <v/>
      </c>
      <c r="T29">
        <f>IF(OR($N29="",$O29=""),"",MAX(0,MOD($O29-$N29,1)-MAX(0,MIN($O29,13/24)-MAX($N29,0.5))))</f>
        <v/>
      </c>
      <c r="U29">
        <f>IF($A29="","",IF(ISNUMBER(MATCH($A29,祝日リスト!$A$2:$A$40,0)),"祝",IF(WEEKDAY($A29,2)=6,"土",IF(WEEKDAY($A29,2)=7,"日","平"))))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IF(ISNUMBER($D30),IF($D30&lt;1,$D30,(INT($D30/100)*60+MOD($D30,100))/1440),IFERROR(TIMEVALUE(SUBSTITUTE($D30,"：",":")),""))</f>
        <v/>
      </c>
      <c r="O30" s="35">
        <f>IF(ISNUMBER($F30),IF($F30&lt;1,$F30,(INT($F30/100)*60+MOD($F30,100))/1440),IFERROR(TIMEVALUE(SUBSTITUTE($F30,"：",":")),""))</f>
        <v/>
      </c>
      <c r="P30">
        <f>IF(ISNUMBER($G30),IF($G30&lt;1,$G30,(INT($G30/100)*60+MOD($G30,100))/1440),IFERROR(TIMEVALUE(SUBSTITUTE($G30,"：",":")),""))</f>
        <v/>
      </c>
      <c r="Q30">
        <f>IF(ISNUMBER($H30),IF($H30&lt;1,$H30,(INT($H30/100)*60+MOD($H30,100))/1440),IFERROR(TIMEVALUE(SUBSTITUTE($H30,"：",":")),""))</f>
        <v/>
      </c>
      <c r="R30">
        <f>IF(ISNUMBER($I30),IF($I30&lt;1,$I30,(INT($I30/100)*60+MOD($I30,100))/1440),IFERROR(TIMEVALUE(SUBSTITUTE($I30,"：",":")),""))</f>
        <v/>
      </c>
      <c r="S30">
        <f>IF(ISNUMBER($J30),IF($J30&lt;1,$J30,(INT($J30/100)*60+MOD($J30,100))/1440),IFERROR(TIMEVALUE(SUBSTITUTE($J30,"：",":")),""))</f>
        <v/>
      </c>
      <c r="T30">
        <f>IF(OR($N30="",$O30=""),"",MAX(0,MOD($O30-$N30,1)-MAX(0,MIN($O30,13/24)-MAX($N30,0.5))))</f>
        <v/>
      </c>
      <c r="U30">
        <f>IF($A30="","",IF(ISNUMBER(MATCH($A30,祝日リスト!$A$2:$A$40,0)),"祝",IF(WEEKDAY($A30,2)=6,"土",IF(WEEKDAY($A30,2)=7,"日","平"))))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IF(ISNUMBER($D31),IF($D31&lt;1,$D31,(INT($D31/100)*60+MOD($D31,100))/1440),IFERROR(TIMEVALUE(SUBSTITUTE($D31,"：",":")),""))</f>
        <v/>
      </c>
      <c r="O31" s="35">
        <f>IF(ISNUMBER($F31),IF($F31&lt;1,$F31,(INT($F31/100)*60+MOD($F31,100))/1440),IFERROR(TIMEVALUE(SUBSTITUTE($F31,"：",":")),""))</f>
        <v/>
      </c>
      <c r="P31">
        <f>IF(ISNUMBER($G31),IF($G31&lt;1,$G31,(INT($G31/100)*60+MOD($G31,100))/1440),IFERROR(TIMEVALUE(SUBSTITUTE($G31,"：",":")),""))</f>
        <v/>
      </c>
      <c r="Q31">
        <f>IF(ISNUMBER($H31),IF($H31&lt;1,$H31,(INT($H31/100)*60+MOD($H31,100))/1440),IFERROR(TIMEVALUE(SUBSTITUTE($H31,"：",":")),""))</f>
        <v/>
      </c>
      <c r="R31">
        <f>IF(ISNUMBER($I31),IF($I31&lt;1,$I31,(INT($I31/100)*60+MOD($I31,100))/1440),IFERROR(TIMEVALUE(SUBSTITUTE($I31,"：",":")),""))</f>
        <v/>
      </c>
      <c r="S31">
        <f>IF(ISNUMBER($J31),IF($J31&lt;1,$J31,(INT($J31/100)*60+MOD($J31,100))/1440),IFERROR(TIMEVALUE(SUBSTITUTE($J31,"：",":")),""))</f>
        <v/>
      </c>
      <c r="T31">
        <f>IF(OR($N31="",$O31=""),"",MAX(0,MOD($O31-$N31,1)-MAX(0,MIN($O31,13/24)-MAX($N31,0.5))))</f>
        <v/>
      </c>
      <c r="U31">
        <f>IF($A31="","",IF(ISNUMBER(MATCH($A31,祝日リスト!$A$2:$A$40,0)),"祝",IF(WEEKDAY($A31,2)=6,"土",IF(WEEKDAY($A31,2)=7,"日","平"))))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IF(ISNUMBER($D32),IF($D32&lt;1,$D32,(INT($D32/100)*60+MOD($D32,100))/1440),IFERROR(TIMEVALUE(SUBSTITUTE($D32,"：",":")),""))</f>
        <v/>
      </c>
      <c r="O32" s="35">
        <f>IF(ISNUMBER($F32),IF($F32&lt;1,$F32,(INT($F32/100)*60+MOD($F32,100))/1440),IFERROR(TIMEVALUE(SUBSTITUTE($F32,"：",":")),""))</f>
        <v/>
      </c>
      <c r="P32">
        <f>IF(ISNUMBER($G32),IF($G32&lt;1,$G32,(INT($G32/100)*60+MOD($G32,100))/1440),IFERROR(TIMEVALUE(SUBSTITUTE($G32,"：",":")),""))</f>
        <v/>
      </c>
      <c r="Q32">
        <f>IF(ISNUMBER($H32),IF($H32&lt;1,$H32,(INT($H32/100)*60+MOD($H32,100))/1440),IFERROR(TIMEVALUE(SUBSTITUTE($H32,"：",":")),""))</f>
        <v/>
      </c>
      <c r="R32">
        <f>IF(ISNUMBER($I32),IF($I32&lt;1,$I32,(INT($I32/100)*60+MOD($I32,100))/1440),IFERROR(TIMEVALUE(SUBSTITUTE($I32,"：",":")),""))</f>
        <v/>
      </c>
      <c r="S32">
        <f>IF(ISNUMBER($J32),IF($J32&lt;1,$J32,(INT($J32/100)*60+MOD($J32,100))/1440),IFERROR(TIMEVALUE(SUBSTITUTE($J32,"：",":")),""))</f>
        <v/>
      </c>
      <c r="T32">
        <f>IF(OR($N32="",$O32=""),"",MAX(0,MOD($O32-$N32,1)-MAX(0,MIN($O32,13/24)-MAX($N32,0.5))))</f>
        <v/>
      </c>
      <c r="U32">
        <f>IF($A32="","",IF(ISNUMBER(MATCH($A32,祝日リスト!$A$2:$A$40,0)),"祝",IF(WEEKDAY($A32,2)=6,"土",IF(WEEKDAY($A32,2)=7,"日","平"))))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IF(ISNUMBER($D33),IF($D33&lt;1,$D33,(INT($D33/100)*60+MOD($D33,100))/1440),IFERROR(TIMEVALUE(SUBSTITUTE($D33,"：",":")),""))</f>
        <v/>
      </c>
      <c r="O33" s="35">
        <f>IF(ISNUMBER($F33),IF($F33&lt;1,$F33,(INT($F33/100)*60+MOD($F33,100))/1440),IFERROR(TIMEVALUE(SUBSTITUTE($F33,"：",":")),""))</f>
        <v/>
      </c>
      <c r="P33">
        <f>IF(ISNUMBER($G33),IF($G33&lt;1,$G33,(INT($G33/100)*60+MOD($G33,100))/1440),IFERROR(TIMEVALUE(SUBSTITUTE($G33,"：",":")),""))</f>
        <v/>
      </c>
      <c r="Q33">
        <f>IF(ISNUMBER($H33),IF($H33&lt;1,$H33,(INT($H33/100)*60+MOD($H33,100))/1440),IFERROR(TIMEVALUE(SUBSTITUTE($H33,"：",":")),""))</f>
        <v/>
      </c>
      <c r="R33">
        <f>IF(ISNUMBER($I33),IF($I33&lt;1,$I33,(INT($I33/100)*60+MOD($I33,100))/1440),IFERROR(TIMEVALUE(SUBSTITUTE($I33,"：",":")),""))</f>
        <v/>
      </c>
      <c r="S33">
        <f>IF(ISNUMBER($J33),IF($J33&lt;1,$J33,(INT($J33/100)*60+MOD($J33,100))/1440),IFERROR(TIMEVALUE(SUBSTITUTE($J33,"：",":")),""))</f>
        <v/>
      </c>
      <c r="T33">
        <f>IF(OR($N33="",$O33=""),"",MAX(0,MOD($O33-$N33,1)-MAX(0,MIN($O33,13/24)-MAX($N33,0.5))))</f>
        <v/>
      </c>
      <c r="U33">
        <f>IF($A33="","",IF(ISNUMBER(MATCH($A33,祝日リスト!$A$2:$A$40,0)),"祝",IF(WEEKDAY($A33,2)=6,"土",IF(WEEKDAY($A33,2)=7,"日","平"))))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IF(ISNUMBER($D34),IF($D34&lt;1,$D34,(INT($D34/100)*60+MOD($D34,100))/1440),IFERROR(TIMEVALUE(SUBSTITUTE($D34,"：",":")),""))</f>
        <v/>
      </c>
      <c r="O34" s="35">
        <f>IF(ISNUMBER($F34),IF($F34&lt;1,$F34,(INT($F34/100)*60+MOD($F34,100))/1440),IFERROR(TIMEVALUE(SUBSTITUTE($F34,"：",":")),""))</f>
        <v/>
      </c>
      <c r="P34">
        <f>IF(ISNUMBER($G34),IF($G34&lt;1,$G34,(INT($G34/100)*60+MOD($G34,100))/1440),IFERROR(TIMEVALUE(SUBSTITUTE($G34,"：",":")),""))</f>
        <v/>
      </c>
      <c r="Q34">
        <f>IF(ISNUMBER($H34),IF($H34&lt;1,$H34,(INT($H34/100)*60+MOD($H34,100))/1440),IFERROR(TIMEVALUE(SUBSTITUTE($H34,"：",":")),""))</f>
        <v/>
      </c>
      <c r="R34">
        <f>IF(ISNUMBER($I34),IF($I34&lt;1,$I34,(INT($I34/100)*60+MOD($I34,100))/1440),IFERROR(TIMEVALUE(SUBSTITUTE($I34,"：",":")),""))</f>
        <v/>
      </c>
      <c r="S34">
        <f>IF(ISNUMBER($J34),IF($J34&lt;1,$J34,(INT($J34/100)*60+MOD($J34,100))/1440),IFERROR(TIMEVALUE(SUBSTITUTE($J34,"：",":")),""))</f>
        <v/>
      </c>
      <c r="T34">
        <f>IF(OR($N34="",$O34=""),"",MAX(0,MOD($O34-$N34,1)-MAX(0,MIN($O34,13/24)-MAX($N34,0.5))))</f>
        <v/>
      </c>
      <c r="U34">
        <f>IF($A34="","",IF(ISNUMBER(MATCH($A34,祝日リスト!$A$2:$A$40,0)),"祝",IF(WEEKDAY($A34,2)=6,"土",IF(WEEKDAY($A34,2)=7,"日","平"))))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IF(ISNUMBER($D35),IF($D35&lt;1,$D35,(INT($D35/100)*60+MOD($D35,100))/1440),IFERROR(TIMEVALUE(SUBSTITUTE($D35,"：",":")),""))</f>
        <v/>
      </c>
      <c r="O35" s="35">
        <f>IF(ISNUMBER($F35),IF($F35&lt;1,$F35,(INT($F35/100)*60+MOD($F35,100))/1440),IFERROR(TIMEVALUE(SUBSTITUTE($F35,"：",":")),""))</f>
        <v/>
      </c>
      <c r="P35">
        <f>IF(ISNUMBER($G35),IF($G35&lt;1,$G35,(INT($G35/100)*60+MOD($G35,100))/1440),IFERROR(TIMEVALUE(SUBSTITUTE($G35,"：",":")),""))</f>
        <v/>
      </c>
      <c r="Q35">
        <f>IF(ISNUMBER($H35),IF($H35&lt;1,$H35,(INT($H35/100)*60+MOD($H35,100))/1440),IFERROR(TIMEVALUE(SUBSTITUTE($H35,"：",":")),""))</f>
        <v/>
      </c>
      <c r="R35">
        <f>IF(ISNUMBER($I35),IF($I35&lt;1,$I35,(INT($I35/100)*60+MOD($I35,100))/1440),IFERROR(TIMEVALUE(SUBSTITUTE($I35,"：",":")),""))</f>
        <v/>
      </c>
      <c r="S35">
        <f>IF(ISNUMBER($J35),IF($J35&lt;1,$J35,(INT($J35/100)*60+MOD($J35,100))/1440),IFERROR(TIMEVALUE(SUBSTITUTE($J35,"：",":")),""))</f>
        <v/>
      </c>
      <c r="T35">
        <f>IF(OR($N35="",$O35=""),"",MAX(0,MOD($O35-$N35,1)-MAX(0,MIN($O35,13/24)-MAX($N35,0.5))))</f>
        <v/>
      </c>
      <c r="U35">
        <f>IF($A35="","",IF(ISNUMBER(MATCH($A35,祝日リスト!$A$2:$A$40,0)),"祝",IF(WEEKDAY($A35,2)=6,"土",IF(WEEKDAY($A35,2)=7,"日","平"))))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IF(ISNUMBER($D36),IF($D36&lt;1,$D36,(INT($D36/100)*60+MOD($D36,100))/1440),IFERROR(TIMEVALUE(SUBSTITUTE($D36,"：",":")),""))</f>
        <v/>
      </c>
      <c r="O36" s="35">
        <f>IF(ISNUMBER($F36),IF($F36&lt;1,$F36,(INT($F36/100)*60+MOD($F36,100))/1440),IFERROR(TIMEVALUE(SUBSTITUTE($F36,"：",":")),""))</f>
        <v/>
      </c>
      <c r="P36">
        <f>IF(ISNUMBER($G36),IF($G36&lt;1,$G36,(INT($G36/100)*60+MOD($G36,100))/1440),IFERROR(TIMEVALUE(SUBSTITUTE($G36,"：",":")),""))</f>
        <v/>
      </c>
      <c r="Q36">
        <f>IF(ISNUMBER($H36),IF($H36&lt;1,$H36,(INT($H36/100)*60+MOD($H36,100))/1440),IFERROR(TIMEVALUE(SUBSTITUTE($H36,"：",":")),""))</f>
        <v/>
      </c>
      <c r="R36">
        <f>IF(ISNUMBER($I36),IF($I36&lt;1,$I36,(INT($I36/100)*60+MOD($I36,100))/1440),IFERROR(TIMEVALUE(SUBSTITUTE($I36,"：",":")),""))</f>
        <v/>
      </c>
      <c r="S36">
        <f>IF(ISNUMBER($J36),IF($J36&lt;1,$J36,(INT($J36/100)*60+MOD($J36,100))/1440),IFERROR(TIMEVALUE(SUBSTITUTE($J36,"：",":")),""))</f>
        <v/>
      </c>
      <c r="T36">
        <f>IF(OR($N36="",$O36=""),"",MAX(0,MOD($O36-$N36,1)-MAX(0,MIN($O36,13/24)-MAX($N36,0.5))))</f>
        <v/>
      </c>
      <c r="U36">
        <f>IF($A36="","",IF(ISNUMBER(MATCH($A36,祝日リスト!$A$2:$A$40,0)),"祝",IF(WEEKDAY($A36,2)=6,"土",IF(WEEKDAY($A36,2)=7,"日","平"))))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IF(ISNUMBER($D37),IF($D37&lt;1,$D37,(INT($D37/100)*60+MOD($D37,100))/1440),IFERROR(TIMEVALUE(SUBSTITUTE($D37,"：",":")),""))</f>
        <v/>
      </c>
      <c r="O37">
        <f>IF(ISNUMBER($F37),IF($F37&lt;1,$F37,(INT($F37/100)*60+MOD($F37,100))/1440),IFERROR(TIMEVALUE(SUBSTITUTE($F37,"：",":")),""))</f>
        <v/>
      </c>
      <c r="P37">
        <f>IF(ISNUMBER($G37),IF($G37&lt;1,$G37,(INT($G37/100)*60+MOD($G37,100))/1440),IFERROR(TIMEVALUE(SUBSTITUTE($G37,"：",":")),""))</f>
        <v/>
      </c>
      <c r="Q37">
        <f>IF(ISNUMBER($H37),IF($H37&lt;1,$H37,(INT($H37/100)*60+MOD($H37,100))/1440),IFERROR(TIMEVALUE(SUBSTITUTE($H37,"：",":")),""))</f>
        <v/>
      </c>
      <c r="R37">
        <f>IF(ISNUMBER($I37),IF($I37&lt;1,$I37,(INT($I37/100)*60+MOD($I37,100))/1440),IFERROR(TIMEVALUE(SUBSTITUTE($I37,"：",":")),""))</f>
        <v/>
      </c>
      <c r="S37">
        <f>IF(ISNUMBER($J37),IF($J37&lt;1,$J37,(INT($J37/100)*60+MOD($J37,100))/1440),IFERROR(TIMEVALUE(SUBSTITUTE($J37,"：",":")),""))</f>
        <v/>
      </c>
      <c r="T37">
        <f>IF(OR($N37="",$O37=""),"",MAX(0,MOD($O37-$N37,1)-MAX(0,MIN($O37,13/24)-MAX($N37,0.5))))</f>
        <v/>
      </c>
      <c r="U37">
        <f>IF($A37="","",IF(ISNUMBER(MATCH($A37,祝日リスト!$A$2:$A$40,0)),"祝",IF(WEEKDAY($A37,2)=6,"土",IF(WEEKDAY($A37,2)=7,"日","平"))))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AND($A7&lt;&gt;"",OR(WEEKDAY($A7,2)=6,WEEKDAY($A7,2)=7,WEEKDAY($A7,2)=3,ISNUMBER(MATCH($A7,祝日リスト!$A$2:$A$40,0))))</formula>
    </cfRule>
  </conditionalFormatting>
  <dataValidations count="1">
    <dataValidation sqref="D7:D37 F7:F37 G7:G37 H7:H37 I7:I37 J7:J37" showDropDown="0" showInputMessage="0" showErrorMessage="1" allowBlank="1" errorTitle="時刻の入力" error="9:30 のように、コロン付きで入力してください（全角の 9：00 でも可）。" type="custom">
      <formula1>=OR(AND(ISNUMBER(D7),D7&gt;=0,D7&lt;1),IFERROR(ISNUMBER(TIMEVALUE(SUBSTITUTE(D7,"：",":"))),FALSE))</formula1>
    </dataValidation>
  </dataValidations>
  <pageMargins left="0.25" right="0.25" top="0.75" bottom="0.75" header="0" footer="0"/>
  <pageSetup orientation="portrait" paperSize="9" scale="96" fitToWidth="0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10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IF(ISNUMBER($D7),IF($D7&lt;1,$D7,(INT($D7/100)*60+MOD($D7,100))/1440),IFERROR(TIMEVALUE(SUBSTITUTE($D7,"：",":")),""))</f>
        <v/>
      </c>
      <c r="O7">
        <f>IF(ISNUMBER($F7),IF($F7&lt;1,$F7,(INT($F7/100)*60+MOD($F7,100))/1440),IFERROR(TIMEVALUE(SUBSTITUTE($F7,"：",":")),""))</f>
        <v/>
      </c>
      <c r="P7">
        <f>IF(ISNUMBER($G7),IF($G7&lt;1,$G7,(INT($G7/100)*60+MOD($G7,100))/1440),IFERROR(TIMEVALUE(SUBSTITUTE($G7,"：",":")),""))</f>
        <v/>
      </c>
      <c r="Q7">
        <f>IF(ISNUMBER($H7),IF($H7&lt;1,$H7,(INT($H7/100)*60+MOD($H7,100))/1440),IFERROR(TIMEVALUE(SUBSTITUTE($H7,"：",":")),""))</f>
        <v/>
      </c>
      <c r="R7">
        <f>IF(ISNUMBER($I7),IF($I7&lt;1,$I7,(INT($I7/100)*60+MOD($I7,100))/1440),IFERROR(TIMEVALUE(SUBSTITUTE($I7,"：",":")),""))</f>
        <v/>
      </c>
      <c r="S7">
        <f>IF(ISNUMBER($J7),IF($J7&lt;1,$J7,(INT($J7/100)*60+MOD($J7,100))/1440),IFERROR(TIMEVALUE(SUBSTITUTE($J7,"：",":")),""))</f>
        <v/>
      </c>
      <c r="T7">
        <f>IF(OR($N7="",$O7=""),"",MAX(0,MOD($O7-$N7,1)-MAX(0,MIN($O7,13/24)-MAX($N7,0.5))))</f>
        <v/>
      </c>
      <c r="U7">
        <f>IF($A7="","",IF(ISNUMBER(MATCH($A7,祝日リスト!$A$2:$A$40,0)),"祝",IF(WEEKDAY($A7,2)=6,"土",IF(WEEKDAY($A7,2)=7,"日","平"))))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IF(ISNUMBER($D8),IF($D8&lt;1,$D8,(INT($D8/100)*60+MOD($D8,100))/1440),IFERROR(TIMEVALUE(SUBSTITUTE($D8,"：",":")),""))</f>
        <v/>
      </c>
      <c r="O8" s="35">
        <f>IF(ISNUMBER($F8),IF($F8&lt;1,$F8,(INT($F8/100)*60+MOD($F8,100))/1440),IFERROR(TIMEVALUE(SUBSTITUTE($F8,"：",":")),""))</f>
        <v/>
      </c>
      <c r="P8">
        <f>IF(ISNUMBER($G8),IF($G8&lt;1,$G8,(INT($G8/100)*60+MOD($G8,100))/1440),IFERROR(TIMEVALUE(SUBSTITUTE($G8,"：",":")),""))</f>
        <v/>
      </c>
      <c r="Q8">
        <f>IF(ISNUMBER($H8),IF($H8&lt;1,$H8,(INT($H8/100)*60+MOD($H8,100))/1440),IFERROR(TIMEVALUE(SUBSTITUTE($H8,"：",":")),""))</f>
        <v/>
      </c>
      <c r="R8">
        <f>IF(ISNUMBER($I8),IF($I8&lt;1,$I8,(INT($I8/100)*60+MOD($I8,100))/1440),IFERROR(TIMEVALUE(SUBSTITUTE($I8,"：",":")),""))</f>
        <v/>
      </c>
      <c r="S8">
        <f>IF(ISNUMBER($J8),IF($J8&lt;1,$J8,(INT($J8/100)*60+MOD($J8,100))/1440),IFERROR(TIMEVALUE(SUBSTITUTE($J8,"：",":")),""))</f>
        <v/>
      </c>
      <c r="T8">
        <f>IF(OR($N8="",$O8=""),"",MAX(0,MOD($O8-$N8,1)-MAX(0,MIN($O8,13/24)-MAX($N8,0.5))))</f>
        <v/>
      </c>
      <c r="U8">
        <f>IF($A8="","",IF(ISNUMBER(MATCH($A8,祝日リスト!$A$2:$A$40,0)),"祝",IF(WEEKDAY($A8,2)=6,"土",IF(WEEKDAY($A8,2)=7,"日","平"))))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IF(ISNUMBER($D9),IF($D9&lt;1,$D9,(INT($D9/100)*60+MOD($D9,100))/1440),IFERROR(TIMEVALUE(SUBSTITUTE($D9,"：",":")),""))</f>
        <v/>
      </c>
      <c r="O9" s="35">
        <f>IF(ISNUMBER($F9),IF($F9&lt;1,$F9,(INT($F9/100)*60+MOD($F9,100))/1440),IFERROR(TIMEVALUE(SUBSTITUTE($F9,"：",":")),""))</f>
        <v/>
      </c>
      <c r="P9">
        <f>IF(ISNUMBER($G9),IF($G9&lt;1,$G9,(INT($G9/100)*60+MOD($G9,100))/1440),IFERROR(TIMEVALUE(SUBSTITUTE($G9,"：",":")),""))</f>
        <v/>
      </c>
      <c r="Q9">
        <f>IF(ISNUMBER($H9),IF($H9&lt;1,$H9,(INT($H9/100)*60+MOD($H9,100))/1440),IFERROR(TIMEVALUE(SUBSTITUTE($H9,"：",":")),""))</f>
        <v/>
      </c>
      <c r="R9">
        <f>IF(ISNUMBER($I9),IF($I9&lt;1,$I9,(INT($I9/100)*60+MOD($I9,100))/1440),IFERROR(TIMEVALUE(SUBSTITUTE($I9,"：",":")),""))</f>
        <v/>
      </c>
      <c r="S9">
        <f>IF(ISNUMBER($J9),IF($J9&lt;1,$J9,(INT($J9/100)*60+MOD($J9,100))/1440),IFERROR(TIMEVALUE(SUBSTITUTE($J9,"：",":")),""))</f>
        <v/>
      </c>
      <c r="T9">
        <f>IF(OR($N9="",$O9=""),"",MAX(0,MOD($O9-$N9,1)-MAX(0,MIN($O9,13/24)-MAX($N9,0.5))))</f>
        <v/>
      </c>
      <c r="U9">
        <f>IF($A9="","",IF(ISNUMBER(MATCH($A9,祝日リスト!$A$2:$A$40,0)),"祝",IF(WEEKDAY($A9,2)=6,"土",IF(WEEKDAY($A9,2)=7,"日","平"))))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IF(ISNUMBER($D10),IF($D10&lt;1,$D10,(INT($D10/100)*60+MOD($D10,100))/1440),IFERROR(TIMEVALUE(SUBSTITUTE($D10,"：",":")),""))</f>
        <v/>
      </c>
      <c r="O10" s="35">
        <f>IF(ISNUMBER($F10),IF($F10&lt;1,$F10,(INT($F10/100)*60+MOD($F10,100))/1440),IFERROR(TIMEVALUE(SUBSTITUTE($F10,"：",":")),""))</f>
        <v/>
      </c>
      <c r="P10">
        <f>IF(ISNUMBER($G10),IF($G10&lt;1,$G10,(INT($G10/100)*60+MOD($G10,100))/1440),IFERROR(TIMEVALUE(SUBSTITUTE($G10,"：",":")),""))</f>
        <v/>
      </c>
      <c r="Q10">
        <f>IF(ISNUMBER($H10),IF($H10&lt;1,$H10,(INT($H10/100)*60+MOD($H10,100))/1440),IFERROR(TIMEVALUE(SUBSTITUTE($H10,"：",":")),""))</f>
        <v/>
      </c>
      <c r="R10">
        <f>IF(ISNUMBER($I10),IF($I10&lt;1,$I10,(INT($I10/100)*60+MOD($I10,100))/1440),IFERROR(TIMEVALUE(SUBSTITUTE($I10,"：",":")),""))</f>
        <v/>
      </c>
      <c r="S10">
        <f>IF(ISNUMBER($J10),IF($J10&lt;1,$J10,(INT($J10/100)*60+MOD($J10,100))/1440),IFERROR(TIMEVALUE(SUBSTITUTE($J10,"：",":")),""))</f>
        <v/>
      </c>
      <c r="T10">
        <f>IF(OR($N10="",$O10=""),"",MAX(0,MOD($O10-$N10,1)-MAX(0,MIN($O10,13/24)-MAX($N10,0.5))))</f>
        <v/>
      </c>
      <c r="U10">
        <f>IF($A10="","",IF(ISNUMBER(MATCH($A10,祝日リスト!$A$2:$A$40,0)),"祝",IF(WEEKDAY($A10,2)=6,"土",IF(WEEKDAY($A10,2)=7,"日","平"))))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IF(ISNUMBER($D11),IF($D11&lt;1,$D11,(INT($D11/100)*60+MOD($D11,100))/1440),IFERROR(TIMEVALUE(SUBSTITUTE($D11,"：",":")),""))</f>
        <v/>
      </c>
      <c r="O11" s="35">
        <f>IF(ISNUMBER($F11),IF($F11&lt;1,$F11,(INT($F11/100)*60+MOD($F11,100))/1440),IFERROR(TIMEVALUE(SUBSTITUTE($F11,"：",":")),""))</f>
        <v/>
      </c>
      <c r="P11">
        <f>IF(ISNUMBER($G11),IF($G11&lt;1,$G11,(INT($G11/100)*60+MOD($G11,100))/1440),IFERROR(TIMEVALUE(SUBSTITUTE($G11,"：",":")),""))</f>
        <v/>
      </c>
      <c r="Q11">
        <f>IF(ISNUMBER($H11),IF($H11&lt;1,$H11,(INT($H11/100)*60+MOD($H11,100))/1440),IFERROR(TIMEVALUE(SUBSTITUTE($H11,"：",":")),""))</f>
        <v/>
      </c>
      <c r="R11">
        <f>IF(ISNUMBER($I11),IF($I11&lt;1,$I11,(INT($I11/100)*60+MOD($I11,100))/1440),IFERROR(TIMEVALUE(SUBSTITUTE($I11,"：",":")),""))</f>
        <v/>
      </c>
      <c r="S11">
        <f>IF(ISNUMBER($J11),IF($J11&lt;1,$J11,(INT($J11/100)*60+MOD($J11,100))/1440),IFERROR(TIMEVALUE(SUBSTITUTE($J11,"：",":")),""))</f>
        <v/>
      </c>
      <c r="T11">
        <f>IF(OR($N11="",$O11=""),"",MAX(0,MOD($O11-$N11,1)-MAX(0,MIN($O11,13/24)-MAX($N11,0.5))))</f>
        <v/>
      </c>
      <c r="U11">
        <f>IF($A11="","",IF(ISNUMBER(MATCH($A11,祝日リスト!$A$2:$A$40,0)),"祝",IF(WEEKDAY($A11,2)=6,"土",IF(WEEKDAY($A11,2)=7,"日","平"))))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IF(ISNUMBER($D12),IF($D12&lt;1,$D12,(INT($D12/100)*60+MOD($D12,100))/1440),IFERROR(TIMEVALUE(SUBSTITUTE($D12,"：",":")),""))</f>
        <v/>
      </c>
      <c r="O12" s="35">
        <f>IF(ISNUMBER($F12),IF($F12&lt;1,$F12,(INT($F12/100)*60+MOD($F12,100))/1440),IFERROR(TIMEVALUE(SUBSTITUTE($F12,"：",":")),""))</f>
        <v/>
      </c>
      <c r="P12">
        <f>IF(ISNUMBER($G12),IF($G12&lt;1,$G12,(INT($G12/100)*60+MOD($G12,100))/1440),IFERROR(TIMEVALUE(SUBSTITUTE($G12,"：",":")),""))</f>
        <v/>
      </c>
      <c r="Q12">
        <f>IF(ISNUMBER($H12),IF($H12&lt;1,$H12,(INT($H12/100)*60+MOD($H12,100))/1440),IFERROR(TIMEVALUE(SUBSTITUTE($H12,"：",":")),""))</f>
        <v/>
      </c>
      <c r="R12">
        <f>IF(ISNUMBER($I12),IF($I12&lt;1,$I12,(INT($I12/100)*60+MOD($I12,100))/1440),IFERROR(TIMEVALUE(SUBSTITUTE($I12,"：",":")),""))</f>
        <v/>
      </c>
      <c r="S12">
        <f>IF(ISNUMBER($J12),IF($J12&lt;1,$J12,(INT($J12/100)*60+MOD($J12,100))/1440),IFERROR(TIMEVALUE(SUBSTITUTE($J12,"：",":")),""))</f>
        <v/>
      </c>
      <c r="T12">
        <f>IF(OR($N12="",$O12=""),"",MAX(0,MOD($O12-$N12,1)-MAX(0,MIN($O12,13/24)-MAX($N12,0.5))))</f>
        <v/>
      </c>
      <c r="U12">
        <f>IF($A12="","",IF(ISNUMBER(MATCH($A12,祝日リスト!$A$2:$A$40,0)),"祝",IF(WEEKDAY($A12,2)=6,"土",IF(WEEKDAY($A12,2)=7,"日","平"))))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IF(ISNUMBER($D13),IF($D13&lt;1,$D13,(INT($D13/100)*60+MOD($D13,100))/1440),IFERROR(TIMEVALUE(SUBSTITUTE($D13,"：",":")),""))</f>
        <v/>
      </c>
      <c r="O13" s="35">
        <f>IF(ISNUMBER($F13),IF($F13&lt;1,$F13,(INT($F13/100)*60+MOD($F13,100))/1440),IFERROR(TIMEVALUE(SUBSTITUTE($F13,"：",":")),""))</f>
        <v/>
      </c>
      <c r="P13">
        <f>IF(ISNUMBER($G13),IF($G13&lt;1,$G13,(INT($G13/100)*60+MOD($G13,100))/1440),IFERROR(TIMEVALUE(SUBSTITUTE($G13,"：",":")),""))</f>
        <v/>
      </c>
      <c r="Q13">
        <f>IF(ISNUMBER($H13),IF($H13&lt;1,$H13,(INT($H13/100)*60+MOD($H13,100))/1440),IFERROR(TIMEVALUE(SUBSTITUTE($H13,"：",":")),""))</f>
        <v/>
      </c>
      <c r="R13">
        <f>IF(ISNUMBER($I13),IF($I13&lt;1,$I13,(INT($I13/100)*60+MOD($I13,100))/1440),IFERROR(TIMEVALUE(SUBSTITUTE($I13,"：",":")),""))</f>
        <v/>
      </c>
      <c r="S13">
        <f>IF(ISNUMBER($J13),IF($J13&lt;1,$J13,(INT($J13/100)*60+MOD($J13,100))/1440),IFERROR(TIMEVALUE(SUBSTITUTE($J13,"：",":")),""))</f>
        <v/>
      </c>
      <c r="T13">
        <f>IF(OR($N13="",$O13=""),"",MAX(0,MOD($O13-$N13,1)-MAX(0,MIN($O13,13/24)-MAX($N13,0.5))))</f>
        <v/>
      </c>
      <c r="U13">
        <f>IF($A13="","",IF(ISNUMBER(MATCH($A13,祝日リスト!$A$2:$A$40,0)),"祝",IF(WEEKDAY($A13,2)=6,"土",IF(WEEKDAY($A13,2)=7,"日","平"))))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IF(ISNUMBER($D14),IF($D14&lt;1,$D14,(INT($D14/100)*60+MOD($D14,100))/1440),IFERROR(TIMEVALUE(SUBSTITUTE($D14,"：",":")),""))</f>
        <v/>
      </c>
      <c r="O14" s="35">
        <f>IF(ISNUMBER($F14),IF($F14&lt;1,$F14,(INT($F14/100)*60+MOD($F14,100))/1440),IFERROR(TIMEVALUE(SUBSTITUTE($F14,"：",":")),""))</f>
        <v/>
      </c>
      <c r="P14">
        <f>IF(ISNUMBER($G14),IF($G14&lt;1,$G14,(INT($G14/100)*60+MOD($G14,100))/1440),IFERROR(TIMEVALUE(SUBSTITUTE($G14,"：",":")),""))</f>
        <v/>
      </c>
      <c r="Q14">
        <f>IF(ISNUMBER($H14),IF($H14&lt;1,$H14,(INT($H14/100)*60+MOD($H14,100))/1440),IFERROR(TIMEVALUE(SUBSTITUTE($H14,"：",":")),""))</f>
        <v/>
      </c>
      <c r="R14">
        <f>IF(ISNUMBER($I14),IF($I14&lt;1,$I14,(INT($I14/100)*60+MOD($I14,100))/1440),IFERROR(TIMEVALUE(SUBSTITUTE($I14,"：",":")),""))</f>
        <v/>
      </c>
      <c r="S14">
        <f>IF(ISNUMBER($J14),IF($J14&lt;1,$J14,(INT($J14/100)*60+MOD($J14,100))/1440),IFERROR(TIMEVALUE(SUBSTITUTE($J14,"：",":")),""))</f>
        <v/>
      </c>
      <c r="T14">
        <f>IF(OR($N14="",$O14=""),"",MAX(0,MOD($O14-$N14,1)-MAX(0,MIN($O14,13/24)-MAX($N14,0.5))))</f>
        <v/>
      </c>
      <c r="U14">
        <f>IF($A14="","",IF(ISNUMBER(MATCH($A14,祝日リスト!$A$2:$A$40,0)),"祝",IF(WEEKDAY($A14,2)=6,"土",IF(WEEKDAY($A14,2)=7,"日","平"))))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IF(ISNUMBER($D15),IF($D15&lt;1,$D15,(INT($D15/100)*60+MOD($D15,100))/1440),IFERROR(TIMEVALUE(SUBSTITUTE($D15,"：",":")),""))</f>
        <v/>
      </c>
      <c r="O15" s="35">
        <f>IF(ISNUMBER($F15),IF($F15&lt;1,$F15,(INT($F15/100)*60+MOD($F15,100))/1440),IFERROR(TIMEVALUE(SUBSTITUTE($F15,"：",":")),""))</f>
        <v/>
      </c>
      <c r="P15">
        <f>IF(ISNUMBER($G15),IF($G15&lt;1,$G15,(INT($G15/100)*60+MOD($G15,100))/1440),IFERROR(TIMEVALUE(SUBSTITUTE($G15,"：",":")),""))</f>
        <v/>
      </c>
      <c r="Q15">
        <f>IF(ISNUMBER($H15),IF($H15&lt;1,$H15,(INT($H15/100)*60+MOD($H15,100))/1440),IFERROR(TIMEVALUE(SUBSTITUTE($H15,"：",":")),""))</f>
        <v/>
      </c>
      <c r="R15">
        <f>IF(ISNUMBER($I15),IF($I15&lt;1,$I15,(INT($I15/100)*60+MOD($I15,100))/1440),IFERROR(TIMEVALUE(SUBSTITUTE($I15,"：",":")),""))</f>
        <v/>
      </c>
      <c r="S15">
        <f>IF(ISNUMBER($J15),IF($J15&lt;1,$J15,(INT($J15/100)*60+MOD($J15,100))/1440),IFERROR(TIMEVALUE(SUBSTITUTE($J15,"：",":")),""))</f>
        <v/>
      </c>
      <c r="T15">
        <f>IF(OR($N15="",$O15=""),"",MAX(0,MOD($O15-$N15,1)-MAX(0,MIN($O15,13/24)-MAX($N15,0.5))))</f>
        <v/>
      </c>
      <c r="U15">
        <f>IF($A15="","",IF(ISNUMBER(MATCH($A15,祝日リスト!$A$2:$A$40,0)),"祝",IF(WEEKDAY($A15,2)=6,"土",IF(WEEKDAY($A15,2)=7,"日","平"))))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IF(ISNUMBER($D16),IF($D16&lt;1,$D16,(INT($D16/100)*60+MOD($D16,100))/1440),IFERROR(TIMEVALUE(SUBSTITUTE($D16,"：",":")),""))</f>
        <v/>
      </c>
      <c r="O16" s="35">
        <f>IF(ISNUMBER($F16),IF($F16&lt;1,$F16,(INT($F16/100)*60+MOD($F16,100))/1440),IFERROR(TIMEVALUE(SUBSTITUTE($F16,"：",":")),""))</f>
        <v/>
      </c>
      <c r="P16">
        <f>IF(ISNUMBER($G16),IF($G16&lt;1,$G16,(INT($G16/100)*60+MOD($G16,100))/1440),IFERROR(TIMEVALUE(SUBSTITUTE($G16,"：",":")),""))</f>
        <v/>
      </c>
      <c r="Q16">
        <f>IF(ISNUMBER($H16),IF($H16&lt;1,$H16,(INT($H16/100)*60+MOD($H16,100))/1440),IFERROR(TIMEVALUE(SUBSTITUTE($H16,"：",":")),""))</f>
        <v/>
      </c>
      <c r="R16">
        <f>IF(ISNUMBER($I16),IF($I16&lt;1,$I16,(INT($I16/100)*60+MOD($I16,100))/1440),IFERROR(TIMEVALUE(SUBSTITUTE($I16,"：",":")),""))</f>
        <v/>
      </c>
      <c r="S16">
        <f>IF(ISNUMBER($J16),IF($J16&lt;1,$J16,(INT($J16/100)*60+MOD($J16,100))/1440),IFERROR(TIMEVALUE(SUBSTITUTE($J16,"：",":")),""))</f>
        <v/>
      </c>
      <c r="T16">
        <f>IF(OR($N16="",$O16=""),"",MAX(0,MOD($O16-$N16,1)-MAX(0,MIN($O16,13/24)-MAX($N16,0.5))))</f>
        <v/>
      </c>
      <c r="U16">
        <f>IF($A16="","",IF(ISNUMBER(MATCH($A16,祝日リスト!$A$2:$A$40,0)),"祝",IF(WEEKDAY($A16,2)=6,"土",IF(WEEKDAY($A16,2)=7,"日","平"))))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IF(ISNUMBER($D17),IF($D17&lt;1,$D17,(INT($D17/100)*60+MOD($D17,100))/1440),IFERROR(TIMEVALUE(SUBSTITUTE($D17,"：",":")),""))</f>
        <v/>
      </c>
      <c r="O17" s="35">
        <f>IF(ISNUMBER($F17),IF($F17&lt;1,$F17,(INT($F17/100)*60+MOD($F17,100))/1440),IFERROR(TIMEVALUE(SUBSTITUTE($F17,"：",":")),""))</f>
        <v/>
      </c>
      <c r="P17">
        <f>IF(ISNUMBER($G17),IF($G17&lt;1,$G17,(INT($G17/100)*60+MOD($G17,100))/1440),IFERROR(TIMEVALUE(SUBSTITUTE($G17,"：",":")),""))</f>
        <v/>
      </c>
      <c r="Q17">
        <f>IF(ISNUMBER($H17),IF($H17&lt;1,$H17,(INT($H17/100)*60+MOD($H17,100))/1440),IFERROR(TIMEVALUE(SUBSTITUTE($H17,"：",":")),""))</f>
        <v/>
      </c>
      <c r="R17">
        <f>IF(ISNUMBER($I17),IF($I17&lt;1,$I17,(INT($I17/100)*60+MOD($I17,100))/1440),IFERROR(TIMEVALUE(SUBSTITUTE($I17,"：",":")),""))</f>
        <v/>
      </c>
      <c r="S17">
        <f>IF(ISNUMBER($J17),IF($J17&lt;1,$J17,(INT($J17/100)*60+MOD($J17,100))/1440),IFERROR(TIMEVALUE(SUBSTITUTE($J17,"：",":")),""))</f>
        <v/>
      </c>
      <c r="T17">
        <f>IF(OR($N17="",$O17=""),"",MAX(0,MOD($O17-$N17,1)-MAX(0,MIN($O17,13/24)-MAX($N17,0.5))))</f>
        <v/>
      </c>
      <c r="U17">
        <f>IF($A17="","",IF(ISNUMBER(MATCH($A17,祝日リスト!$A$2:$A$40,0)),"祝",IF(WEEKDAY($A17,2)=6,"土",IF(WEEKDAY($A17,2)=7,"日","平"))))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IF(ISNUMBER($D18),IF($D18&lt;1,$D18,(INT($D18/100)*60+MOD($D18,100))/1440),IFERROR(TIMEVALUE(SUBSTITUTE($D18,"：",":")),""))</f>
        <v/>
      </c>
      <c r="O18" s="35">
        <f>IF(ISNUMBER($F18),IF($F18&lt;1,$F18,(INT($F18/100)*60+MOD($F18,100))/1440),IFERROR(TIMEVALUE(SUBSTITUTE($F18,"：",":")),""))</f>
        <v/>
      </c>
      <c r="P18">
        <f>IF(ISNUMBER($G18),IF($G18&lt;1,$G18,(INT($G18/100)*60+MOD($G18,100))/1440),IFERROR(TIMEVALUE(SUBSTITUTE($G18,"：",":")),""))</f>
        <v/>
      </c>
      <c r="Q18">
        <f>IF(ISNUMBER($H18),IF($H18&lt;1,$H18,(INT($H18/100)*60+MOD($H18,100))/1440),IFERROR(TIMEVALUE(SUBSTITUTE($H18,"：",":")),""))</f>
        <v/>
      </c>
      <c r="R18">
        <f>IF(ISNUMBER($I18),IF($I18&lt;1,$I18,(INT($I18/100)*60+MOD($I18,100))/1440),IFERROR(TIMEVALUE(SUBSTITUTE($I18,"：",":")),""))</f>
        <v/>
      </c>
      <c r="S18">
        <f>IF(ISNUMBER($J18),IF($J18&lt;1,$J18,(INT($J18/100)*60+MOD($J18,100))/1440),IFERROR(TIMEVALUE(SUBSTITUTE($J18,"：",":")),""))</f>
        <v/>
      </c>
      <c r="T18">
        <f>IF(OR($N18="",$O18=""),"",MAX(0,MOD($O18-$N18,1)-MAX(0,MIN($O18,13/24)-MAX($N18,0.5))))</f>
        <v/>
      </c>
      <c r="U18">
        <f>IF($A18="","",IF(ISNUMBER(MATCH($A18,祝日リスト!$A$2:$A$40,0)),"祝",IF(WEEKDAY($A18,2)=6,"土",IF(WEEKDAY($A18,2)=7,"日","平"))))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IF(ISNUMBER($D19),IF($D19&lt;1,$D19,(INT($D19/100)*60+MOD($D19,100))/1440),IFERROR(TIMEVALUE(SUBSTITUTE($D19,"：",":")),""))</f>
        <v/>
      </c>
      <c r="O19" s="35">
        <f>IF(ISNUMBER($F19),IF($F19&lt;1,$F19,(INT($F19/100)*60+MOD($F19,100))/1440),IFERROR(TIMEVALUE(SUBSTITUTE($F19,"：",":")),""))</f>
        <v/>
      </c>
      <c r="P19">
        <f>IF(ISNUMBER($G19),IF($G19&lt;1,$G19,(INT($G19/100)*60+MOD($G19,100))/1440),IFERROR(TIMEVALUE(SUBSTITUTE($G19,"：",":")),""))</f>
        <v/>
      </c>
      <c r="Q19">
        <f>IF(ISNUMBER($H19),IF($H19&lt;1,$H19,(INT($H19/100)*60+MOD($H19,100))/1440),IFERROR(TIMEVALUE(SUBSTITUTE($H19,"：",":")),""))</f>
        <v/>
      </c>
      <c r="R19">
        <f>IF(ISNUMBER($I19),IF($I19&lt;1,$I19,(INT($I19/100)*60+MOD($I19,100))/1440),IFERROR(TIMEVALUE(SUBSTITUTE($I19,"：",":")),""))</f>
        <v/>
      </c>
      <c r="S19">
        <f>IF(ISNUMBER($J19),IF($J19&lt;1,$J19,(INT($J19/100)*60+MOD($J19,100))/1440),IFERROR(TIMEVALUE(SUBSTITUTE($J19,"：",":")),""))</f>
        <v/>
      </c>
      <c r="T19">
        <f>IF(OR($N19="",$O19=""),"",MAX(0,MOD($O19-$N19,1)-MAX(0,MIN($O19,13/24)-MAX($N19,0.5))))</f>
        <v/>
      </c>
      <c r="U19">
        <f>IF($A19="","",IF(ISNUMBER(MATCH($A19,祝日リスト!$A$2:$A$40,0)),"祝",IF(WEEKDAY($A19,2)=6,"土",IF(WEEKDAY($A19,2)=7,"日","平"))))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IF(ISNUMBER($D20),IF($D20&lt;1,$D20,(INT($D20/100)*60+MOD($D20,100))/1440),IFERROR(TIMEVALUE(SUBSTITUTE($D20,"：",":")),""))</f>
        <v/>
      </c>
      <c r="O20" s="35">
        <f>IF(ISNUMBER($F20),IF($F20&lt;1,$F20,(INT($F20/100)*60+MOD($F20,100))/1440),IFERROR(TIMEVALUE(SUBSTITUTE($F20,"：",":")),""))</f>
        <v/>
      </c>
      <c r="P20">
        <f>IF(ISNUMBER($G20),IF($G20&lt;1,$G20,(INT($G20/100)*60+MOD($G20,100))/1440),IFERROR(TIMEVALUE(SUBSTITUTE($G20,"：",":")),""))</f>
        <v/>
      </c>
      <c r="Q20">
        <f>IF(ISNUMBER($H20),IF($H20&lt;1,$H20,(INT($H20/100)*60+MOD($H20,100))/1440),IFERROR(TIMEVALUE(SUBSTITUTE($H20,"：",":")),""))</f>
        <v/>
      </c>
      <c r="R20">
        <f>IF(ISNUMBER($I20),IF($I20&lt;1,$I20,(INT($I20/100)*60+MOD($I20,100))/1440),IFERROR(TIMEVALUE(SUBSTITUTE($I20,"：",":")),""))</f>
        <v/>
      </c>
      <c r="S20">
        <f>IF(ISNUMBER($J20),IF($J20&lt;1,$J20,(INT($J20/100)*60+MOD($J20,100))/1440),IFERROR(TIMEVALUE(SUBSTITUTE($J20,"：",":")),""))</f>
        <v/>
      </c>
      <c r="T20">
        <f>IF(OR($N20="",$O20=""),"",MAX(0,MOD($O20-$N20,1)-MAX(0,MIN($O20,13/24)-MAX($N20,0.5))))</f>
        <v/>
      </c>
      <c r="U20">
        <f>IF($A20="","",IF(ISNUMBER(MATCH($A20,祝日リスト!$A$2:$A$40,0)),"祝",IF(WEEKDAY($A20,2)=6,"土",IF(WEEKDAY($A20,2)=7,"日","平"))))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IF(ISNUMBER($D21),IF($D21&lt;1,$D21,(INT($D21/100)*60+MOD($D21,100))/1440),IFERROR(TIMEVALUE(SUBSTITUTE($D21,"：",":")),""))</f>
        <v/>
      </c>
      <c r="O21" s="35">
        <f>IF(ISNUMBER($F21),IF($F21&lt;1,$F21,(INT($F21/100)*60+MOD($F21,100))/1440),IFERROR(TIMEVALUE(SUBSTITUTE($F21,"：",":")),""))</f>
        <v/>
      </c>
      <c r="P21">
        <f>IF(ISNUMBER($G21),IF($G21&lt;1,$G21,(INT($G21/100)*60+MOD($G21,100))/1440),IFERROR(TIMEVALUE(SUBSTITUTE($G21,"：",":")),""))</f>
        <v/>
      </c>
      <c r="Q21">
        <f>IF(ISNUMBER($H21),IF($H21&lt;1,$H21,(INT($H21/100)*60+MOD($H21,100))/1440),IFERROR(TIMEVALUE(SUBSTITUTE($H21,"：",":")),""))</f>
        <v/>
      </c>
      <c r="R21">
        <f>IF(ISNUMBER($I21),IF($I21&lt;1,$I21,(INT($I21/100)*60+MOD($I21,100))/1440),IFERROR(TIMEVALUE(SUBSTITUTE($I21,"：",":")),""))</f>
        <v/>
      </c>
      <c r="S21">
        <f>IF(ISNUMBER($J21),IF($J21&lt;1,$J21,(INT($J21/100)*60+MOD($J21,100))/1440),IFERROR(TIMEVALUE(SUBSTITUTE($J21,"：",":")),""))</f>
        <v/>
      </c>
      <c r="T21">
        <f>IF(OR($N21="",$O21=""),"",MAX(0,MOD($O21-$N21,1)-MAX(0,MIN($O21,13/24)-MAX($N21,0.5))))</f>
        <v/>
      </c>
      <c r="U21">
        <f>IF($A21="","",IF(ISNUMBER(MATCH($A21,祝日リスト!$A$2:$A$40,0)),"祝",IF(WEEKDAY($A21,2)=6,"土",IF(WEEKDAY($A21,2)=7,"日","平"))))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IF(ISNUMBER($D22),IF($D22&lt;1,$D22,(INT($D22/100)*60+MOD($D22,100))/1440),IFERROR(TIMEVALUE(SUBSTITUTE($D22,"：",":")),""))</f>
        <v/>
      </c>
      <c r="O22" s="35">
        <f>IF(ISNUMBER($F22),IF($F22&lt;1,$F22,(INT($F22/100)*60+MOD($F22,100))/1440),IFERROR(TIMEVALUE(SUBSTITUTE($F22,"：",":")),""))</f>
        <v/>
      </c>
      <c r="P22" s="4">
        <f>IF(ISNUMBER($G22),IF($G22&lt;1,$G22,(INT($G22/100)*60+MOD($G22,100))/1440),IFERROR(TIMEVALUE(SUBSTITUTE($G22,"：",":")),""))</f>
        <v/>
      </c>
      <c r="Q22" s="4">
        <f>IF(ISNUMBER($H22),IF($H22&lt;1,$H22,(INT($H22/100)*60+MOD($H22,100))/1440),IFERROR(TIMEVALUE(SUBSTITUTE($H22,"：",":")),""))</f>
        <v/>
      </c>
      <c r="R22" s="4">
        <f>IF(ISNUMBER($I22),IF($I22&lt;1,$I22,(INT($I22/100)*60+MOD($I22,100))/1440),IFERROR(TIMEVALUE(SUBSTITUTE($I22,"：",":")),""))</f>
        <v/>
      </c>
      <c r="S22" s="4">
        <f>IF(ISNUMBER($J22),IF($J22&lt;1,$J22,(INT($J22/100)*60+MOD($J22,100))/1440),IFERROR(TIMEVALUE(SUBSTITUTE($J22,"：",":")),""))</f>
        <v/>
      </c>
      <c r="T22" s="4">
        <f>IF(OR($N22="",$O22=""),"",MAX(0,MOD($O22-$N22,1)-MAX(0,MIN($O22,13/24)-MAX($N22,0.5))))</f>
        <v/>
      </c>
      <c r="U22" s="4">
        <f>IF($A22="","",IF(ISNUMBER(MATCH($A22,祝日リスト!$A$2:$A$40,0)),"祝",IF(WEEKDAY($A22,2)=6,"土",IF(WEEKDAY($A22,2)=7,"日","平"))))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IF(ISNUMBER($D23),IF($D23&lt;1,$D23,(INT($D23/100)*60+MOD($D23,100))/1440),IFERROR(TIMEVALUE(SUBSTITUTE($D23,"：",":")),""))</f>
        <v/>
      </c>
      <c r="O23" s="35">
        <f>IF(ISNUMBER($F23),IF($F23&lt;1,$F23,(INT($F23/100)*60+MOD($F23,100))/1440),IFERROR(TIMEVALUE(SUBSTITUTE($F23,"：",":")),""))</f>
        <v/>
      </c>
      <c r="P23">
        <f>IF(ISNUMBER($G23),IF($G23&lt;1,$G23,(INT($G23/100)*60+MOD($G23,100))/1440),IFERROR(TIMEVALUE(SUBSTITUTE($G23,"：",":")),""))</f>
        <v/>
      </c>
      <c r="Q23">
        <f>IF(ISNUMBER($H23),IF($H23&lt;1,$H23,(INT($H23/100)*60+MOD($H23,100))/1440),IFERROR(TIMEVALUE(SUBSTITUTE($H23,"：",":")),""))</f>
        <v/>
      </c>
      <c r="R23">
        <f>IF(ISNUMBER($I23),IF($I23&lt;1,$I23,(INT($I23/100)*60+MOD($I23,100))/1440),IFERROR(TIMEVALUE(SUBSTITUTE($I23,"：",":")),""))</f>
        <v/>
      </c>
      <c r="S23">
        <f>IF(ISNUMBER($J23),IF($J23&lt;1,$J23,(INT($J23/100)*60+MOD($J23,100))/1440),IFERROR(TIMEVALUE(SUBSTITUTE($J23,"：",":")),""))</f>
        <v/>
      </c>
      <c r="T23">
        <f>IF(OR($N23="",$O23=""),"",MAX(0,MOD($O23-$N23,1)-MAX(0,MIN($O23,13/24)-MAX($N23,0.5))))</f>
        <v/>
      </c>
      <c r="U23">
        <f>IF($A23="","",IF(ISNUMBER(MATCH($A23,祝日リスト!$A$2:$A$40,0)),"祝",IF(WEEKDAY($A23,2)=6,"土",IF(WEEKDAY($A23,2)=7,"日","平"))))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IF(ISNUMBER($D24),IF($D24&lt;1,$D24,(INT($D24/100)*60+MOD($D24,100))/1440),IFERROR(TIMEVALUE(SUBSTITUTE($D24,"：",":")),""))</f>
        <v/>
      </c>
      <c r="O24" s="35">
        <f>IF(ISNUMBER($F24),IF($F24&lt;1,$F24,(INT($F24/100)*60+MOD($F24,100))/1440),IFERROR(TIMEVALUE(SUBSTITUTE($F24,"：",":")),""))</f>
        <v/>
      </c>
      <c r="P24">
        <f>IF(ISNUMBER($G24),IF($G24&lt;1,$G24,(INT($G24/100)*60+MOD($G24,100))/1440),IFERROR(TIMEVALUE(SUBSTITUTE($G24,"：",":")),""))</f>
        <v/>
      </c>
      <c r="Q24">
        <f>IF(ISNUMBER($H24),IF($H24&lt;1,$H24,(INT($H24/100)*60+MOD($H24,100))/1440),IFERROR(TIMEVALUE(SUBSTITUTE($H24,"：",":")),""))</f>
        <v/>
      </c>
      <c r="R24">
        <f>IF(ISNUMBER($I24),IF($I24&lt;1,$I24,(INT($I24/100)*60+MOD($I24,100))/1440),IFERROR(TIMEVALUE(SUBSTITUTE($I24,"：",":")),""))</f>
        <v/>
      </c>
      <c r="S24">
        <f>IF(ISNUMBER($J24),IF($J24&lt;1,$J24,(INT($J24/100)*60+MOD($J24,100))/1440),IFERROR(TIMEVALUE(SUBSTITUTE($J24,"：",":")),""))</f>
        <v/>
      </c>
      <c r="T24">
        <f>IF(OR($N24="",$O24=""),"",MAX(0,MOD($O24-$N24,1)-MAX(0,MIN($O24,13/24)-MAX($N24,0.5))))</f>
        <v/>
      </c>
      <c r="U24">
        <f>IF($A24="","",IF(ISNUMBER(MATCH($A24,祝日リスト!$A$2:$A$40,0)),"祝",IF(WEEKDAY($A24,2)=6,"土",IF(WEEKDAY($A24,2)=7,"日","平"))))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IF(ISNUMBER($D25),IF($D25&lt;1,$D25,(INT($D25/100)*60+MOD($D25,100))/1440),IFERROR(TIMEVALUE(SUBSTITUTE($D25,"：",":")),""))</f>
        <v/>
      </c>
      <c r="O25" s="35">
        <f>IF(ISNUMBER($F25),IF($F25&lt;1,$F25,(INT($F25/100)*60+MOD($F25,100))/1440),IFERROR(TIMEVALUE(SUBSTITUTE($F25,"：",":")),""))</f>
        <v/>
      </c>
      <c r="P25">
        <f>IF(ISNUMBER($G25),IF($G25&lt;1,$G25,(INT($G25/100)*60+MOD($G25,100))/1440),IFERROR(TIMEVALUE(SUBSTITUTE($G25,"：",":")),""))</f>
        <v/>
      </c>
      <c r="Q25">
        <f>IF(ISNUMBER($H25),IF($H25&lt;1,$H25,(INT($H25/100)*60+MOD($H25,100))/1440),IFERROR(TIMEVALUE(SUBSTITUTE($H25,"：",":")),""))</f>
        <v/>
      </c>
      <c r="R25">
        <f>IF(ISNUMBER($I25),IF($I25&lt;1,$I25,(INT($I25/100)*60+MOD($I25,100))/1440),IFERROR(TIMEVALUE(SUBSTITUTE($I25,"：",":")),""))</f>
        <v/>
      </c>
      <c r="S25">
        <f>IF(ISNUMBER($J25),IF($J25&lt;1,$J25,(INT($J25/100)*60+MOD($J25,100))/1440),IFERROR(TIMEVALUE(SUBSTITUTE($J25,"：",":")),""))</f>
        <v/>
      </c>
      <c r="T25">
        <f>IF(OR($N25="",$O25=""),"",MAX(0,MOD($O25-$N25,1)-MAX(0,MIN($O25,13/24)-MAX($N25,0.5))))</f>
        <v/>
      </c>
      <c r="U25">
        <f>IF($A25="","",IF(ISNUMBER(MATCH($A25,祝日リスト!$A$2:$A$40,0)),"祝",IF(WEEKDAY($A25,2)=6,"土",IF(WEEKDAY($A25,2)=7,"日","平"))))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IF(ISNUMBER($D26),IF($D26&lt;1,$D26,(INT($D26/100)*60+MOD($D26,100))/1440),IFERROR(TIMEVALUE(SUBSTITUTE($D26,"：",":")),""))</f>
        <v/>
      </c>
      <c r="O26" s="35">
        <f>IF(ISNUMBER($F26),IF($F26&lt;1,$F26,(INT($F26/100)*60+MOD($F26,100))/1440),IFERROR(TIMEVALUE(SUBSTITUTE($F26,"：",":")),""))</f>
        <v/>
      </c>
      <c r="P26" s="4">
        <f>IF(ISNUMBER($G26),IF($G26&lt;1,$G26,(INT($G26/100)*60+MOD($G26,100))/1440),IFERROR(TIMEVALUE(SUBSTITUTE($G26,"：",":")),""))</f>
        <v/>
      </c>
      <c r="Q26" s="4">
        <f>IF(ISNUMBER($H26),IF($H26&lt;1,$H26,(INT($H26/100)*60+MOD($H26,100))/1440),IFERROR(TIMEVALUE(SUBSTITUTE($H26,"：",":")),""))</f>
        <v/>
      </c>
      <c r="R26" s="4">
        <f>IF(ISNUMBER($I26),IF($I26&lt;1,$I26,(INT($I26/100)*60+MOD($I26,100))/1440),IFERROR(TIMEVALUE(SUBSTITUTE($I26,"：",":")),""))</f>
        <v/>
      </c>
      <c r="S26" s="4">
        <f>IF(ISNUMBER($J26),IF($J26&lt;1,$J26,(INT($J26/100)*60+MOD($J26,100))/1440),IFERROR(TIMEVALUE(SUBSTITUTE($J26,"：",":")),""))</f>
        <v/>
      </c>
      <c r="T26" s="4">
        <f>IF(OR($N26="",$O26=""),"",MAX(0,MOD($O26-$N26,1)-MAX(0,MIN($O26,13/24)-MAX($N26,0.5))))</f>
        <v/>
      </c>
      <c r="U26" s="4">
        <f>IF($A26="","",IF(ISNUMBER(MATCH($A26,祝日リスト!$A$2:$A$40,0)),"祝",IF(WEEKDAY($A26,2)=6,"土",IF(WEEKDAY($A26,2)=7,"日","平"))))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IF(ISNUMBER($D27),IF($D27&lt;1,$D27,(INT($D27/100)*60+MOD($D27,100))/1440),IFERROR(TIMEVALUE(SUBSTITUTE($D27,"：",":")),""))</f>
        <v/>
      </c>
      <c r="O27" s="35">
        <f>IF(ISNUMBER($F27),IF($F27&lt;1,$F27,(INT($F27/100)*60+MOD($F27,100))/1440),IFERROR(TIMEVALUE(SUBSTITUTE($F27,"：",":")),""))</f>
        <v/>
      </c>
      <c r="P27">
        <f>IF(ISNUMBER($G27),IF($G27&lt;1,$G27,(INT($G27/100)*60+MOD($G27,100))/1440),IFERROR(TIMEVALUE(SUBSTITUTE($G27,"：",":")),""))</f>
        <v/>
      </c>
      <c r="Q27">
        <f>IF(ISNUMBER($H27),IF($H27&lt;1,$H27,(INT($H27/100)*60+MOD($H27,100))/1440),IFERROR(TIMEVALUE(SUBSTITUTE($H27,"：",":")),""))</f>
        <v/>
      </c>
      <c r="R27">
        <f>IF(ISNUMBER($I27),IF($I27&lt;1,$I27,(INT($I27/100)*60+MOD($I27,100))/1440),IFERROR(TIMEVALUE(SUBSTITUTE($I27,"：",":")),""))</f>
        <v/>
      </c>
      <c r="S27">
        <f>IF(ISNUMBER($J27),IF($J27&lt;1,$J27,(INT($J27/100)*60+MOD($J27,100))/1440),IFERROR(TIMEVALUE(SUBSTITUTE($J27,"：",":")),""))</f>
        <v/>
      </c>
      <c r="T27">
        <f>IF(OR($N27="",$O27=""),"",MAX(0,MOD($O27-$N27,1)-MAX(0,MIN($O27,13/24)-MAX($N27,0.5))))</f>
        <v/>
      </c>
      <c r="U27">
        <f>IF($A27="","",IF(ISNUMBER(MATCH($A27,祝日リスト!$A$2:$A$40,0)),"祝",IF(WEEKDAY($A27,2)=6,"土",IF(WEEKDAY($A27,2)=7,"日","平"))))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IF(ISNUMBER($D28),IF($D28&lt;1,$D28,(INT($D28/100)*60+MOD($D28,100))/1440),IFERROR(TIMEVALUE(SUBSTITUTE($D28,"：",":")),""))</f>
        <v/>
      </c>
      <c r="O28" s="35">
        <f>IF(ISNUMBER($F28),IF($F28&lt;1,$F28,(INT($F28/100)*60+MOD($F28,100))/1440),IFERROR(TIMEVALUE(SUBSTITUTE($F28,"：",":")),""))</f>
        <v/>
      </c>
      <c r="P28">
        <f>IF(ISNUMBER($G28),IF($G28&lt;1,$G28,(INT($G28/100)*60+MOD($G28,100))/1440),IFERROR(TIMEVALUE(SUBSTITUTE($G28,"：",":")),""))</f>
        <v/>
      </c>
      <c r="Q28">
        <f>IF(ISNUMBER($H28),IF($H28&lt;1,$H28,(INT($H28/100)*60+MOD($H28,100))/1440),IFERROR(TIMEVALUE(SUBSTITUTE($H28,"：",":")),""))</f>
        <v/>
      </c>
      <c r="R28">
        <f>IF(ISNUMBER($I28),IF($I28&lt;1,$I28,(INT($I28/100)*60+MOD($I28,100))/1440),IFERROR(TIMEVALUE(SUBSTITUTE($I28,"：",":")),""))</f>
        <v/>
      </c>
      <c r="S28">
        <f>IF(ISNUMBER($J28),IF($J28&lt;1,$J28,(INT($J28/100)*60+MOD($J28,100))/1440),IFERROR(TIMEVALUE(SUBSTITUTE($J28,"：",":")),""))</f>
        <v/>
      </c>
      <c r="T28">
        <f>IF(OR($N28="",$O28=""),"",MAX(0,MOD($O28-$N28,1)-MAX(0,MIN($O28,13/24)-MAX($N28,0.5))))</f>
        <v/>
      </c>
      <c r="U28">
        <f>IF($A28="","",IF(ISNUMBER(MATCH($A28,祝日リスト!$A$2:$A$40,0)),"祝",IF(WEEKDAY($A28,2)=6,"土",IF(WEEKDAY($A28,2)=7,"日","平"))))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IF(ISNUMBER($D29),IF($D29&lt;1,$D29,(INT($D29/100)*60+MOD($D29,100))/1440),IFERROR(TIMEVALUE(SUBSTITUTE($D29,"：",":")),""))</f>
        <v/>
      </c>
      <c r="O29" s="35">
        <f>IF(ISNUMBER($F29),IF($F29&lt;1,$F29,(INT($F29/100)*60+MOD($F29,100))/1440),IFERROR(TIMEVALUE(SUBSTITUTE($F29,"：",":")),""))</f>
        <v/>
      </c>
      <c r="P29">
        <f>IF(ISNUMBER($G29),IF($G29&lt;1,$G29,(INT($G29/100)*60+MOD($G29,100))/1440),IFERROR(TIMEVALUE(SUBSTITUTE($G29,"：",":")),""))</f>
        <v/>
      </c>
      <c r="Q29">
        <f>IF(ISNUMBER($H29),IF($H29&lt;1,$H29,(INT($H29/100)*60+MOD($H29,100))/1440),IFERROR(TIMEVALUE(SUBSTITUTE($H29,"：",":")),""))</f>
        <v/>
      </c>
      <c r="R29">
        <f>IF(ISNUMBER($I29),IF($I29&lt;1,$I29,(INT($I29/100)*60+MOD($I29,100))/1440),IFERROR(TIMEVALUE(SUBSTITUTE($I29,"：",":")),""))</f>
        <v/>
      </c>
      <c r="S29">
        <f>IF(ISNUMBER($J29),IF($J29&lt;1,$J29,(INT($J29/100)*60+MOD($J29,100))/1440),IFERROR(TIMEVALUE(SUBSTITUTE($J29,"：",":")),""))</f>
        <v/>
      </c>
      <c r="T29">
        <f>IF(OR($N29="",$O29=""),"",MAX(0,MOD($O29-$N29,1)-MAX(0,MIN($O29,13/24)-MAX($N29,0.5))))</f>
        <v/>
      </c>
      <c r="U29">
        <f>IF($A29="","",IF(ISNUMBER(MATCH($A29,祝日リスト!$A$2:$A$40,0)),"祝",IF(WEEKDAY($A29,2)=6,"土",IF(WEEKDAY($A29,2)=7,"日","平"))))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IF(ISNUMBER($D30),IF($D30&lt;1,$D30,(INT($D30/100)*60+MOD($D30,100))/1440),IFERROR(TIMEVALUE(SUBSTITUTE($D30,"：",":")),""))</f>
        <v/>
      </c>
      <c r="O30" s="35">
        <f>IF(ISNUMBER($F30),IF($F30&lt;1,$F30,(INT($F30/100)*60+MOD($F30,100))/1440),IFERROR(TIMEVALUE(SUBSTITUTE($F30,"：",":")),""))</f>
        <v/>
      </c>
      <c r="P30">
        <f>IF(ISNUMBER($G30),IF($G30&lt;1,$G30,(INT($G30/100)*60+MOD($G30,100))/1440),IFERROR(TIMEVALUE(SUBSTITUTE($G30,"：",":")),""))</f>
        <v/>
      </c>
      <c r="Q30">
        <f>IF(ISNUMBER($H30),IF($H30&lt;1,$H30,(INT($H30/100)*60+MOD($H30,100))/1440),IFERROR(TIMEVALUE(SUBSTITUTE($H30,"：",":")),""))</f>
        <v/>
      </c>
      <c r="R30">
        <f>IF(ISNUMBER($I30),IF($I30&lt;1,$I30,(INT($I30/100)*60+MOD($I30,100))/1440),IFERROR(TIMEVALUE(SUBSTITUTE($I30,"：",":")),""))</f>
        <v/>
      </c>
      <c r="S30">
        <f>IF(ISNUMBER($J30),IF($J30&lt;1,$J30,(INT($J30/100)*60+MOD($J30,100))/1440),IFERROR(TIMEVALUE(SUBSTITUTE($J30,"：",":")),""))</f>
        <v/>
      </c>
      <c r="T30">
        <f>IF(OR($N30="",$O30=""),"",MAX(0,MOD($O30-$N30,1)-MAX(0,MIN($O30,13/24)-MAX($N30,0.5))))</f>
        <v/>
      </c>
      <c r="U30">
        <f>IF($A30="","",IF(ISNUMBER(MATCH($A30,祝日リスト!$A$2:$A$40,0)),"祝",IF(WEEKDAY($A30,2)=6,"土",IF(WEEKDAY($A30,2)=7,"日","平"))))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IF(ISNUMBER($D31),IF($D31&lt;1,$D31,(INT($D31/100)*60+MOD($D31,100))/1440),IFERROR(TIMEVALUE(SUBSTITUTE($D31,"：",":")),""))</f>
        <v/>
      </c>
      <c r="O31" s="35">
        <f>IF(ISNUMBER($F31),IF($F31&lt;1,$F31,(INT($F31/100)*60+MOD($F31,100))/1440),IFERROR(TIMEVALUE(SUBSTITUTE($F31,"：",":")),""))</f>
        <v/>
      </c>
      <c r="P31">
        <f>IF(ISNUMBER($G31),IF($G31&lt;1,$G31,(INT($G31/100)*60+MOD($G31,100))/1440),IFERROR(TIMEVALUE(SUBSTITUTE($G31,"：",":")),""))</f>
        <v/>
      </c>
      <c r="Q31">
        <f>IF(ISNUMBER($H31),IF($H31&lt;1,$H31,(INT($H31/100)*60+MOD($H31,100))/1440),IFERROR(TIMEVALUE(SUBSTITUTE($H31,"：",":")),""))</f>
        <v/>
      </c>
      <c r="R31">
        <f>IF(ISNUMBER($I31),IF($I31&lt;1,$I31,(INT($I31/100)*60+MOD($I31,100))/1440),IFERROR(TIMEVALUE(SUBSTITUTE($I31,"：",":")),""))</f>
        <v/>
      </c>
      <c r="S31">
        <f>IF(ISNUMBER($J31),IF($J31&lt;1,$J31,(INT($J31/100)*60+MOD($J31,100))/1440),IFERROR(TIMEVALUE(SUBSTITUTE($J31,"：",":")),""))</f>
        <v/>
      </c>
      <c r="T31">
        <f>IF(OR($N31="",$O31=""),"",MAX(0,MOD($O31-$N31,1)-MAX(0,MIN($O31,13/24)-MAX($N31,0.5))))</f>
        <v/>
      </c>
      <c r="U31">
        <f>IF($A31="","",IF(ISNUMBER(MATCH($A31,祝日リスト!$A$2:$A$40,0)),"祝",IF(WEEKDAY($A31,2)=6,"土",IF(WEEKDAY($A31,2)=7,"日","平"))))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IF(ISNUMBER($D32),IF($D32&lt;1,$D32,(INT($D32/100)*60+MOD($D32,100))/1440),IFERROR(TIMEVALUE(SUBSTITUTE($D32,"：",":")),""))</f>
        <v/>
      </c>
      <c r="O32" s="35">
        <f>IF(ISNUMBER($F32),IF($F32&lt;1,$F32,(INT($F32/100)*60+MOD($F32,100))/1440),IFERROR(TIMEVALUE(SUBSTITUTE($F32,"：",":")),""))</f>
        <v/>
      </c>
      <c r="P32">
        <f>IF(ISNUMBER($G32),IF($G32&lt;1,$G32,(INT($G32/100)*60+MOD($G32,100))/1440),IFERROR(TIMEVALUE(SUBSTITUTE($G32,"：",":")),""))</f>
        <v/>
      </c>
      <c r="Q32">
        <f>IF(ISNUMBER($H32),IF($H32&lt;1,$H32,(INT($H32/100)*60+MOD($H32,100))/1440),IFERROR(TIMEVALUE(SUBSTITUTE($H32,"：",":")),""))</f>
        <v/>
      </c>
      <c r="R32">
        <f>IF(ISNUMBER($I32),IF($I32&lt;1,$I32,(INT($I32/100)*60+MOD($I32,100))/1440),IFERROR(TIMEVALUE(SUBSTITUTE($I32,"：",":")),""))</f>
        <v/>
      </c>
      <c r="S32">
        <f>IF(ISNUMBER($J32),IF($J32&lt;1,$J32,(INT($J32/100)*60+MOD($J32,100))/1440),IFERROR(TIMEVALUE(SUBSTITUTE($J32,"：",":")),""))</f>
        <v/>
      </c>
      <c r="T32">
        <f>IF(OR($N32="",$O32=""),"",MAX(0,MOD($O32-$N32,1)-MAX(0,MIN($O32,13/24)-MAX($N32,0.5))))</f>
        <v/>
      </c>
      <c r="U32">
        <f>IF($A32="","",IF(ISNUMBER(MATCH($A32,祝日リスト!$A$2:$A$40,0)),"祝",IF(WEEKDAY($A32,2)=6,"土",IF(WEEKDAY($A32,2)=7,"日","平"))))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IF(ISNUMBER($D33),IF($D33&lt;1,$D33,(INT($D33/100)*60+MOD($D33,100))/1440),IFERROR(TIMEVALUE(SUBSTITUTE($D33,"：",":")),""))</f>
        <v/>
      </c>
      <c r="O33" s="35">
        <f>IF(ISNUMBER($F33),IF($F33&lt;1,$F33,(INT($F33/100)*60+MOD($F33,100))/1440),IFERROR(TIMEVALUE(SUBSTITUTE($F33,"：",":")),""))</f>
        <v/>
      </c>
      <c r="P33">
        <f>IF(ISNUMBER($G33),IF($G33&lt;1,$G33,(INT($G33/100)*60+MOD($G33,100))/1440),IFERROR(TIMEVALUE(SUBSTITUTE($G33,"：",":")),""))</f>
        <v/>
      </c>
      <c r="Q33">
        <f>IF(ISNUMBER($H33),IF($H33&lt;1,$H33,(INT($H33/100)*60+MOD($H33,100))/1440),IFERROR(TIMEVALUE(SUBSTITUTE($H33,"：",":")),""))</f>
        <v/>
      </c>
      <c r="R33">
        <f>IF(ISNUMBER($I33),IF($I33&lt;1,$I33,(INT($I33/100)*60+MOD($I33,100))/1440),IFERROR(TIMEVALUE(SUBSTITUTE($I33,"：",":")),""))</f>
        <v/>
      </c>
      <c r="S33">
        <f>IF(ISNUMBER($J33),IF($J33&lt;1,$J33,(INT($J33/100)*60+MOD($J33,100))/1440),IFERROR(TIMEVALUE(SUBSTITUTE($J33,"：",":")),""))</f>
        <v/>
      </c>
      <c r="T33">
        <f>IF(OR($N33="",$O33=""),"",MAX(0,MOD($O33-$N33,1)-MAX(0,MIN($O33,13/24)-MAX($N33,0.5))))</f>
        <v/>
      </c>
      <c r="U33">
        <f>IF($A33="","",IF(ISNUMBER(MATCH($A33,祝日リスト!$A$2:$A$40,0)),"祝",IF(WEEKDAY($A33,2)=6,"土",IF(WEEKDAY($A33,2)=7,"日","平"))))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IF(ISNUMBER($D34),IF($D34&lt;1,$D34,(INT($D34/100)*60+MOD($D34,100))/1440),IFERROR(TIMEVALUE(SUBSTITUTE($D34,"：",":")),""))</f>
        <v/>
      </c>
      <c r="O34" s="35">
        <f>IF(ISNUMBER($F34),IF($F34&lt;1,$F34,(INT($F34/100)*60+MOD($F34,100))/1440),IFERROR(TIMEVALUE(SUBSTITUTE($F34,"：",":")),""))</f>
        <v/>
      </c>
      <c r="P34">
        <f>IF(ISNUMBER($G34),IF($G34&lt;1,$G34,(INT($G34/100)*60+MOD($G34,100))/1440),IFERROR(TIMEVALUE(SUBSTITUTE($G34,"：",":")),""))</f>
        <v/>
      </c>
      <c r="Q34">
        <f>IF(ISNUMBER($H34),IF($H34&lt;1,$H34,(INT($H34/100)*60+MOD($H34,100))/1440),IFERROR(TIMEVALUE(SUBSTITUTE($H34,"：",":")),""))</f>
        <v/>
      </c>
      <c r="R34">
        <f>IF(ISNUMBER($I34),IF($I34&lt;1,$I34,(INT($I34/100)*60+MOD($I34,100))/1440),IFERROR(TIMEVALUE(SUBSTITUTE($I34,"：",":")),""))</f>
        <v/>
      </c>
      <c r="S34">
        <f>IF(ISNUMBER($J34),IF($J34&lt;1,$J34,(INT($J34/100)*60+MOD($J34,100))/1440),IFERROR(TIMEVALUE(SUBSTITUTE($J34,"：",":")),""))</f>
        <v/>
      </c>
      <c r="T34">
        <f>IF(OR($N34="",$O34=""),"",MAX(0,MOD($O34-$N34,1)-MAX(0,MIN($O34,13/24)-MAX($N34,0.5))))</f>
        <v/>
      </c>
      <c r="U34">
        <f>IF($A34="","",IF(ISNUMBER(MATCH($A34,祝日リスト!$A$2:$A$40,0)),"祝",IF(WEEKDAY($A34,2)=6,"土",IF(WEEKDAY($A34,2)=7,"日","平"))))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IF(ISNUMBER($D35),IF($D35&lt;1,$D35,(INT($D35/100)*60+MOD($D35,100))/1440),IFERROR(TIMEVALUE(SUBSTITUTE($D35,"：",":")),""))</f>
        <v/>
      </c>
      <c r="O35" s="35">
        <f>IF(ISNUMBER($F35),IF($F35&lt;1,$F35,(INT($F35/100)*60+MOD($F35,100))/1440),IFERROR(TIMEVALUE(SUBSTITUTE($F35,"：",":")),""))</f>
        <v/>
      </c>
      <c r="P35">
        <f>IF(ISNUMBER($G35),IF($G35&lt;1,$G35,(INT($G35/100)*60+MOD($G35,100))/1440),IFERROR(TIMEVALUE(SUBSTITUTE($G35,"：",":")),""))</f>
        <v/>
      </c>
      <c r="Q35">
        <f>IF(ISNUMBER($H35),IF($H35&lt;1,$H35,(INT($H35/100)*60+MOD($H35,100))/1440),IFERROR(TIMEVALUE(SUBSTITUTE($H35,"：",":")),""))</f>
        <v/>
      </c>
      <c r="R35">
        <f>IF(ISNUMBER($I35),IF($I35&lt;1,$I35,(INT($I35/100)*60+MOD($I35,100))/1440),IFERROR(TIMEVALUE(SUBSTITUTE($I35,"：",":")),""))</f>
        <v/>
      </c>
      <c r="S35">
        <f>IF(ISNUMBER($J35),IF($J35&lt;1,$J35,(INT($J35/100)*60+MOD($J35,100))/1440),IFERROR(TIMEVALUE(SUBSTITUTE($J35,"：",":")),""))</f>
        <v/>
      </c>
      <c r="T35">
        <f>IF(OR($N35="",$O35=""),"",MAX(0,MOD($O35-$N35,1)-MAX(0,MIN($O35,13/24)-MAX($N35,0.5))))</f>
        <v/>
      </c>
      <c r="U35">
        <f>IF($A35="","",IF(ISNUMBER(MATCH($A35,祝日リスト!$A$2:$A$40,0)),"祝",IF(WEEKDAY($A35,2)=6,"土",IF(WEEKDAY($A35,2)=7,"日","平"))))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IF(ISNUMBER($D36),IF($D36&lt;1,$D36,(INT($D36/100)*60+MOD($D36,100))/1440),IFERROR(TIMEVALUE(SUBSTITUTE($D36,"：",":")),""))</f>
        <v/>
      </c>
      <c r="O36" s="35">
        <f>IF(ISNUMBER($F36),IF($F36&lt;1,$F36,(INT($F36/100)*60+MOD($F36,100))/1440),IFERROR(TIMEVALUE(SUBSTITUTE($F36,"：",":")),""))</f>
        <v/>
      </c>
      <c r="P36">
        <f>IF(ISNUMBER($G36),IF($G36&lt;1,$G36,(INT($G36/100)*60+MOD($G36,100))/1440),IFERROR(TIMEVALUE(SUBSTITUTE($G36,"：",":")),""))</f>
        <v/>
      </c>
      <c r="Q36">
        <f>IF(ISNUMBER($H36),IF($H36&lt;1,$H36,(INT($H36/100)*60+MOD($H36,100))/1440),IFERROR(TIMEVALUE(SUBSTITUTE($H36,"：",":")),""))</f>
        <v/>
      </c>
      <c r="R36">
        <f>IF(ISNUMBER($I36),IF($I36&lt;1,$I36,(INT($I36/100)*60+MOD($I36,100))/1440),IFERROR(TIMEVALUE(SUBSTITUTE($I36,"：",":")),""))</f>
        <v/>
      </c>
      <c r="S36">
        <f>IF(ISNUMBER($J36),IF($J36&lt;1,$J36,(INT($J36/100)*60+MOD($J36,100))/1440),IFERROR(TIMEVALUE(SUBSTITUTE($J36,"：",":")),""))</f>
        <v/>
      </c>
      <c r="T36">
        <f>IF(OR($N36="",$O36=""),"",MAX(0,MOD($O36-$N36,1)-MAX(0,MIN($O36,13/24)-MAX($N36,0.5))))</f>
        <v/>
      </c>
      <c r="U36">
        <f>IF($A36="","",IF(ISNUMBER(MATCH($A36,祝日リスト!$A$2:$A$40,0)),"祝",IF(WEEKDAY($A36,2)=6,"土",IF(WEEKDAY($A36,2)=7,"日","平"))))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IF(ISNUMBER($D37),IF($D37&lt;1,$D37,(INT($D37/100)*60+MOD($D37,100))/1440),IFERROR(TIMEVALUE(SUBSTITUTE($D37,"：",":")),""))</f>
        <v/>
      </c>
      <c r="O37">
        <f>IF(ISNUMBER($F37),IF($F37&lt;1,$F37,(INT($F37/100)*60+MOD($F37,100))/1440),IFERROR(TIMEVALUE(SUBSTITUTE($F37,"：",":")),""))</f>
        <v/>
      </c>
      <c r="P37">
        <f>IF(ISNUMBER($G37),IF($G37&lt;1,$G37,(INT($G37/100)*60+MOD($G37,100))/1440),IFERROR(TIMEVALUE(SUBSTITUTE($G37,"：",":")),""))</f>
        <v/>
      </c>
      <c r="Q37">
        <f>IF(ISNUMBER($H37),IF($H37&lt;1,$H37,(INT($H37/100)*60+MOD($H37,100))/1440),IFERROR(TIMEVALUE(SUBSTITUTE($H37,"：",":")),""))</f>
        <v/>
      </c>
      <c r="R37">
        <f>IF(ISNUMBER($I37),IF($I37&lt;1,$I37,(INT($I37/100)*60+MOD($I37,100))/1440),IFERROR(TIMEVALUE(SUBSTITUTE($I37,"：",":")),""))</f>
        <v/>
      </c>
      <c r="S37">
        <f>IF(ISNUMBER($J37),IF($J37&lt;1,$J37,(INT($J37/100)*60+MOD($J37,100))/1440),IFERROR(TIMEVALUE(SUBSTITUTE($J37,"：",":")),""))</f>
        <v/>
      </c>
      <c r="T37">
        <f>IF(OR($N37="",$O37=""),"",MAX(0,MOD($O37-$N37,1)-MAX(0,MIN($O37,13/24)-MAX($N37,0.5))))</f>
        <v/>
      </c>
      <c r="U37">
        <f>IF($A37="","",IF(ISNUMBER(MATCH($A37,祝日リスト!$A$2:$A$40,0)),"祝",IF(WEEKDAY($A37,2)=6,"土",IF(WEEKDAY($A37,2)=7,"日","平"))))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AND($A7&lt;&gt;"",OR(WEEKDAY($A7,2)=6,WEEKDAY($A7,2)=7,WEEKDAY($A7,2)=3,ISNUMBER(MATCH($A7,祝日リスト!$A$2:$A$40,0))))</formula>
    </cfRule>
  </conditionalFormatting>
  <dataValidations count="1">
    <dataValidation sqref="D7:D37 F7:F37 G7:G37 H7:H37 I7:I37 J7:J37" showDropDown="0" showInputMessage="0" showErrorMessage="1" allowBlank="1" errorTitle="時刻の入力" error="9:30 のように、コロン付きで入力してください（全角の 9：00 でも可）。" type="custom">
      <formula1>=OR(AND(ISNUMBER(D7),D7&gt;=0,D7&lt;1),IFERROR(ISNUMBER(TIMEVALUE(SUBSTITUTE(D7,"：",":"))),FALSE))</formula1>
    </dataValidation>
  </dataValidations>
  <pageMargins left="0.25" right="0.25" top="0.75" bottom="0.75" header="0" footer="0"/>
  <pageSetup orientation="portrait" paperSize="9" scale="96" fitToWidth="0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11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IF(ISNUMBER($D7),IF($D7&lt;1,$D7,(INT($D7/100)*60+MOD($D7,100))/1440),IFERROR(TIMEVALUE(SUBSTITUTE($D7,"：",":")),""))</f>
        <v/>
      </c>
      <c r="O7">
        <f>IF(ISNUMBER($F7),IF($F7&lt;1,$F7,(INT($F7/100)*60+MOD($F7,100))/1440),IFERROR(TIMEVALUE(SUBSTITUTE($F7,"：",":")),""))</f>
        <v/>
      </c>
      <c r="P7">
        <f>IF(ISNUMBER($G7),IF($G7&lt;1,$G7,(INT($G7/100)*60+MOD($G7,100))/1440),IFERROR(TIMEVALUE(SUBSTITUTE($G7,"：",":")),""))</f>
        <v/>
      </c>
      <c r="Q7">
        <f>IF(ISNUMBER($H7),IF($H7&lt;1,$H7,(INT($H7/100)*60+MOD($H7,100))/1440),IFERROR(TIMEVALUE(SUBSTITUTE($H7,"：",":")),""))</f>
        <v/>
      </c>
      <c r="R7">
        <f>IF(ISNUMBER($I7),IF($I7&lt;1,$I7,(INT($I7/100)*60+MOD($I7,100))/1440),IFERROR(TIMEVALUE(SUBSTITUTE($I7,"：",":")),""))</f>
        <v/>
      </c>
      <c r="S7">
        <f>IF(ISNUMBER($J7),IF($J7&lt;1,$J7,(INT($J7/100)*60+MOD($J7,100))/1440),IFERROR(TIMEVALUE(SUBSTITUTE($J7,"：",":")),""))</f>
        <v/>
      </c>
      <c r="T7">
        <f>IF(OR($N7="",$O7=""),"",MAX(0,MOD($O7-$N7,1)-MAX(0,MIN($O7,13/24)-MAX($N7,0.5))))</f>
        <v/>
      </c>
      <c r="U7">
        <f>IF($A7="","",IF(ISNUMBER(MATCH($A7,祝日リスト!$A$2:$A$40,0)),"祝",IF(WEEKDAY($A7,2)=6,"土",IF(WEEKDAY($A7,2)=7,"日","平"))))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IF(ISNUMBER($D8),IF($D8&lt;1,$D8,(INT($D8/100)*60+MOD($D8,100))/1440),IFERROR(TIMEVALUE(SUBSTITUTE($D8,"：",":")),""))</f>
        <v/>
      </c>
      <c r="O8" s="35">
        <f>IF(ISNUMBER($F8),IF($F8&lt;1,$F8,(INT($F8/100)*60+MOD($F8,100))/1440),IFERROR(TIMEVALUE(SUBSTITUTE($F8,"：",":")),""))</f>
        <v/>
      </c>
      <c r="P8">
        <f>IF(ISNUMBER($G8),IF($G8&lt;1,$G8,(INT($G8/100)*60+MOD($G8,100))/1440),IFERROR(TIMEVALUE(SUBSTITUTE($G8,"：",":")),""))</f>
        <v/>
      </c>
      <c r="Q8">
        <f>IF(ISNUMBER($H8),IF($H8&lt;1,$H8,(INT($H8/100)*60+MOD($H8,100))/1440),IFERROR(TIMEVALUE(SUBSTITUTE($H8,"：",":")),""))</f>
        <v/>
      </c>
      <c r="R8">
        <f>IF(ISNUMBER($I8),IF($I8&lt;1,$I8,(INT($I8/100)*60+MOD($I8,100))/1440),IFERROR(TIMEVALUE(SUBSTITUTE($I8,"：",":")),""))</f>
        <v/>
      </c>
      <c r="S8">
        <f>IF(ISNUMBER($J8),IF($J8&lt;1,$J8,(INT($J8/100)*60+MOD($J8,100))/1440),IFERROR(TIMEVALUE(SUBSTITUTE($J8,"：",":")),""))</f>
        <v/>
      </c>
      <c r="T8">
        <f>IF(OR($N8="",$O8=""),"",MAX(0,MOD($O8-$N8,1)-MAX(0,MIN($O8,13/24)-MAX($N8,0.5))))</f>
        <v/>
      </c>
      <c r="U8">
        <f>IF($A8="","",IF(ISNUMBER(MATCH($A8,祝日リスト!$A$2:$A$40,0)),"祝",IF(WEEKDAY($A8,2)=6,"土",IF(WEEKDAY($A8,2)=7,"日","平"))))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IF(ISNUMBER($D9),IF($D9&lt;1,$D9,(INT($D9/100)*60+MOD($D9,100))/1440),IFERROR(TIMEVALUE(SUBSTITUTE($D9,"：",":")),""))</f>
        <v/>
      </c>
      <c r="O9" s="35">
        <f>IF(ISNUMBER($F9),IF($F9&lt;1,$F9,(INT($F9/100)*60+MOD($F9,100))/1440),IFERROR(TIMEVALUE(SUBSTITUTE($F9,"：",":")),""))</f>
        <v/>
      </c>
      <c r="P9">
        <f>IF(ISNUMBER($G9),IF($G9&lt;1,$G9,(INT($G9/100)*60+MOD($G9,100))/1440),IFERROR(TIMEVALUE(SUBSTITUTE($G9,"：",":")),""))</f>
        <v/>
      </c>
      <c r="Q9">
        <f>IF(ISNUMBER($H9),IF($H9&lt;1,$H9,(INT($H9/100)*60+MOD($H9,100))/1440),IFERROR(TIMEVALUE(SUBSTITUTE($H9,"：",":")),""))</f>
        <v/>
      </c>
      <c r="R9">
        <f>IF(ISNUMBER($I9),IF($I9&lt;1,$I9,(INT($I9/100)*60+MOD($I9,100))/1440),IFERROR(TIMEVALUE(SUBSTITUTE($I9,"：",":")),""))</f>
        <v/>
      </c>
      <c r="S9">
        <f>IF(ISNUMBER($J9),IF($J9&lt;1,$J9,(INT($J9/100)*60+MOD($J9,100))/1440),IFERROR(TIMEVALUE(SUBSTITUTE($J9,"：",":")),""))</f>
        <v/>
      </c>
      <c r="T9">
        <f>IF(OR($N9="",$O9=""),"",MAX(0,MOD($O9-$N9,1)-MAX(0,MIN($O9,13/24)-MAX($N9,0.5))))</f>
        <v/>
      </c>
      <c r="U9">
        <f>IF($A9="","",IF(ISNUMBER(MATCH($A9,祝日リスト!$A$2:$A$40,0)),"祝",IF(WEEKDAY($A9,2)=6,"土",IF(WEEKDAY($A9,2)=7,"日","平"))))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IF(ISNUMBER($D10),IF($D10&lt;1,$D10,(INT($D10/100)*60+MOD($D10,100))/1440),IFERROR(TIMEVALUE(SUBSTITUTE($D10,"：",":")),""))</f>
        <v/>
      </c>
      <c r="O10" s="35">
        <f>IF(ISNUMBER($F10),IF($F10&lt;1,$F10,(INT($F10/100)*60+MOD($F10,100))/1440),IFERROR(TIMEVALUE(SUBSTITUTE($F10,"：",":")),""))</f>
        <v/>
      </c>
      <c r="P10">
        <f>IF(ISNUMBER($G10),IF($G10&lt;1,$G10,(INT($G10/100)*60+MOD($G10,100))/1440),IFERROR(TIMEVALUE(SUBSTITUTE($G10,"：",":")),""))</f>
        <v/>
      </c>
      <c r="Q10">
        <f>IF(ISNUMBER($H10),IF($H10&lt;1,$H10,(INT($H10/100)*60+MOD($H10,100))/1440),IFERROR(TIMEVALUE(SUBSTITUTE($H10,"：",":")),""))</f>
        <v/>
      </c>
      <c r="R10">
        <f>IF(ISNUMBER($I10),IF($I10&lt;1,$I10,(INT($I10/100)*60+MOD($I10,100))/1440),IFERROR(TIMEVALUE(SUBSTITUTE($I10,"：",":")),""))</f>
        <v/>
      </c>
      <c r="S10">
        <f>IF(ISNUMBER($J10),IF($J10&lt;1,$J10,(INT($J10/100)*60+MOD($J10,100))/1440),IFERROR(TIMEVALUE(SUBSTITUTE($J10,"：",":")),""))</f>
        <v/>
      </c>
      <c r="T10">
        <f>IF(OR($N10="",$O10=""),"",MAX(0,MOD($O10-$N10,1)-MAX(0,MIN($O10,13/24)-MAX($N10,0.5))))</f>
        <v/>
      </c>
      <c r="U10">
        <f>IF($A10="","",IF(ISNUMBER(MATCH($A10,祝日リスト!$A$2:$A$40,0)),"祝",IF(WEEKDAY($A10,2)=6,"土",IF(WEEKDAY($A10,2)=7,"日","平"))))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IF(ISNUMBER($D11),IF($D11&lt;1,$D11,(INT($D11/100)*60+MOD($D11,100))/1440),IFERROR(TIMEVALUE(SUBSTITUTE($D11,"：",":")),""))</f>
        <v/>
      </c>
      <c r="O11" s="35">
        <f>IF(ISNUMBER($F11),IF($F11&lt;1,$F11,(INT($F11/100)*60+MOD($F11,100))/1440),IFERROR(TIMEVALUE(SUBSTITUTE($F11,"：",":")),""))</f>
        <v/>
      </c>
      <c r="P11">
        <f>IF(ISNUMBER($G11),IF($G11&lt;1,$G11,(INT($G11/100)*60+MOD($G11,100))/1440),IFERROR(TIMEVALUE(SUBSTITUTE($G11,"：",":")),""))</f>
        <v/>
      </c>
      <c r="Q11">
        <f>IF(ISNUMBER($H11),IF($H11&lt;1,$H11,(INT($H11/100)*60+MOD($H11,100))/1440),IFERROR(TIMEVALUE(SUBSTITUTE($H11,"：",":")),""))</f>
        <v/>
      </c>
      <c r="R11">
        <f>IF(ISNUMBER($I11),IF($I11&lt;1,$I11,(INT($I11/100)*60+MOD($I11,100))/1440),IFERROR(TIMEVALUE(SUBSTITUTE($I11,"：",":")),""))</f>
        <v/>
      </c>
      <c r="S11">
        <f>IF(ISNUMBER($J11),IF($J11&lt;1,$J11,(INT($J11/100)*60+MOD($J11,100))/1440),IFERROR(TIMEVALUE(SUBSTITUTE($J11,"：",":")),""))</f>
        <v/>
      </c>
      <c r="T11">
        <f>IF(OR($N11="",$O11=""),"",MAX(0,MOD($O11-$N11,1)-MAX(0,MIN($O11,13/24)-MAX($N11,0.5))))</f>
        <v/>
      </c>
      <c r="U11">
        <f>IF($A11="","",IF(ISNUMBER(MATCH($A11,祝日リスト!$A$2:$A$40,0)),"祝",IF(WEEKDAY($A11,2)=6,"土",IF(WEEKDAY($A11,2)=7,"日","平"))))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IF(ISNUMBER($D12),IF($D12&lt;1,$D12,(INT($D12/100)*60+MOD($D12,100))/1440),IFERROR(TIMEVALUE(SUBSTITUTE($D12,"：",":")),""))</f>
        <v/>
      </c>
      <c r="O12" s="35">
        <f>IF(ISNUMBER($F12),IF($F12&lt;1,$F12,(INT($F12/100)*60+MOD($F12,100))/1440),IFERROR(TIMEVALUE(SUBSTITUTE($F12,"：",":")),""))</f>
        <v/>
      </c>
      <c r="P12">
        <f>IF(ISNUMBER($G12),IF($G12&lt;1,$G12,(INT($G12/100)*60+MOD($G12,100))/1440),IFERROR(TIMEVALUE(SUBSTITUTE($G12,"：",":")),""))</f>
        <v/>
      </c>
      <c r="Q12">
        <f>IF(ISNUMBER($H12),IF($H12&lt;1,$H12,(INT($H12/100)*60+MOD($H12,100))/1440),IFERROR(TIMEVALUE(SUBSTITUTE($H12,"：",":")),""))</f>
        <v/>
      </c>
      <c r="R12">
        <f>IF(ISNUMBER($I12),IF($I12&lt;1,$I12,(INT($I12/100)*60+MOD($I12,100))/1440),IFERROR(TIMEVALUE(SUBSTITUTE($I12,"：",":")),""))</f>
        <v/>
      </c>
      <c r="S12">
        <f>IF(ISNUMBER($J12),IF($J12&lt;1,$J12,(INT($J12/100)*60+MOD($J12,100))/1440),IFERROR(TIMEVALUE(SUBSTITUTE($J12,"：",":")),""))</f>
        <v/>
      </c>
      <c r="T12">
        <f>IF(OR($N12="",$O12=""),"",MAX(0,MOD($O12-$N12,1)-MAX(0,MIN($O12,13/24)-MAX($N12,0.5))))</f>
        <v/>
      </c>
      <c r="U12">
        <f>IF($A12="","",IF(ISNUMBER(MATCH($A12,祝日リスト!$A$2:$A$40,0)),"祝",IF(WEEKDAY($A12,2)=6,"土",IF(WEEKDAY($A12,2)=7,"日","平"))))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IF(ISNUMBER($D13),IF($D13&lt;1,$D13,(INT($D13/100)*60+MOD($D13,100))/1440),IFERROR(TIMEVALUE(SUBSTITUTE($D13,"：",":")),""))</f>
        <v/>
      </c>
      <c r="O13" s="35">
        <f>IF(ISNUMBER($F13),IF($F13&lt;1,$F13,(INT($F13/100)*60+MOD($F13,100))/1440),IFERROR(TIMEVALUE(SUBSTITUTE($F13,"：",":")),""))</f>
        <v/>
      </c>
      <c r="P13">
        <f>IF(ISNUMBER($G13),IF($G13&lt;1,$G13,(INT($G13/100)*60+MOD($G13,100))/1440),IFERROR(TIMEVALUE(SUBSTITUTE($G13,"：",":")),""))</f>
        <v/>
      </c>
      <c r="Q13">
        <f>IF(ISNUMBER($H13),IF($H13&lt;1,$H13,(INT($H13/100)*60+MOD($H13,100))/1440),IFERROR(TIMEVALUE(SUBSTITUTE($H13,"：",":")),""))</f>
        <v/>
      </c>
      <c r="R13">
        <f>IF(ISNUMBER($I13),IF($I13&lt;1,$I13,(INT($I13/100)*60+MOD($I13,100))/1440),IFERROR(TIMEVALUE(SUBSTITUTE($I13,"：",":")),""))</f>
        <v/>
      </c>
      <c r="S13">
        <f>IF(ISNUMBER($J13),IF($J13&lt;1,$J13,(INT($J13/100)*60+MOD($J13,100))/1440),IFERROR(TIMEVALUE(SUBSTITUTE($J13,"：",":")),""))</f>
        <v/>
      </c>
      <c r="T13">
        <f>IF(OR($N13="",$O13=""),"",MAX(0,MOD($O13-$N13,1)-MAX(0,MIN($O13,13/24)-MAX($N13,0.5))))</f>
        <v/>
      </c>
      <c r="U13">
        <f>IF($A13="","",IF(ISNUMBER(MATCH($A13,祝日リスト!$A$2:$A$40,0)),"祝",IF(WEEKDAY($A13,2)=6,"土",IF(WEEKDAY($A13,2)=7,"日","平"))))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IF(ISNUMBER($D14),IF($D14&lt;1,$D14,(INT($D14/100)*60+MOD($D14,100))/1440),IFERROR(TIMEVALUE(SUBSTITUTE($D14,"：",":")),""))</f>
        <v/>
      </c>
      <c r="O14" s="35">
        <f>IF(ISNUMBER($F14),IF($F14&lt;1,$F14,(INT($F14/100)*60+MOD($F14,100))/1440),IFERROR(TIMEVALUE(SUBSTITUTE($F14,"：",":")),""))</f>
        <v/>
      </c>
      <c r="P14">
        <f>IF(ISNUMBER($G14),IF($G14&lt;1,$G14,(INT($G14/100)*60+MOD($G14,100))/1440),IFERROR(TIMEVALUE(SUBSTITUTE($G14,"：",":")),""))</f>
        <v/>
      </c>
      <c r="Q14">
        <f>IF(ISNUMBER($H14),IF($H14&lt;1,$H14,(INT($H14/100)*60+MOD($H14,100))/1440),IFERROR(TIMEVALUE(SUBSTITUTE($H14,"：",":")),""))</f>
        <v/>
      </c>
      <c r="R14">
        <f>IF(ISNUMBER($I14),IF($I14&lt;1,$I14,(INT($I14/100)*60+MOD($I14,100))/1440),IFERROR(TIMEVALUE(SUBSTITUTE($I14,"：",":")),""))</f>
        <v/>
      </c>
      <c r="S14">
        <f>IF(ISNUMBER($J14),IF($J14&lt;1,$J14,(INT($J14/100)*60+MOD($J14,100))/1440),IFERROR(TIMEVALUE(SUBSTITUTE($J14,"：",":")),""))</f>
        <v/>
      </c>
      <c r="T14">
        <f>IF(OR($N14="",$O14=""),"",MAX(0,MOD($O14-$N14,1)-MAX(0,MIN($O14,13/24)-MAX($N14,0.5))))</f>
        <v/>
      </c>
      <c r="U14">
        <f>IF($A14="","",IF(ISNUMBER(MATCH($A14,祝日リスト!$A$2:$A$40,0)),"祝",IF(WEEKDAY($A14,2)=6,"土",IF(WEEKDAY($A14,2)=7,"日","平"))))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IF(ISNUMBER($D15),IF($D15&lt;1,$D15,(INT($D15/100)*60+MOD($D15,100))/1440),IFERROR(TIMEVALUE(SUBSTITUTE($D15,"：",":")),""))</f>
        <v/>
      </c>
      <c r="O15" s="35">
        <f>IF(ISNUMBER($F15),IF($F15&lt;1,$F15,(INT($F15/100)*60+MOD($F15,100))/1440),IFERROR(TIMEVALUE(SUBSTITUTE($F15,"：",":")),""))</f>
        <v/>
      </c>
      <c r="P15">
        <f>IF(ISNUMBER($G15),IF($G15&lt;1,$G15,(INT($G15/100)*60+MOD($G15,100))/1440),IFERROR(TIMEVALUE(SUBSTITUTE($G15,"：",":")),""))</f>
        <v/>
      </c>
      <c r="Q15">
        <f>IF(ISNUMBER($H15),IF($H15&lt;1,$H15,(INT($H15/100)*60+MOD($H15,100))/1440),IFERROR(TIMEVALUE(SUBSTITUTE($H15,"：",":")),""))</f>
        <v/>
      </c>
      <c r="R15">
        <f>IF(ISNUMBER($I15),IF($I15&lt;1,$I15,(INT($I15/100)*60+MOD($I15,100))/1440),IFERROR(TIMEVALUE(SUBSTITUTE($I15,"：",":")),""))</f>
        <v/>
      </c>
      <c r="S15">
        <f>IF(ISNUMBER($J15),IF($J15&lt;1,$J15,(INT($J15/100)*60+MOD($J15,100))/1440),IFERROR(TIMEVALUE(SUBSTITUTE($J15,"：",":")),""))</f>
        <v/>
      </c>
      <c r="T15">
        <f>IF(OR($N15="",$O15=""),"",MAX(0,MOD($O15-$N15,1)-MAX(0,MIN($O15,13/24)-MAX($N15,0.5))))</f>
        <v/>
      </c>
      <c r="U15">
        <f>IF($A15="","",IF(ISNUMBER(MATCH($A15,祝日リスト!$A$2:$A$40,0)),"祝",IF(WEEKDAY($A15,2)=6,"土",IF(WEEKDAY($A15,2)=7,"日","平"))))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IF(ISNUMBER($D16),IF($D16&lt;1,$D16,(INT($D16/100)*60+MOD($D16,100))/1440),IFERROR(TIMEVALUE(SUBSTITUTE($D16,"：",":")),""))</f>
        <v/>
      </c>
      <c r="O16" s="35">
        <f>IF(ISNUMBER($F16),IF($F16&lt;1,$F16,(INT($F16/100)*60+MOD($F16,100))/1440),IFERROR(TIMEVALUE(SUBSTITUTE($F16,"：",":")),""))</f>
        <v/>
      </c>
      <c r="P16">
        <f>IF(ISNUMBER($G16),IF($G16&lt;1,$G16,(INT($G16/100)*60+MOD($G16,100))/1440),IFERROR(TIMEVALUE(SUBSTITUTE($G16,"：",":")),""))</f>
        <v/>
      </c>
      <c r="Q16">
        <f>IF(ISNUMBER($H16),IF($H16&lt;1,$H16,(INT($H16/100)*60+MOD($H16,100))/1440),IFERROR(TIMEVALUE(SUBSTITUTE($H16,"：",":")),""))</f>
        <v/>
      </c>
      <c r="R16">
        <f>IF(ISNUMBER($I16),IF($I16&lt;1,$I16,(INT($I16/100)*60+MOD($I16,100))/1440),IFERROR(TIMEVALUE(SUBSTITUTE($I16,"：",":")),""))</f>
        <v/>
      </c>
      <c r="S16">
        <f>IF(ISNUMBER($J16),IF($J16&lt;1,$J16,(INT($J16/100)*60+MOD($J16,100))/1440),IFERROR(TIMEVALUE(SUBSTITUTE($J16,"：",":")),""))</f>
        <v/>
      </c>
      <c r="T16">
        <f>IF(OR($N16="",$O16=""),"",MAX(0,MOD($O16-$N16,1)-MAX(0,MIN($O16,13/24)-MAX($N16,0.5))))</f>
        <v/>
      </c>
      <c r="U16">
        <f>IF($A16="","",IF(ISNUMBER(MATCH($A16,祝日リスト!$A$2:$A$40,0)),"祝",IF(WEEKDAY($A16,2)=6,"土",IF(WEEKDAY($A16,2)=7,"日","平"))))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IF(ISNUMBER($D17),IF($D17&lt;1,$D17,(INT($D17/100)*60+MOD($D17,100))/1440),IFERROR(TIMEVALUE(SUBSTITUTE($D17,"：",":")),""))</f>
        <v/>
      </c>
      <c r="O17" s="35">
        <f>IF(ISNUMBER($F17),IF($F17&lt;1,$F17,(INT($F17/100)*60+MOD($F17,100))/1440),IFERROR(TIMEVALUE(SUBSTITUTE($F17,"：",":")),""))</f>
        <v/>
      </c>
      <c r="P17">
        <f>IF(ISNUMBER($G17),IF($G17&lt;1,$G17,(INT($G17/100)*60+MOD($G17,100))/1440),IFERROR(TIMEVALUE(SUBSTITUTE($G17,"：",":")),""))</f>
        <v/>
      </c>
      <c r="Q17">
        <f>IF(ISNUMBER($H17),IF($H17&lt;1,$H17,(INT($H17/100)*60+MOD($H17,100))/1440),IFERROR(TIMEVALUE(SUBSTITUTE($H17,"：",":")),""))</f>
        <v/>
      </c>
      <c r="R17">
        <f>IF(ISNUMBER($I17),IF($I17&lt;1,$I17,(INT($I17/100)*60+MOD($I17,100))/1440),IFERROR(TIMEVALUE(SUBSTITUTE($I17,"：",":")),""))</f>
        <v/>
      </c>
      <c r="S17">
        <f>IF(ISNUMBER($J17),IF($J17&lt;1,$J17,(INT($J17/100)*60+MOD($J17,100))/1440),IFERROR(TIMEVALUE(SUBSTITUTE($J17,"：",":")),""))</f>
        <v/>
      </c>
      <c r="T17">
        <f>IF(OR($N17="",$O17=""),"",MAX(0,MOD($O17-$N17,1)-MAX(0,MIN($O17,13/24)-MAX($N17,0.5))))</f>
        <v/>
      </c>
      <c r="U17">
        <f>IF($A17="","",IF(ISNUMBER(MATCH($A17,祝日リスト!$A$2:$A$40,0)),"祝",IF(WEEKDAY($A17,2)=6,"土",IF(WEEKDAY($A17,2)=7,"日","平"))))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IF(ISNUMBER($D18),IF($D18&lt;1,$D18,(INT($D18/100)*60+MOD($D18,100))/1440),IFERROR(TIMEVALUE(SUBSTITUTE($D18,"：",":")),""))</f>
        <v/>
      </c>
      <c r="O18" s="35">
        <f>IF(ISNUMBER($F18),IF($F18&lt;1,$F18,(INT($F18/100)*60+MOD($F18,100))/1440),IFERROR(TIMEVALUE(SUBSTITUTE($F18,"：",":")),""))</f>
        <v/>
      </c>
      <c r="P18">
        <f>IF(ISNUMBER($G18),IF($G18&lt;1,$G18,(INT($G18/100)*60+MOD($G18,100))/1440),IFERROR(TIMEVALUE(SUBSTITUTE($G18,"：",":")),""))</f>
        <v/>
      </c>
      <c r="Q18">
        <f>IF(ISNUMBER($H18),IF($H18&lt;1,$H18,(INT($H18/100)*60+MOD($H18,100))/1440),IFERROR(TIMEVALUE(SUBSTITUTE($H18,"：",":")),""))</f>
        <v/>
      </c>
      <c r="R18">
        <f>IF(ISNUMBER($I18),IF($I18&lt;1,$I18,(INT($I18/100)*60+MOD($I18,100))/1440),IFERROR(TIMEVALUE(SUBSTITUTE($I18,"：",":")),""))</f>
        <v/>
      </c>
      <c r="S18">
        <f>IF(ISNUMBER($J18),IF($J18&lt;1,$J18,(INT($J18/100)*60+MOD($J18,100))/1440),IFERROR(TIMEVALUE(SUBSTITUTE($J18,"：",":")),""))</f>
        <v/>
      </c>
      <c r="T18">
        <f>IF(OR($N18="",$O18=""),"",MAX(0,MOD($O18-$N18,1)-MAX(0,MIN($O18,13/24)-MAX($N18,0.5))))</f>
        <v/>
      </c>
      <c r="U18">
        <f>IF($A18="","",IF(ISNUMBER(MATCH($A18,祝日リスト!$A$2:$A$40,0)),"祝",IF(WEEKDAY($A18,2)=6,"土",IF(WEEKDAY($A18,2)=7,"日","平"))))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IF(ISNUMBER($D19),IF($D19&lt;1,$D19,(INT($D19/100)*60+MOD($D19,100))/1440),IFERROR(TIMEVALUE(SUBSTITUTE($D19,"：",":")),""))</f>
        <v/>
      </c>
      <c r="O19" s="35">
        <f>IF(ISNUMBER($F19),IF($F19&lt;1,$F19,(INT($F19/100)*60+MOD($F19,100))/1440),IFERROR(TIMEVALUE(SUBSTITUTE($F19,"：",":")),""))</f>
        <v/>
      </c>
      <c r="P19">
        <f>IF(ISNUMBER($G19),IF($G19&lt;1,$G19,(INT($G19/100)*60+MOD($G19,100))/1440),IFERROR(TIMEVALUE(SUBSTITUTE($G19,"：",":")),""))</f>
        <v/>
      </c>
      <c r="Q19">
        <f>IF(ISNUMBER($H19),IF($H19&lt;1,$H19,(INT($H19/100)*60+MOD($H19,100))/1440),IFERROR(TIMEVALUE(SUBSTITUTE($H19,"：",":")),""))</f>
        <v/>
      </c>
      <c r="R19">
        <f>IF(ISNUMBER($I19),IF($I19&lt;1,$I19,(INT($I19/100)*60+MOD($I19,100))/1440),IFERROR(TIMEVALUE(SUBSTITUTE($I19,"：",":")),""))</f>
        <v/>
      </c>
      <c r="S19">
        <f>IF(ISNUMBER($J19),IF($J19&lt;1,$J19,(INT($J19/100)*60+MOD($J19,100))/1440),IFERROR(TIMEVALUE(SUBSTITUTE($J19,"：",":")),""))</f>
        <v/>
      </c>
      <c r="T19">
        <f>IF(OR($N19="",$O19=""),"",MAX(0,MOD($O19-$N19,1)-MAX(0,MIN($O19,13/24)-MAX($N19,0.5))))</f>
        <v/>
      </c>
      <c r="U19">
        <f>IF($A19="","",IF(ISNUMBER(MATCH($A19,祝日リスト!$A$2:$A$40,0)),"祝",IF(WEEKDAY($A19,2)=6,"土",IF(WEEKDAY($A19,2)=7,"日","平"))))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IF(ISNUMBER($D20),IF($D20&lt;1,$D20,(INT($D20/100)*60+MOD($D20,100))/1440),IFERROR(TIMEVALUE(SUBSTITUTE($D20,"：",":")),""))</f>
        <v/>
      </c>
      <c r="O20" s="35">
        <f>IF(ISNUMBER($F20),IF($F20&lt;1,$F20,(INT($F20/100)*60+MOD($F20,100))/1440),IFERROR(TIMEVALUE(SUBSTITUTE($F20,"：",":")),""))</f>
        <v/>
      </c>
      <c r="P20">
        <f>IF(ISNUMBER($G20),IF($G20&lt;1,$G20,(INT($G20/100)*60+MOD($G20,100))/1440),IFERROR(TIMEVALUE(SUBSTITUTE($G20,"：",":")),""))</f>
        <v/>
      </c>
      <c r="Q20">
        <f>IF(ISNUMBER($H20),IF($H20&lt;1,$H20,(INT($H20/100)*60+MOD($H20,100))/1440),IFERROR(TIMEVALUE(SUBSTITUTE($H20,"：",":")),""))</f>
        <v/>
      </c>
      <c r="R20">
        <f>IF(ISNUMBER($I20),IF($I20&lt;1,$I20,(INT($I20/100)*60+MOD($I20,100))/1440),IFERROR(TIMEVALUE(SUBSTITUTE($I20,"：",":")),""))</f>
        <v/>
      </c>
      <c r="S20">
        <f>IF(ISNUMBER($J20),IF($J20&lt;1,$J20,(INT($J20/100)*60+MOD($J20,100))/1440),IFERROR(TIMEVALUE(SUBSTITUTE($J20,"：",":")),""))</f>
        <v/>
      </c>
      <c r="T20">
        <f>IF(OR($N20="",$O20=""),"",MAX(0,MOD($O20-$N20,1)-MAX(0,MIN($O20,13/24)-MAX($N20,0.5))))</f>
        <v/>
      </c>
      <c r="U20">
        <f>IF($A20="","",IF(ISNUMBER(MATCH($A20,祝日リスト!$A$2:$A$40,0)),"祝",IF(WEEKDAY($A20,2)=6,"土",IF(WEEKDAY($A20,2)=7,"日","平"))))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IF(ISNUMBER($D21),IF($D21&lt;1,$D21,(INT($D21/100)*60+MOD($D21,100))/1440),IFERROR(TIMEVALUE(SUBSTITUTE($D21,"：",":")),""))</f>
        <v/>
      </c>
      <c r="O21" s="35">
        <f>IF(ISNUMBER($F21),IF($F21&lt;1,$F21,(INT($F21/100)*60+MOD($F21,100))/1440),IFERROR(TIMEVALUE(SUBSTITUTE($F21,"：",":")),""))</f>
        <v/>
      </c>
      <c r="P21">
        <f>IF(ISNUMBER($G21),IF($G21&lt;1,$G21,(INT($G21/100)*60+MOD($G21,100))/1440),IFERROR(TIMEVALUE(SUBSTITUTE($G21,"：",":")),""))</f>
        <v/>
      </c>
      <c r="Q21">
        <f>IF(ISNUMBER($H21),IF($H21&lt;1,$H21,(INT($H21/100)*60+MOD($H21,100))/1440),IFERROR(TIMEVALUE(SUBSTITUTE($H21,"：",":")),""))</f>
        <v/>
      </c>
      <c r="R21">
        <f>IF(ISNUMBER($I21),IF($I21&lt;1,$I21,(INT($I21/100)*60+MOD($I21,100))/1440),IFERROR(TIMEVALUE(SUBSTITUTE($I21,"：",":")),""))</f>
        <v/>
      </c>
      <c r="S21">
        <f>IF(ISNUMBER($J21),IF($J21&lt;1,$J21,(INT($J21/100)*60+MOD($J21,100))/1440),IFERROR(TIMEVALUE(SUBSTITUTE($J21,"：",":")),""))</f>
        <v/>
      </c>
      <c r="T21">
        <f>IF(OR($N21="",$O21=""),"",MAX(0,MOD($O21-$N21,1)-MAX(0,MIN($O21,13/24)-MAX($N21,0.5))))</f>
        <v/>
      </c>
      <c r="U21">
        <f>IF($A21="","",IF(ISNUMBER(MATCH($A21,祝日リスト!$A$2:$A$40,0)),"祝",IF(WEEKDAY($A21,2)=6,"土",IF(WEEKDAY($A21,2)=7,"日","平"))))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IF(ISNUMBER($D22),IF($D22&lt;1,$D22,(INT($D22/100)*60+MOD($D22,100))/1440),IFERROR(TIMEVALUE(SUBSTITUTE($D22,"：",":")),""))</f>
        <v/>
      </c>
      <c r="O22" s="35">
        <f>IF(ISNUMBER($F22),IF($F22&lt;1,$F22,(INT($F22/100)*60+MOD($F22,100))/1440),IFERROR(TIMEVALUE(SUBSTITUTE($F22,"：",":")),""))</f>
        <v/>
      </c>
      <c r="P22" s="4">
        <f>IF(ISNUMBER($G22),IF($G22&lt;1,$G22,(INT($G22/100)*60+MOD($G22,100))/1440),IFERROR(TIMEVALUE(SUBSTITUTE($G22,"：",":")),""))</f>
        <v/>
      </c>
      <c r="Q22" s="4">
        <f>IF(ISNUMBER($H22),IF($H22&lt;1,$H22,(INT($H22/100)*60+MOD($H22,100))/1440),IFERROR(TIMEVALUE(SUBSTITUTE($H22,"：",":")),""))</f>
        <v/>
      </c>
      <c r="R22" s="4">
        <f>IF(ISNUMBER($I22),IF($I22&lt;1,$I22,(INT($I22/100)*60+MOD($I22,100))/1440),IFERROR(TIMEVALUE(SUBSTITUTE($I22,"：",":")),""))</f>
        <v/>
      </c>
      <c r="S22" s="4">
        <f>IF(ISNUMBER($J22),IF($J22&lt;1,$J22,(INT($J22/100)*60+MOD($J22,100))/1440),IFERROR(TIMEVALUE(SUBSTITUTE($J22,"：",":")),""))</f>
        <v/>
      </c>
      <c r="T22" s="4">
        <f>IF(OR($N22="",$O22=""),"",MAX(0,MOD($O22-$N22,1)-MAX(0,MIN($O22,13/24)-MAX($N22,0.5))))</f>
        <v/>
      </c>
      <c r="U22" s="4">
        <f>IF($A22="","",IF(ISNUMBER(MATCH($A22,祝日リスト!$A$2:$A$40,0)),"祝",IF(WEEKDAY($A22,2)=6,"土",IF(WEEKDAY($A22,2)=7,"日","平"))))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IF(ISNUMBER($D23),IF($D23&lt;1,$D23,(INT($D23/100)*60+MOD($D23,100))/1440),IFERROR(TIMEVALUE(SUBSTITUTE($D23,"：",":")),""))</f>
        <v/>
      </c>
      <c r="O23" s="35">
        <f>IF(ISNUMBER($F23),IF($F23&lt;1,$F23,(INT($F23/100)*60+MOD($F23,100))/1440),IFERROR(TIMEVALUE(SUBSTITUTE($F23,"：",":")),""))</f>
        <v/>
      </c>
      <c r="P23">
        <f>IF(ISNUMBER($G23),IF($G23&lt;1,$G23,(INT($G23/100)*60+MOD($G23,100))/1440),IFERROR(TIMEVALUE(SUBSTITUTE($G23,"：",":")),""))</f>
        <v/>
      </c>
      <c r="Q23">
        <f>IF(ISNUMBER($H23),IF($H23&lt;1,$H23,(INT($H23/100)*60+MOD($H23,100))/1440),IFERROR(TIMEVALUE(SUBSTITUTE($H23,"：",":")),""))</f>
        <v/>
      </c>
      <c r="R23">
        <f>IF(ISNUMBER($I23),IF($I23&lt;1,$I23,(INT($I23/100)*60+MOD($I23,100))/1440),IFERROR(TIMEVALUE(SUBSTITUTE($I23,"：",":")),""))</f>
        <v/>
      </c>
      <c r="S23">
        <f>IF(ISNUMBER($J23),IF($J23&lt;1,$J23,(INT($J23/100)*60+MOD($J23,100))/1440),IFERROR(TIMEVALUE(SUBSTITUTE($J23,"：",":")),""))</f>
        <v/>
      </c>
      <c r="T23">
        <f>IF(OR($N23="",$O23=""),"",MAX(0,MOD($O23-$N23,1)-MAX(0,MIN($O23,13/24)-MAX($N23,0.5))))</f>
        <v/>
      </c>
      <c r="U23">
        <f>IF($A23="","",IF(ISNUMBER(MATCH($A23,祝日リスト!$A$2:$A$40,0)),"祝",IF(WEEKDAY($A23,2)=6,"土",IF(WEEKDAY($A23,2)=7,"日","平"))))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IF(ISNUMBER($D24),IF($D24&lt;1,$D24,(INT($D24/100)*60+MOD($D24,100))/1440),IFERROR(TIMEVALUE(SUBSTITUTE($D24,"：",":")),""))</f>
        <v/>
      </c>
      <c r="O24" s="35">
        <f>IF(ISNUMBER($F24),IF($F24&lt;1,$F24,(INT($F24/100)*60+MOD($F24,100))/1440),IFERROR(TIMEVALUE(SUBSTITUTE($F24,"：",":")),""))</f>
        <v/>
      </c>
      <c r="P24">
        <f>IF(ISNUMBER($G24),IF($G24&lt;1,$G24,(INT($G24/100)*60+MOD($G24,100))/1440),IFERROR(TIMEVALUE(SUBSTITUTE($G24,"：",":")),""))</f>
        <v/>
      </c>
      <c r="Q24">
        <f>IF(ISNUMBER($H24),IF($H24&lt;1,$H24,(INT($H24/100)*60+MOD($H24,100))/1440),IFERROR(TIMEVALUE(SUBSTITUTE($H24,"：",":")),""))</f>
        <v/>
      </c>
      <c r="R24">
        <f>IF(ISNUMBER($I24),IF($I24&lt;1,$I24,(INT($I24/100)*60+MOD($I24,100))/1440),IFERROR(TIMEVALUE(SUBSTITUTE($I24,"：",":")),""))</f>
        <v/>
      </c>
      <c r="S24">
        <f>IF(ISNUMBER($J24),IF($J24&lt;1,$J24,(INT($J24/100)*60+MOD($J24,100))/1440),IFERROR(TIMEVALUE(SUBSTITUTE($J24,"：",":")),""))</f>
        <v/>
      </c>
      <c r="T24">
        <f>IF(OR($N24="",$O24=""),"",MAX(0,MOD($O24-$N24,1)-MAX(0,MIN($O24,13/24)-MAX($N24,0.5))))</f>
        <v/>
      </c>
      <c r="U24">
        <f>IF($A24="","",IF(ISNUMBER(MATCH($A24,祝日リスト!$A$2:$A$40,0)),"祝",IF(WEEKDAY($A24,2)=6,"土",IF(WEEKDAY($A24,2)=7,"日","平"))))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IF(ISNUMBER($D25),IF($D25&lt;1,$D25,(INT($D25/100)*60+MOD($D25,100))/1440),IFERROR(TIMEVALUE(SUBSTITUTE($D25,"：",":")),""))</f>
        <v/>
      </c>
      <c r="O25" s="35">
        <f>IF(ISNUMBER($F25),IF($F25&lt;1,$F25,(INT($F25/100)*60+MOD($F25,100))/1440),IFERROR(TIMEVALUE(SUBSTITUTE($F25,"：",":")),""))</f>
        <v/>
      </c>
      <c r="P25">
        <f>IF(ISNUMBER($G25),IF($G25&lt;1,$G25,(INT($G25/100)*60+MOD($G25,100))/1440),IFERROR(TIMEVALUE(SUBSTITUTE($G25,"：",":")),""))</f>
        <v/>
      </c>
      <c r="Q25">
        <f>IF(ISNUMBER($H25),IF($H25&lt;1,$H25,(INT($H25/100)*60+MOD($H25,100))/1440),IFERROR(TIMEVALUE(SUBSTITUTE($H25,"：",":")),""))</f>
        <v/>
      </c>
      <c r="R25">
        <f>IF(ISNUMBER($I25),IF($I25&lt;1,$I25,(INT($I25/100)*60+MOD($I25,100))/1440),IFERROR(TIMEVALUE(SUBSTITUTE($I25,"：",":")),""))</f>
        <v/>
      </c>
      <c r="S25">
        <f>IF(ISNUMBER($J25),IF($J25&lt;1,$J25,(INT($J25/100)*60+MOD($J25,100))/1440),IFERROR(TIMEVALUE(SUBSTITUTE($J25,"：",":")),""))</f>
        <v/>
      </c>
      <c r="T25">
        <f>IF(OR($N25="",$O25=""),"",MAX(0,MOD($O25-$N25,1)-MAX(0,MIN($O25,13/24)-MAX($N25,0.5))))</f>
        <v/>
      </c>
      <c r="U25">
        <f>IF($A25="","",IF(ISNUMBER(MATCH($A25,祝日リスト!$A$2:$A$40,0)),"祝",IF(WEEKDAY($A25,2)=6,"土",IF(WEEKDAY($A25,2)=7,"日","平"))))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IF(ISNUMBER($D26),IF($D26&lt;1,$D26,(INT($D26/100)*60+MOD($D26,100))/1440),IFERROR(TIMEVALUE(SUBSTITUTE($D26,"：",":")),""))</f>
        <v/>
      </c>
      <c r="O26" s="35">
        <f>IF(ISNUMBER($F26),IF($F26&lt;1,$F26,(INT($F26/100)*60+MOD($F26,100))/1440),IFERROR(TIMEVALUE(SUBSTITUTE($F26,"：",":")),""))</f>
        <v/>
      </c>
      <c r="P26" s="4">
        <f>IF(ISNUMBER($G26),IF($G26&lt;1,$G26,(INT($G26/100)*60+MOD($G26,100))/1440),IFERROR(TIMEVALUE(SUBSTITUTE($G26,"：",":")),""))</f>
        <v/>
      </c>
      <c r="Q26" s="4">
        <f>IF(ISNUMBER($H26),IF($H26&lt;1,$H26,(INT($H26/100)*60+MOD($H26,100))/1440),IFERROR(TIMEVALUE(SUBSTITUTE($H26,"：",":")),""))</f>
        <v/>
      </c>
      <c r="R26" s="4">
        <f>IF(ISNUMBER($I26),IF($I26&lt;1,$I26,(INT($I26/100)*60+MOD($I26,100))/1440),IFERROR(TIMEVALUE(SUBSTITUTE($I26,"：",":")),""))</f>
        <v/>
      </c>
      <c r="S26" s="4">
        <f>IF(ISNUMBER($J26),IF($J26&lt;1,$J26,(INT($J26/100)*60+MOD($J26,100))/1440),IFERROR(TIMEVALUE(SUBSTITUTE($J26,"：",":")),""))</f>
        <v/>
      </c>
      <c r="T26" s="4">
        <f>IF(OR($N26="",$O26=""),"",MAX(0,MOD($O26-$N26,1)-MAX(0,MIN($O26,13/24)-MAX($N26,0.5))))</f>
        <v/>
      </c>
      <c r="U26" s="4">
        <f>IF($A26="","",IF(ISNUMBER(MATCH($A26,祝日リスト!$A$2:$A$40,0)),"祝",IF(WEEKDAY($A26,2)=6,"土",IF(WEEKDAY($A26,2)=7,"日","平"))))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IF(ISNUMBER($D27),IF($D27&lt;1,$D27,(INT($D27/100)*60+MOD($D27,100))/1440),IFERROR(TIMEVALUE(SUBSTITUTE($D27,"：",":")),""))</f>
        <v/>
      </c>
      <c r="O27" s="35">
        <f>IF(ISNUMBER($F27),IF($F27&lt;1,$F27,(INT($F27/100)*60+MOD($F27,100))/1440),IFERROR(TIMEVALUE(SUBSTITUTE($F27,"：",":")),""))</f>
        <v/>
      </c>
      <c r="P27">
        <f>IF(ISNUMBER($G27),IF($G27&lt;1,$G27,(INT($G27/100)*60+MOD($G27,100))/1440),IFERROR(TIMEVALUE(SUBSTITUTE($G27,"：",":")),""))</f>
        <v/>
      </c>
      <c r="Q27">
        <f>IF(ISNUMBER($H27),IF($H27&lt;1,$H27,(INT($H27/100)*60+MOD($H27,100))/1440),IFERROR(TIMEVALUE(SUBSTITUTE($H27,"：",":")),""))</f>
        <v/>
      </c>
      <c r="R27">
        <f>IF(ISNUMBER($I27),IF($I27&lt;1,$I27,(INT($I27/100)*60+MOD($I27,100))/1440),IFERROR(TIMEVALUE(SUBSTITUTE($I27,"：",":")),""))</f>
        <v/>
      </c>
      <c r="S27">
        <f>IF(ISNUMBER($J27),IF($J27&lt;1,$J27,(INT($J27/100)*60+MOD($J27,100))/1440),IFERROR(TIMEVALUE(SUBSTITUTE($J27,"：",":")),""))</f>
        <v/>
      </c>
      <c r="T27">
        <f>IF(OR($N27="",$O27=""),"",MAX(0,MOD($O27-$N27,1)-MAX(0,MIN($O27,13/24)-MAX($N27,0.5))))</f>
        <v/>
      </c>
      <c r="U27">
        <f>IF($A27="","",IF(ISNUMBER(MATCH($A27,祝日リスト!$A$2:$A$40,0)),"祝",IF(WEEKDAY($A27,2)=6,"土",IF(WEEKDAY($A27,2)=7,"日","平"))))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IF(ISNUMBER($D28),IF($D28&lt;1,$D28,(INT($D28/100)*60+MOD($D28,100))/1440),IFERROR(TIMEVALUE(SUBSTITUTE($D28,"：",":")),""))</f>
        <v/>
      </c>
      <c r="O28" s="35">
        <f>IF(ISNUMBER($F28),IF($F28&lt;1,$F28,(INT($F28/100)*60+MOD($F28,100))/1440),IFERROR(TIMEVALUE(SUBSTITUTE($F28,"：",":")),""))</f>
        <v/>
      </c>
      <c r="P28">
        <f>IF(ISNUMBER($G28),IF($G28&lt;1,$G28,(INT($G28/100)*60+MOD($G28,100))/1440),IFERROR(TIMEVALUE(SUBSTITUTE($G28,"：",":")),""))</f>
        <v/>
      </c>
      <c r="Q28">
        <f>IF(ISNUMBER($H28),IF($H28&lt;1,$H28,(INT($H28/100)*60+MOD($H28,100))/1440),IFERROR(TIMEVALUE(SUBSTITUTE($H28,"：",":")),""))</f>
        <v/>
      </c>
      <c r="R28">
        <f>IF(ISNUMBER($I28),IF($I28&lt;1,$I28,(INT($I28/100)*60+MOD($I28,100))/1440),IFERROR(TIMEVALUE(SUBSTITUTE($I28,"：",":")),""))</f>
        <v/>
      </c>
      <c r="S28">
        <f>IF(ISNUMBER($J28),IF($J28&lt;1,$J28,(INT($J28/100)*60+MOD($J28,100))/1440),IFERROR(TIMEVALUE(SUBSTITUTE($J28,"：",":")),""))</f>
        <v/>
      </c>
      <c r="T28">
        <f>IF(OR($N28="",$O28=""),"",MAX(0,MOD($O28-$N28,1)-MAX(0,MIN($O28,13/24)-MAX($N28,0.5))))</f>
        <v/>
      </c>
      <c r="U28">
        <f>IF($A28="","",IF(ISNUMBER(MATCH($A28,祝日リスト!$A$2:$A$40,0)),"祝",IF(WEEKDAY($A28,2)=6,"土",IF(WEEKDAY($A28,2)=7,"日","平"))))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IF(ISNUMBER($D29),IF($D29&lt;1,$D29,(INT($D29/100)*60+MOD($D29,100))/1440),IFERROR(TIMEVALUE(SUBSTITUTE($D29,"：",":")),""))</f>
        <v/>
      </c>
      <c r="O29" s="35">
        <f>IF(ISNUMBER($F29),IF($F29&lt;1,$F29,(INT($F29/100)*60+MOD($F29,100))/1440),IFERROR(TIMEVALUE(SUBSTITUTE($F29,"：",":")),""))</f>
        <v/>
      </c>
      <c r="P29">
        <f>IF(ISNUMBER($G29),IF($G29&lt;1,$G29,(INT($G29/100)*60+MOD($G29,100))/1440),IFERROR(TIMEVALUE(SUBSTITUTE($G29,"：",":")),""))</f>
        <v/>
      </c>
      <c r="Q29">
        <f>IF(ISNUMBER($H29),IF($H29&lt;1,$H29,(INT($H29/100)*60+MOD($H29,100))/1440),IFERROR(TIMEVALUE(SUBSTITUTE($H29,"：",":")),""))</f>
        <v/>
      </c>
      <c r="R29">
        <f>IF(ISNUMBER($I29),IF($I29&lt;1,$I29,(INT($I29/100)*60+MOD($I29,100))/1440),IFERROR(TIMEVALUE(SUBSTITUTE($I29,"：",":")),""))</f>
        <v/>
      </c>
      <c r="S29">
        <f>IF(ISNUMBER($J29),IF($J29&lt;1,$J29,(INT($J29/100)*60+MOD($J29,100))/1440),IFERROR(TIMEVALUE(SUBSTITUTE($J29,"：",":")),""))</f>
        <v/>
      </c>
      <c r="T29">
        <f>IF(OR($N29="",$O29=""),"",MAX(0,MOD($O29-$N29,1)-MAX(0,MIN($O29,13/24)-MAX($N29,0.5))))</f>
        <v/>
      </c>
      <c r="U29">
        <f>IF($A29="","",IF(ISNUMBER(MATCH($A29,祝日リスト!$A$2:$A$40,0)),"祝",IF(WEEKDAY($A29,2)=6,"土",IF(WEEKDAY($A29,2)=7,"日","平"))))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IF(ISNUMBER($D30),IF($D30&lt;1,$D30,(INT($D30/100)*60+MOD($D30,100))/1440),IFERROR(TIMEVALUE(SUBSTITUTE($D30,"：",":")),""))</f>
        <v/>
      </c>
      <c r="O30" s="35">
        <f>IF(ISNUMBER($F30),IF($F30&lt;1,$F30,(INT($F30/100)*60+MOD($F30,100))/1440),IFERROR(TIMEVALUE(SUBSTITUTE($F30,"：",":")),""))</f>
        <v/>
      </c>
      <c r="P30">
        <f>IF(ISNUMBER($G30),IF($G30&lt;1,$G30,(INT($G30/100)*60+MOD($G30,100))/1440),IFERROR(TIMEVALUE(SUBSTITUTE($G30,"：",":")),""))</f>
        <v/>
      </c>
      <c r="Q30">
        <f>IF(ISNUMBER($H30),IF($H30&lt;1,$H30,(INT($H30/100)*60+MOD($H30,100))/1440),IFERROR(TIMEVALUE(SUBSTITUTE($H30,"：",":")),""))</f>
        <v/>
      </c>
      <c r="R30">
        <f>IF(ISNUMBER($I30),IF($I30&lt;1,$I30,(INT($I30/100)*60+MOD($I30,100))/1440),IFERROR(TIMEVALUE(SUBSTITUTE($I30,"：",":")),""))</f>
        <v/>
      </c>
      <c r="S30">
        <f>IF(ISNUMBER($J30),IF($J30&lt;1,$J30,(INT($J30/100)*60+MOD($J30,100))/1440),IFERROR(TIMEVALUE(SUBSTITUTE($J30,"：",":")),""))</f>
        <v/>
      </c>
      <c r="T30">
        <f>IF(OR($N30="",$O30=""),"",MAX(0,MOD($O30-$N30,1)-MAX(0,MIN($O30,13/24)-MAX($N30,0.5))))</f>
        <v/>
      </c>
      <c r="U30">
        <f>IF($A30="","",IF(ISNUMBER(MATCH($A30,祝日リスト!$A$2:$A$40,0)),"祝",IF(WEEKDAY($A30,2)=6,"土",IF(WEEKDAY($A30,2)=7,"日","平"))))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IF(ISNUMBER($D31),IF($D31&lt;1,$D31,(INT($D31/100)*60+MOD($D31,100))/1440),IFERROR(TIMEVALUE(SUBSTITUTE($D31,"：",":")),""))</f>
        <v/>
      </c>
      <c r="O31" s="35">
        <f>IF(ISNUMBER($F31),IF($F31&lt;1,$F31,(INT($F31/100)*60+MOD($F31,100))/1440),IFERROR(TIMEVALUE(SUBSTITUTE($F31,"：",":")),""))</f>
        <v/>
      </c>
      <c r="P31">
        <f>IF(ISNUMBER($G31),IF($G31&lt;1,$G31,(INT($G31/100)*60+MOD($G31,100))/1440),IFERROR(TIMEVALUE(SUBSTITUTE($G31,"：",":")),""))</f>
        <v/>
      </c>
      <c r="Q31">
        <f>IF(ISNUMBER($H31),IF($H31&lt;1,$H31,(INT($H31/100)*60+MOD($H31,100))/1440),IFERROR(TIMEVALUE(SUBSTITUTE($H31,"：",":")),""))</f>
        <v/>
      </c>
      <c r="R31">
        <f>IF(ISNUMBER($I31),IF($I31&lt;1,$I31,(INT($I31/100)*60+MOD($I31,100))/1440),IFERROR(TIMEVALUE(SUBSTITUTE($I31,"：",":")),""))</f>
        <v/>
      </c>
      <c r="S31">
        <f>IF(ISNUMBER($J31),IF($J31&lt;1,$J31,(INT($J31/100)*60+MOD($J31,100))/1440),IFERROR(TIMEVALUE(SUBSTITUTE($J31,"：",":")),""))</f>
        <v/>
      </c>
      <c r="T31">
        <f>IF(OR($N31="",$O31=""),"",MAX(0,MOD($O31-$N31,1)-MAX(0,MIN($O31,13/24)-MAX($N31,0.5))))</f>
        <v/>
      </c>
      <c r="U31">
        <f>IF($A31="","",IF(ISNUMBER(MATCH($A31,祝日リスト!$A$2:$A$40,0)),"祝",IF(WEEKDAY($A31,2)=6,"土",IF(WEEKDAY($A31,2)=7,"日","平"))))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IF(ISNUMBER($D32),IF($D32&lt;1,$D32,(INT($D32/100)*60+MOD($D32,100))/1440),IFERROR(TIMEVALUE(SUBSTITUTE($D32,"：",":")),""))</f>
        <v/>
      </c>
      <c r="O32" s="35">
        <f>IF(ISNUMBER($F32),IF($F32&lt;1,$F32,(INT($F32/100)*60+MOD($F32,100))/1440),IFERROR(TIMEVALUE(SUBSTITUTE($F32,"：",":")),""))</f>
        <v/>
      </c>
      <c r="P32">
        <f>IF(ISNUMBER($G32),IF($G32&lt;1,$G32,(INT($G32/100)*60+MOD($G32,100))/1440),IFERROR(TIMEVALUE(SUBSTITUTE($G32,"：",":")),""))</f>
        <v/>
      </c>
      <c r="Q32">
        <f>IF(ISNUMBER($H32),IF($H32&lt;1,$H32,(INT($H32/100)*60+MOD($H32,100))/1440),IFERROR(TIMEVALUE(SUBSTITUTE($H32,"：",":")),""))</f>
        <v/>
      </c>
      <c r="R32">
        <f>IF(ISNUMBER($I32),IF($I32&lt;1,$I32,(INT($I32/100)*60+MOD($I32,100))/1440),IFERROR(TIMEVALUE(SUBSTITUTE($I32,"：",":")),""))</f>
        <v/>
      </c>
      <c r="S32">
        <f>IF(ISNUMBER($J32),IF($J32&lt;1,$J32,(INT($J32/100)*60+MOD($J32,100))/1440),IFERROR(TIMEVALUE(SUBSTITUTE($J32,"：",":")),""))</f>
        <v/>
      </c>
      <c r="T32">
        <f>IF(OR($N32="",$O32=""),"",MAX(0,MOD($O32-$N32,1)-MAX(0,MIN($O32,13/24)-MAX($N32,0.5))))</f>
        <v/>
      </c>
      <c r="U32">
        <f>IF($A32="","",IF(ISNUMBER(MATCH($A32,祝日リスト!$A$2:$A$40,0)),"祝",IF(WEEKDAY($A32,2)=6,"土",IF(WEEKDAY($A32,2)=7,"日","平"))))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IF(ISNUMBER($D33),IF($D33&lt;1,$D33,(INT($D33/100)*60+MOD($D33,100))/1440),IFERROR(TIMEVALUE(SUBSTITUTE($D33,"：",":")),""))</f>
        <v/>
      </c>
      <c r="O33" s="35">
        <f>IF(ISNUMBER($F33),IF($F33&lt;1,$F33,(INT($F33/100)*60+MOD($F33,100))/1440),IFERROR(TIMEVALUE(SUBSTITUTE($F33,"：",":")),""))</f>
        <v/>
      </c>
      <c r="P33">
        <f>IF(ISNUMBER($G33),IF($G33&lt;1,$G33,(INT($G33/100)*60+MOD($G33,100))/1440),IFERROR(TIMEVALUE(SUBSTITUTE($G33,"：",":")),""))</f>
        <v/>
      </c>
      <c r="Q33">
        <f>IF(ISNUMBER($H33),IF($H33&lt;1,$H33,(INT($H33/100)*60+MOD($H33,100))/1440),IFERROR(TIMEVALUE(SUBSTITUTE($H33,"：",":")),""))</f>
        <v/>
      </c>
      <c r="R33">
        <f>IF(ISNUMBER($I33),IF($I33&lt;1,$I33,(INT($I33/100)*60+MOD($I33,100))/1440),IFERROR(TIMEVALUE(SUBSTITUTE($I33,"：",":")),""))</f>
        <v/>
      </c>
      <c r="S33">
        <f>IF(ISNUMBER($J33),IF($J33&lt;1,$J33,(INT($J33/100)*60+MOD($J33,100))/1440),IFERROR(TIMEVALUE(SUBSTITUTE($J33,"：",":")),""))</f>
        <v/>
      </c>
      <c r="T33">
        <f>IF(OR($N33="",$O33=""),"",MAX(0,MOD($O33-$N33,1)-MAX(0,MIN($O33,13/24)-MAX($N33,0.5))))</f>
        <v/>
      </c>
      <c r="U33">
        <f>IF($A33="","",IF(ISNUMBER(MATCH($A33,祝日リスト!$A$2:$A$40,0)),"祝",IF(WEEKDAY($A33,2)=6,"土",IF(WEEKDAY($A33,2)=7,"日","平"))))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IF(ISNUMBER($D34),IF($D34&lt;1,$D34,(INT($D34/100)*60+MOD($D34,100))/1440),IFERROR(TIMEVALUE(SUBSTITUTE($D34,"：",":")),""))</f>
        <v/>
      </c>
      <c r="O34" s="35">
        <f>IF(ISNUMBER($F34),IF($F34&lt;1,$F34,(INT($F34/100)*60+MOD($F34,100))/1440),IFERROR(TIMEVALUE(SUBSTITUTE($F34,"：",":")),""))</f>
        <v/>
      </c>
      <c r="P34">
        <f>IF(ISNUMBER($G34),IF($G34&lt;1,$G34,(INT($G34/100)*60+MOD($G34,100))/1440),IFERROR(TIMEVALUE(SUBSTITUTE($G34,"：",":")),""))</f>
        <v/>
      </c>
      <c r="Q34">
        <f>IF(ISNUMBER($H34),IF($H34&lt;1,$H34,(INT($H34/100)*60+MOD($H34,100))/1440),IFERROR(TIMEVALUE(SUBSTITUTE($H34,"：",":")),""))</f>
        <v/>
      </c>
      <c r="R34">
        <f>IF(ISNUMBER($I34),IF($I34&lt;1,$I34,(INT($I34/100)*60+MOD($I34,100))/1440),IFERROR(TIMEVALUE(SUBSTITUTE($I34,"：",":")),""))</f>
        <v/>
      </c>
      <c r="S34">
        <f>IF(ISNUMBER($J34),IF($J34&lt;1,$J34,(INT($J34/100)*60+MOD($J34,100))/1440),IFERROR(TIMEVALUE(SUBSTITUTE($J34,"：",":")),""))</f>
        <v/>
      </c>
      <c r="T34">
        <f>IF(OR($N34="",$O34=""),"",MAX(0,MOD($O34-$N34,1)-MAX(0,MIN($O34,13/24)-MAX($N34,0.5))))</f>
        <v/>
      </c>
      <c r="U34">
        <f>IF($A34="","",IF(ISNUMBER(MATCH($A34,祝日リスト!$A$2:$A$40,0)),"祝",IF(WEEKDAY($A34,2)=6,"土",IF(WEEKDAY($A34,2)=7,"日","平"))))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IF(ISNUMBER($D35),IF($D35&lt;1,$D35,(INT($D35/100)*60+MOD($D35,100))/1440),IFERROR(TIMEVALUE(SUBSTITUTE($D35,"：",":")),""))</f>
        <v/>
      </c>
      <c r="O35" s="35">
        <f>IF(ISNUMBER($F35),IF($F35&lt;1,$F35,(INT($F35/100)*60+MOD($F35,100))/1440),IFERROR(TIMEVALUE(SUBSTITUTE($F35,"：",":")),""))</f>
        <v/>
      </c>
      <c r="P35">
        <f>IF(ISNUMBER($G35),IF($G35&lt;1,$G35,(INT($G35/100)*60+MOD($G35,100))/1440),IFERROR(TIMEVALUE(SUBSTITUTE($G35,"：",":")),""))</f>
        <v/>
      </c>
      <c r="Q35">
        <f>IF(ISNUMBER($H35),IF($H35&lt;1,$H35,(INT($H35/100)*60+MOD($H35,100))/1440),IFERROR(TIMEVALUE(SUBSTITUTE($H35,"：",":")),""))</f>
        <v/>
      </c>
      <c r="R35">
        <f>IF(ISNUMBER($I35),IF($I35&lt;1,$I35,(INT($I35/100)*60+MOD($I35,100))/1440),IFERROR(TIMEVALUE(SUBSTITUTE($I35,"：",":")),""))</f>
        <v/>
      </c>
      <c r="S35">
        <f>IF(ISNUMBER($J35),IF($J35&lt;1,$J35,(INT($J35/100)*60+MOD($J35,100))/1440),IFERROR(TIMEVALUE(SUBSTITUTE($J35,"：",":")),""))</f>
        <v/>
      </c>
      <c r="T35">
        <f>IF(OR($N35="",$O35=""),"",MAX(0,MOD($O35-$N35,1)-MAX(0,MIN($O35,13/24)-MAX($N35,0.5))))</f>
        <v/>
      </c>
      <c r="U35">
        <f>IF($A35="","",IF(ISNUMBER(MATCH($A35,祝日リスト!$A$2:$A$40,0)),"祝",IF(WEEKDAY($A35,2)=6,"土",IF(WEEKDAY($A35,2)=7,"日","平"))))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IF(ISNUMBER($D36),IF($D36&lt;1,$D36,(INT($D36/100)*60+MOD($D36,100))/1440),IFERROR(TIMEVALUE(SUBSTITUTE($D36,"：",":")),""))</f>
        <v/>
      </c>
      <c r="O36" s="35">
        <f>IF(ISNUMBER($F36),IF($F36&lt;1,$F36,(INT($F36/100)*60+MOD($F36,100))/1440),IFERROR(TIMEVALUE(SUBSTITUTE($F36,"：",":")),""))</f>
        <v/>
      </c>
      <c r="P36">
        <f>IF(ISNUMBER($G36),IF($G36&lt;1,$G36,(INT($G36/100)*60+MOD($G36,100))/1440),IFERROR(TIMEVALUE(SUBSTITUTE($G36,"：",":")),""))</f>
        <v/>
      </c>
      <c r="Q36">
        <f>IF(ISNUMBER($H36),IF($H36&lt;1,$H36,(INT($H36/100)*60+MOD($H36,100))/1440),IFERROR(TIMEVALUE(SUBSTITUTE($H36,"：",":")),""))</f>
        <v/>
      </c>
      <c r="R36">
        <f>IF(ISNUMBER($I36),IF($I36&lt;1,$I36,(INT($I36/100)*60+MOD($I36,100))/1440),IFERROR(TIMEVALUE(SUBSTITUTE($I36,"：",":")),""))</f>
        <v/>
      </c>
      <c r="S36">
        <f>IF(ISNUMBER($J36),IF($J36&lt;1,$J36,(INT($J36/100)*60+MOD($J36,100))/1440),IFERROR(TIMEVALUE(SUBSTITUTE($J36,"：",":")),""))</f>
        <v/>
      </c>
      <c r="T36">
        <f>IF(OR($N36="",$O36=""),"",MAX(0,MOD($O36-$N36,1)-MAX(0,MIN($O36,13/24)-MAX($N36,0.5))))</f>
        <v/>
      </c>
      <c r="U36">
        <f>IF($A36="","",IF(ISNUMBER(MATCH($A36,祝日リスト!$A$2:$A$40,0)),"祝",IF(WEEKDAY($A36,2)=6,"土",IF(WEEKDAY($A36,2)=7,"日","平"))))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IF(ISNUMBER($D37),IF($D37&lt;1,$D37,(INT($D37/100)*60+MOD($D37,100))/1440),IFERROR(TIMEVALUE(SUBSTITUTE($D37,"：",":")),""))</f>
        <v/>
      </c>
      <c r="O37">
        <f>IF(ISNUMBER($F37),IF($F37&lt;1,$F37,(INT($F37/100)*60+MOD($F37,100))/1440),IFERROR(TIMEVALUE(SUBSTITUTE($F37,"：",":")),""))</f>
        <v/>
      </c>
      <c r="P37">
        <f>IF(ISNUMBER($G37),IF($G37&lt;1,$G37,(INT($G37/100)*60+MOD($G37,100))/1440),IFERROR(TIMEVALUE(SUBSTITUTE($G37,"：",":")),""))</f>
        <v/>
      </c>
      <c r="Q37">
        <f>IF(ISNUMBER($H37),IF($H37&lt;1,$H37,(INT($H37/100)*60+MOD($H37,100))/1440),IFERROR(TIMEVALUE(SUBSTITUTE($H37,"：",":")),""))</f>
        <v/>
      </c>
      <c r="R37">
        <f>IF(ISNUMBER($I37),IF($I37&lt;1,$I37,(INT($I37/100)*60+MOD($I37,100))/1440),IFERROR(TIMEVALUE(SUBSTITUTE($I37,"：",":")),""))</f>
        <v/>
      </c>
      <c r="S37">
        <f>IF(ISNUMBER($J37),IF($J37&lt;1,$J37,(INT($J37/100)*60+MOD($J37,100))/1440),IFERROR(TIMEVALUE(SUBSTITUTE($J37,"：",":")),""))</f>
        <v/>
      </c>
      <c r="T37">
        <f>IF(OR($N37="",$O37=""),"",MAX(0,MOD($O37-$N37,1)-MAX(0,MIN($O37,13/24)-MAX($N37,0.5))))</f>
        <v/>
      </c>
      <c r="U37">
        <f>IF($A37="","",IF(ISNUMBER(MATCH($A37,祝日リスト!$A$2:$A$40,0)),"祝",IF(WEEKDAY($A37,2)=6,"土",IF(WEEKDAY($A37,2)=7,"日","平"))))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AND($A7&lt;&gt;"",OR(WEEKDAY($A7,2)=6,WEEKDAY($A7,2)=7,WEEKDAY($A7,2)=3,ISNUMBER(MATCH($A7,祝日リスト!$A$2:$A$40,0))))</formula>
    </cfRule>
  </conditionalFormatting>
  <dataValidations count="1">
    <dataValidation sqref="D7:D37 F7:F37 G7:G37 H7:H37 I7:I37 J7:J37" showDropDown="0" showInputMessage="0" showErrorMessage="1" allowBlank="1" errorTitle="時刻の入力" error="9:30 のように、コロン付きで入力してください（全角の 9：00 でも可）。" type="custom">
      <formula1>=OR(AND(ISNUMBER(D7),D7&gt;=0,D7&lt;1),IFERROR(ISNUMBER(TIMEVALUE(SUBSTITUTE(D7,"：",":"))),FALSE))</formula1>
    </dataValidation>
  </dataValidations>
  <pageMargins left="0.25" right="0.25" top="0.75" bottom="0.75" header="0" footer="0"/>
  <pageSetup orientation="portrait" paperSize="9" scale="96" fitToWidth="0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12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IF(ISNUMBER($D7),IF($D7&lt;1,$D7,(INT($D7/100)*60+MOD($D7,100))/1440),IFERROR(TIMEVALUE(SUBSTITUTE($D7,"：",":")),""))</f>
        <v/>
      </c>
      <c r="O7">
        <f>IF(ISNUMBER($F7),IF($F7&lt;1,$F7,(INT($F7/100)*60+MOD($F7,100))/1440),IFERROR(TIMEVALUE(SUBSTITUTE($F7,"：",":")),""))</f>
        <v/>
      </c>
      <c r="P7">
        <f>IF(ISNUMBER($G7),IF($G7&lt;1,$G7,(INT($G7/100)*60+MOD($G7,100))/1440),IFERROR(TIMEVALUE(SUBSTITUTE($G7,"：",":")),""))</f>
        <v/>
      </c>
      <c r="Q7">
        <f>IF(ISNUMBER($H7),IF($H7&lt;1,$H7,(INT($H7/100)*60+MOD($H7,100))/1440),IFERROR(TIMEVALUE(SUBSTITUTE($H7,"：",":")),""))</f>
        <v/>
      </c>
      <c r="R7">
        <f>IF(ISNUMBER($I7),IF($I7&lt;1,$I7,(INT($I7/100)*60+MOD($I7,100))/1440),IFERROR(TIMEVALUE(SUBSTITUTE($I7,"：",":")),""))</f>
        <v/>
      </c>
      <c r="S7">
        <f>IF(ISNUMBER($J7),IF($J7&lt;1,$J7,(INT($J7/100)*60+MOD($J7,100))/1440),IFERROR(TIMEVALUE(SUBSTITUTE($J7,"：",":")),""))</f>
        <v/>
      </c>
      <c r="T7">
        <f>IF(OR($N7="",$O7=""),"",MAX(0,MOD($O7-$N7,1)-MAX(0,MIN($O7,13/24)-MAX($N7,0.5))))</f>
        <v/>
      </c>
      <c r="U7">
        <f>IF($A7="","",IF(ISNUMBER(MATCH($A7,祝日リスト!$A$2:$A$40,0)),"祝",IF(WEEKDAY($A7,2)=6,"土",IF(WEEKDAY($A7,2)=7,"日","平"))))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IF(ISNUMBER($D8),IF($D8&lt;1,$D8,(INT($D8/100)*60+MOD($D8,100))/1440),IFERROR(TIMEVALUE(SUBSTITUTE($D8,"：",":")),""))</f>
        <v/>
      </c>
      <c r="O8" s="35">
        <f>IF(ISNUMBER($F8),IF($F8&lt;1,$F8,(INT($F8/100)*60+MOD($F8,100))/1440),IFERROR(TIMEVALUE(SUBSTITUTE($F8,"：",":")),""))</f>
        <v/>
      </c>
      <c r="P8">
        <f>IF(ISNUMBER($G8),IF($G8&lt;1,$G8,(INT($G8/100)*60+MOD($G8,100))/1440),IFERROR(TIMEVALUE(SUBSTITUTE($G8,"：",":")),""))</f>
        <v/>
      </c>
      <c r="Q8">
        <f>IF(ISNUMBER($H8),IF($H8&lt;1,$H8,(INT($H8/100)*60+MOD($H8,100))/1440),IFERROR(TIMEVALUE(SUBSTITUTE($H8,"：",":")),""))</f>
        <v/>
      </c>
      <c r="R8">
        <f>IF(ISNUMBER($I8),IF($I8&lt;1,$I8,(INT($I8/100)*60+MOD($I8,100))/1440),IFERROR(TIMEVALUE(SUBSTITUTE($I8,"：",":")),""))</f>
        <v/>
      </c>
      <c r="S8">
        <f>IF(ISNUMBER($J8),IF($J8&lt;1,$J8,(INT($J8/100)*60+MOD($J8,100))/1440),IFERROR(TIMEVALUE(SUBSTITUTE($J8,"：",":")),""))</f>
        <v/>
      </c>
      <c r="T8">
        <f>IF(OR($N8="",$O8=""),"",MAX(0,MOD($O8-$N8,1)-MAX(0,MIN($O8,13/24)-MAX($N8,0.5))))</f>
        <v/>
      </c>
      <c r="U8">
        <f>IF($A8="","",IF(ISNUMBER(MATCH($A8,祝日リスト!$A$2:$A$40,0)),"祝",IF(WEEKDAY($A8,2)=6,"土",IF(WEEKDAY($A8,2)=7,"日","平"))))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IF(ISNUMBER($D9),IF($D9&lt;1,$D9,(INT($D9/100)*60+MOD($D9,100))/1440),IFERROR(TIMEVALUE(SUBSTITUTE($D9,"：",":")),""))</f>
        <v/>
      </c>
      <c r="O9" s="35">
        <f>IF(ISNUMBER($F9),IF($F9&lt;1,$F9,(INT($F9/100)*60+MOD($F9,100))/1440),IFERROR(TIMEVALUE(SUBSTITUTE($F9,"：",":")),""))</f>
        <v/>
      </c>
      <c r="P9">
        <f>IF(ISNUMBER($G9),IF($G9&lt;1,$G9,(INT($G9/100)*60+MOD($G9,100))/1440),IFERROR(TIMEVALUE(SUBSTITUTE($G9,"：",":")),""))</f>
        <v/>
      </c>
      <c r="Q9">
        <f>IF(ISNUMBER($H9),IF($H9&lt;1,$H9,(INT($H9/100)*60+MOD($H9,100))/1440),IFERROR(TIMEVALUE(SUBSTITUTE($H9,"：",":")),""))</f>
        <v/>
      </c>
      <c r="R9">
        <f>IF(ISNUMBER($I9),IF($I9&lt;1,$I9,(INT($I9/100)*60+MOD($I9,100))/1440),IFERROR(TIMEVALUE(SUBSTITUTE($I9,"：",":")),""))</f>
        <v/>
      </c>
      <c r="S9">
        <f>IF(ISNUMBER($J9),IF($J9&lt;1,$J9,(INT($J9/100)*60+MOD($J9,100))/1440),IFERROR(TIMEVALUE(SUBSTITUTE($J9,"：",":")),""))</f>
        <v/>
      </c>
      <c r="T9">
        <f>IF(OR($N9="",$O9=""),"",MAX(0,MOD($O9-$N9,1)-MAX(0,MIN($O9,13/24)-MAX($N9,0.5))))</f>
        <v/>
      </c>
      <c r="U9">
        <f>IF($A9="","",IF(ISNUMBER(MATCH($A9,祝日リスト!$A$2:$A$40,0)),"祝",IF(WEEKDAY($A9,2)=6,"土",IF(WEEKDAY($A9,2)=7,"日","平"))))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IF(ISNUMBER($D10),IF($D10&lt;1,$D10,(INT($D10/100)*60+MOD($D10,100))/1440),IFERROR(TIMEVALUE(SUBSTITUTE($D10,"：",":")),""))</f>
        <v/>
      </c>
      <c r="O10" s="35">
        <f>IF(ISNUMBER($F10),IF($F10&lt;1,$F10,(INT($F10/100)*60+MOD($F10,100))/1440),IFERROR(TIMEVALUE(SUBSTITUTE($F10,"：",":")),""))</f>
        <v/>
      </c>
      <c r="P10">
        <f>IF(ISNUMBER($G10),IF($G10&lt;1,$G10,(INT($G10/100)*60+MOD($G10,100))/1440),IFERROR(TIMEVALUE(SUBSTITUTE($G10,"：",":")),""))</f>
        <v/>
      </c>
      <c r="Q10">
        <f>IF(ISNUMBER($H10),IF($H10&lt;1,$H10,(INT($H10/100)*60+MOD($H10,100))/1440),IFERROR(TIMEVALUE(SUBSTITUTE($H10,"：",":")),""))</f>
        <v/>
      </c>
      <c r="R10">
        <f>IF(ISNUMBER($I10),IF($I10&lt;1,$I10,(INT($I10/100)*60+MOD($I10,100))/1440),IFERROR(TIMEVALUE(SUBSTITUTE($I10,"：",":")),""))</f>
        <v/>
      </c>
      <c r="S10">
        <f>IF(ISNUMBER($J10),IF($J10&lt;1,$J10,(INT($J10/100)*60+MOD($J10,100))/1440),IFERROR(TIMEVALUE(SUBSTITUTE($J10,"：",":")),""))</f>
        <v/>
      </c>
      <c r="T10">
        <f>IF(OR($N10="",$O10=""),"",MAX(0,MOD($O10-$N10,1)-MAX(0,MIN($O10,13/24)-MAX($N10,0.5))))</f>
        <v/>
      </c>
      <c r="U10">
        <f>IF($A10="","",IF(ISNUMBER(MATCH($A10,祝日リスト!$A$2:$A$40,0)),"祝",IF(WEEKDAY($A10,2)=6,"土",IF(WEEKDAY($A10,2)=7,"日","平"))))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IF(ISNUMBER($D11),IF($D11&lt;1,$D11,(INT($D11/100)*60+MOD($D11,100))/1440),IFERROR(TIMEVALUE(SUBSTITUTE($D11,"：",":")),""))</f>
        <v/>
      </c>
      <c r="O11" s="35">
        <f>IF(ISNUMBER($F11),IF($F11&lt;1,$F11,(INT($F11/100)*60+MOD($F11,100))/1440),IFERROR(TIMEVALUE(SUBSTITUTE($F11,"：",":")),""))</f>
        <v/>
      </c>
      <c r="P11">
        <f>IF(ISNUMBER($G11),IF($G11&lt;1,$G11,(INT($G11/100)*60+MOD($G11,100))/1440),IFERROR(TIMEVALUE(SUBSTITUTE($G11,"：",":")),""))</f>
        <v/>
      </c>
      <c r="Q11">
        <f>IF(ISNUMBER($H11),IF($H11&lt;1,$H11,(INT($H11/100)*60+MOD($H11,100))/1440),IFERROR(TIMEVALUE(SUBSTITUTE($H11,"：",":")),""))</f>
        <v/>
      </c>
      <c r="R11">
        <f>IF(ISNUMBER($I11),IF($I11&lt;1,$I11,(INT($I11/100)*60+MOD($I11,100))/1440),IFERROR(TIMEVALUE(SUBSTITUTE($I11,"：",":")),""))</f>
        <v/>
      </c>
      <c r="S11">
        <f>IF(ISNUMBER($J11),IF($J11&lt;1,$J11,(INT($J11/100)*60+MOD($J11,100))/1440),IFERROR(TIMEVALUE(SUBSTITUTE($J11,"：",":")),""))</f>
        <v/>
      </c>
      <c r="T11">
        <f>IF(OR($N11="",$O11=""),"",MAX(0,MOD($O11-$N11,1)-MAX(0,MIN($O11,13/24)-MAX($N11,0.5))))</f>
        <v/>
      </c>
      <c r="U11">
        <f>IF($A11="","",IF(ISNUMBER(MATCH($A11,祝日リスト!$A$2:$A$40,0)),"祝",IF(WEEKDAY($A11,2)=6,"土",IF(WEEKDAY($A11,2)=7,"日","平"))))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IF(ISNUMBER($D12),IF($D12&lt;1,$D12,(INT($D12/100)*60+MOD($D12,100))/1440),IFERROR(TIMEVALUE(SUBSTITUTE($D12,"：",":")),""))</f>
        <v/>
      </c>
      <c r="O12" s="35">
        <f>IF(ISNUMBER($F12),IF($F12&lt;1,$F12,(INT($F12/100)*60+MOD($F12,100))/1440),IFERROR(TIMEVALUE(SUBSTITUTE($F12,"：",":")),""))</f>
        <v/>
      </c>
      <c r="P12">
        <f>IF(ISNUMBER($G12),IF($G12&lt;1,$G12,(INT($G12/100)*60+MOD($G12,100))/1440),IFERROR(TIMEVALUE(SUBSTITUTE($G12,"：",":")),""))</f>
        <v/>
      </c>
      <c r="Q12">
        <f>IF(ISNUMBER($H12),IF($H12&lt;1,$H12,(INT($H12/100)*60+MOD($H12,100))/1440),IFERROR(TIMEVALUE(SUBSTITUTE($H12,"：",":")),""))</f>
        <v/>
      </c>
      <c r="R12">
        <f>IF(ISNUMBER($I12),IF($I12&lt;1,$I12,(INT($I12/100)*60+MOD($I12,100))/1440),IFERROR(TIMEVALUE(SUBSTITUTE($I12,"：",":")),""))</f>
        <v/>
      </c>
      <c r="S12">
        <f>IF(ISNUMBER($J12),IF($J12&lt;1,$J12,(INT($J12/100)*60+MOD($J12,100))/1440),IFERROR(TIMEVALUE(SUBSTITUTE($J12,"：",":")),""))</f>
        <v/>
      </c>
      <c r="T12">
        <f>IF(OR($N12="",$O12=""),"",MAX(0,MOD($O12-$N12,1)-MAX(0,MIN($O12,13/24)-MAX($N12,0.5))))</f>
        <v/>
      </c>
      <c r="U12">
        <f>IF($A12="","",IF(ISNUMBER(MATCH($A12,祝日リスト!$A$2:$A$40,0)),"祝",IF(WEEKDAY($A12,2)=6,"土",IF(WEEKDAY($A12,2)=7,"日","平"))))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IF(ISNUMBER($D13),IF($D13&lt;1,$D13,(INT($D13/100)*60+MOD($D13,100))/1440),IFERROR(TIMEVALUE(SUBSTITUTE($D13,"：",":")),""))</f>
        <v/>
      </c>
      <c r="O13" s="35">
        <f>IF(ISNUMBER($F13),IF($F13&lt;1,$F13,(INT($F13/100)*60+MOD($F13,100))/1440),IFERROR(TIMEVALUE(SUBSTITUTE($F13,"：",":")),""))</f>
        <v/>
      </c>
      <c r="P13">
        <f>IF(ISNUMBER($G13),IF($G13&lt;1,$G13,(INT($G13/100)*60+MOD($G13,100))/1440),IFERROR(TIMEVALUE(SUBSTITUTE($G13,"：",":")),""))</f>
        <v/>
      </c>
      <c r="Q13">
        <f>IF(ISNUMBER($H13),IF($H13&lt;1,$H13,(INT($H13/100)*60+MOD($H13,100))/1440),IFERROR(TIMEVALUE(SUBSTITUTE($H13,"：",":")),""))</f>
        <v/>
      </c>
      <c r="R13">
        <f>IF(ISNUMBER($I13),IF($I13&lt;1,$I13,(INT($I13/100)*60+MOD($I13,100))/1440),IFERROR(TIMEVALUE(SUBSTITUTE($I13,"：",":")),""))</f>
        <v/>
      </c>
      <c r="S13">
        <f>IF(ISNUMBER($J13),IF($J13&lt;1,$J13,(INT($J13/100)*60+MOD($J13,100))/1440),IFERROR(TIMEVALUE(SUBSTITUTE($J13,"：",":")),""))</f>
        <v/>
      </c>
      <c r="T13">
        <f>IF(OR($N13="",$O13=""),"",MAX(0,MOD($O13-$N13,1)-MAX(0,MIN($O13,13/24)-MAX($N13,0.5))))</f>
        <v/>
      </c>
      <c r="U13">
        <f>IF($A13="","",IF(ISNUMBER(MATCH($A13,祝日リスト!$A$2:$A$40,0)),"祝",IF(WEEKDAY($A13,2)=6,"土",IF(WEEKDAY($A13,2)=7,"日","平"))))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IF(ISNUMBER($D14),IF($D14&lt;1,$D14,(INT($D14/100)*60+MOD($D14,100))/1440),IFERROR(TIMEVALUE(SUBSTITUTE($D14,"：",":")),""))</f>
        <v/>
      </c>
      <c r="O14" s="35">
        <f>IF(ISNUMBER($F14),IF($F14&lt;1,$F14,(INT($F14/100)*60+MOD($F14,100))/1440),IFERROR(TIMEVALUE(SUBSTITUTE($F14,"：",":")),""))</f>
        <v/>
      </c>
      <c r="P14">
        <f>IF(ISNUMBER($G14),IF($G14&lt;1,$G14,(INT($G14/100)*60+MOD($G14,100))/1440),IFERROR(TIMEVALUE(SUBSTITUTE($G14,"：",":")),""))</f>
        <v/>
      </c>
      <c r="Q14">
        <f>IF(ISNUMBER($H14),IF($H14&lt;1,$H14,(INT($H14/100)*60+MOD($H14,100))/1440),IFERROR(TIMEVALUE(SUBSTITUTE($H14,"：",":")),""))</f>
        <v/>
      </c>
      <c r="R14">
        <f>IF(ISNUMBER($I14),IF($I14&lt;1,$I14,(INT($I14/100)*60+MOD($I14,100))/1440),IFERROR(TIMEVALUE(SUBSTITUTE($I14,"：",":")),""))</f>
        <v/>
      </c>
      <c r="S14">
        <f>IF(ISNUMBER($J14),IF($J14&lt;1,$J14,(INT($J14/100)*60+MOD($J14,100))/1440),IFERROR(TIMEVALUE(SUBSTITUTE($J14,"：",":")),""))</f>
        <v/>
      </c>
      <c r="T14">
        <f>IF(OR($N14="",$O14=""),"",MAX(0,MOD($O14-$N14,1)-MAX(0,MIN($O14,13/24)-MAX($N14,0.5))))</f>
        <v/>
      </c>
      <c r="U14">
        <f>IF($A14="","",IF(ISNUMBER(MATCH($A14,祝日リスト!$A$2:$A$40,0)),"祝",IF(WEEKDAY($A14,2)=6,"土",IF(WEEKDAY($A14,2)=7,"日","平"))))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IF(ISNUMBER($D15),IF($D15&lt;1,$D15,(INT($D15/100)*60+MOD($D15,100))/1440),IFERROR(TIMEVALUE(SUBSTITUTE($D15,"：",":")),""))</f>
        <v/>
      </c>
      <c r="O15" s="35">
        <f>IF(ISNUMBER($F15),IF($F15&lt;1,$F15,(INT($F15/100)*60+MOD($F15,100))/1440),IFERROR(TIMEVALUE(SUBSTITUTE($F15,"：",":")),""))</f>
        <v/>
      </c>
      <c r="P15">
        <f>IF(ISNUMBER($G15),IF($G15&lt;1,$G15,(INT($G15/100)*60+MOD($G15,100))/1440),IFERROR(TIMEVALUE(SUBSTITUTE($G15,"：",":")),""))</f>
        <v/>
      </c>
      <c r="Q15">
        <f>IF(ISNUMBER($H15),IF($H15&lt;1,$H15,(INT($H15/100)*60+MOD($H15,100))/1440),IFERROR(TIMEVALUE(SUBSTITUTE($H15,"：",":")),""))</f>
        <v/>
      </c>
      <c r="R15">
        <f>IF(ISNUMBER($I15),IF($I15&lt;1,$I15,(INT($I15/100)*60+MOD($I15,100))/1440),IFERROR(TIMEVALUE(SUBSTITUTE($I15,"：",":")),""))</f>
        <v/>
      </c>
      <c r="S15">
        <f>IF(ISNUMBER($J15),IF($J15&lt;1,$J15,(INT($J15/100)*60+MOD($J15,100))/1440),IFERROR(TIMEVALUE(SUBSTITUTE($J15,"：",":")),""))</f>
        <v/>
      </c>
      <c r="T15">
        <f>IF(OR($N15="",$O15=""),"",MAX(0,MOD($O15-$N15,1)-MAX(0,MIN($O15,13/24)-MAX($N15,0.5))))</f>
        <v/>
      </c>
      <c r="U15">
        <f>IF($A15="","",IF(ISNUMBER(MATCH($A15,祝日リスト!$A$2:$A$40,0)),"祝",IF(WEEKDAY($A15,2)=6,"土",IF(WEEKDAY($A15,2)=7,"日","平"))))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IF(ISNUMBER($D16),IF($D16&lt;1,$D16,(INT($D16/100)*60+MOD($D16,100))/1440),IFERROR(TIMEVALUE(SUBSTITUTE($D16,"：",":")),""))</f>
        <v/>
      </c>
      <c r="O16" s="35">
        <f>IF(ISNUMBER($F16),IF($F16&lt;1,$F16,(INT($F16/100)*60+MOD($F16,100))/1440),IFERROR(TIMEVALUE(SUBSTITUTE($F16,"：",":")),""))</f>
        <v/>
      </c>
      <c r="P16">
        <f>IF(ISNUMBER($G16),IF($G16&lt;1,$G16,(INT($G16/100)*60+MOD($G16,100))/1440),IFERROR(TIMEVALUE(SUBSTITUTE($G16,"：",":")),""))</f>
        <v/>
      </c>
      <c r="Q16">
        <f>IF(ISNUMBER($H16),IF($H16&lt;1,$H16,(INT($H16/100)*60+MOD($H16,100))/1440),IFERROR(TIMEVALUE(SUBSTITUTE($H16,"：",":")),""))</f>
        <v/>
      </c>
      <c r="R16">
        <f>IF(ISNUMBER($I16),IF($I16&lt;1,$I16,(INT($I16/100)*60+MOD($I16,100))/1440),IFERROR(TIMEVALUE(SUBSTITUTE($I16,"：",":")),""))</f>
        <v/>
      </c>
      <c r="S16">
        <f>IF(ISNUMBER($J16),IF($J16&lt;1,$J16,(INT($J16/100)*60+MOD($J16,100))/1440),IFERROR(TIMEVALUE(SUBSTITUTE($J16,"：",":")),""))</f>
        <v/>
      </c>
      <c r="T16">
        <f>IF(OR($N16="",$O16=""),"",MAX(0,MOD($O16-$N16,1)-MAX(0,MIN($O16,13/24)-MAX($N16,0.5))))</f>
        <v/>
      </c>
      <c r="U16">
        <f>IF($A16="","",IF(ISNUMBER(MATCH($A16,祝日リスト!$A$2:$A$40,0)),"祝",IF(WEEKDAY($A16,2)=6,"土",IF(WEEKDAY($A16,2)=7,"日","平"))))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IF(ISNUMBER($D17),IF($D17&lt;1,$D17,(INT($D17/100)*60+MOD($D17,100))/1440),IFERROR(TIMEVALUE(SUBSTITUTE($D17,"：",":")),""))</f>
        <v/>
      </c>
      <c r="O17" s="35">
        <f>IF(ISNUMBER($F17),IF($F17&lt;1,$F17,(INT($F17/100)*60+MOD($F17,100))/1440),IFERROR(TIMEVALUE(SUBSTITUTE($F17,"：",":")),""))</f>
        <v/>
      </c>
      <c r="P17">
        <f>IF(ISNUMBER($G17),IF($G17&lt;1,$G17,(INT($G17/100)*60+MOD($G17,100))/1440),IFERROR(TIMEVALUE(SUBSTITUTE($G17,"：",":")),""))</f>
        <v/>
      </c>
      <c r="Q17">
        <f>IF(ISNUMBER($H17),IF($H17&lt;1,$H17,(INT($H17/100)*60+MOD($H17,100))/1440),IFERROR(TIMEVALUE(SUBSTITUTE($H17,"：",":")),""))</f>
        <v/>
      </c>
      <c r="R17">
        <f>IF(ISNUMBER($I17),IF($I17&lt;1,$I17,(INT($I17/100)*60+MOD($I17,100))/1440),IFERROR(TIMEVALUE(SUBSTITUTE($I17,"：",":")),""))</f>
        <v/>
      </c>
      <c r="S17">
        <f>IF(ISNUMBER($J17),IF($J17&lt;1,$J17,(INT($J17/100)*60+MOD($J17,100))/1440),IFERROR(TIMEVALUE(SUBSTITUTE($J17,"：",":")),""))</f>
        <v/>
      </c>
      <c r="T17">
        <f>IF(OR($N17="",$O17=""),"",MAX(0,MOD($O17-$N17,1)-MAX(0,MIN($O17,13/24)-MAX($N17,0.5))))</f>
        <v/>
      </c>
      <c r="U17">
        <f>IF($A17="","",IF(ISNUMBER(MATCH($A17,祝日リスト!$A$2:$A$40,0)),"祝",IF(WEEKDAY($A17,2)=6,"土",IF(WEEKDAY($A17,2)=7,"日","平"))))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IF(ISNUMBER($D18),IF($D18&lt;1,$D18,(INT($D18/100)*60+MOD($D18,100))/1440),IFERROR(TIMEVALUE(SUBSTITUTE($D18,"：",":")),""))</f>
        <v/>
      </c>
      <c r="O18" s="35">
        <f>IF(ISNUMBER($F18),IF($F18&lt;1,$F18,(INT($F18/100)*60+MOD($F18,100))/1440),IFERROR(TIMEVALUE(SUBSTITUTE($F18,"：",":")),""))</f>
        <v/>
      </c>
      <c r="P18">
        <f>IF(ISNUMBER($G18),IF($G18&lt;1,$G18,(INT($G18/100)*60+MOD($G18,100))/1440),IFERROR(TIMEVALUE(SUBSTITUTE($G18,"：",":")),""))</f>
        <v/>
      </c>
      <c r="Q18">
        <f>IF(ISNUMBER($H18),IF($H18&lt;1,$H18,(INT($H18/100)*60+MOD($H18,100))/1440),IFERROR(TIMEVALUE(SUBSTITUTE($H18,"：",":")),""))</f>
        <v/>
      </c>
      <c r="R18">
        <f>IF(ISNUMBER($I18),IF($I18&lt;1,$I18,(INT($I18/100)*60+MOD($I18,100))/1440),IFERROR(TIMEVALUE(SUBSTITUTE($I18,"：",":")),""))</f>
        <v/>
      </c>
      <c r="S18">
        <f>IF(ISNUMBER($J18),IF($J18&lt;1,$J18,(INT($J18/100)*60+MOD($J18,100))/1440),IFERROR(TIMEVALUE(SUBSTITUTE($J18,"：",":")),""))</f>
        <v/>
      </c>
      <c r="T18">
        <f>IF(OR($N18="",$O18=""),"",MAX(0,MOD($O18-$N18,1)-MAX(0,MIN($O18,13/24)-MAX($N18,0.5))))</f>
        <v/>
      </c>
      <c r="U18">
        <f>IF($A18="","",IF(ISNUMBER(MATCH($A18,祝日リスト!$A$2:$A$40,0)),"祝",IF(WEEKDAY($A18,2)=6,"土",IF(WEEKDAY($A18,2)=7,"日","平"))))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IF(ISNUMBER($D19),IF($D19&lt;1,$D19,(INT($D19/100)*60+MOD($D19,100))/1440),IFERROR(TIMEVALUE(SUBSTITUTE($D19,"：",":")),""))</f>
        <v/>
      </c>
      <c r="O19" s="35">
        <f>IF(ISNUMBER($F19),IF($F19&lt;1,$F19,(INT($F19/100)*60+MOD($F19,100))/1440),IFERROR(TIMEVALUE(SUBSTITUTE($F19,"：",":")),""))</f>
        <v/>
      </c>
      <c r="P19">
        <f>IF(ISNUMBER($G19),IF($G19&lt;1,$G19,(INT($G19/100)*60+MOD($G19,100))/1440),IFERROR(TIMEVALUE(SUBSTITUTE($G19,"：",":")),""))</f>
        <v/>
      </c>
      <c r="Q19">
        <f>IF(ISNUMBER($H19),IF($H19&lt;1,$H19,(INT($H19/100)*60+MOD($H19,100))/1440),IFERROR(TIMEVALUE(SUBSTITUTE($H19,"：",":")),""))</f>
        <v/>
      </c>
      <c r="R19">
        <f>IF(ISNUMBER($I19),IF($I19&lt;1,$I19,(INT($I19/100)*60+MOD($I19,100))/1440),IFERROR(TIMEVALUE(SUBSTITUTE($I19,"：",":")),""))</f>
        <v/>
      </c>
      <c r="S19">
        <f>IF(ISNUMBER($J19),IF($J19&lt;1,$J19,(INT($J19/100)*60+MOD($J19,100))/1440),IFERROR(TIMEVALUE(SUBSTITUTE($J19,"：",":")),""))</f>
        <v/>
      </c>
      <c r="T19">
        <f>IF(OR($N19="",$O19=""),"",MAX(0,MOD($O19-$N19,1)-MAX(0,MIN($O19,13/24)-MAX($N19,0.5))))</f>
        <v/>
      </c>
      <c r="U19">
        <f>IF($A19="","",IF(ISNUMBER(MATCH($A19,祝日リスト!$A$2:$A$40,0)),"祝",IF(WEEKDAY($A19,2)=6,"土",IF(WEEKDAY($A19,2)=7,"日","平"))))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IF(ISNUMBER($D20),IF($D20&lt;1,$D20,(INT($D20/100)*60+MOD($D20,100))/1440),IFERROR(TIMEVALUE(SUBSTITUTE($D20,"：",":")),""))</f>
        <v/>
      </c>
      <c r="O20" s="35">
        <f>IF(ISNUMBER($F20),IF($F20&lt;1,$F20,(INT($F20/100)*60+MOD($F20,100))/1440),IFERROR(TIMEVALUE(SUBSTITUTE($F20,"：",":")),""))</f>
        <v/>
      </c>
      <c r="P20">
        <f>IF(ISNUMBER($G20),IF($G20&lt;1,$G20,(INT($G20/100)*60+MOD($G20,100))/1440),IFERROR(TIMEVALUE(SUBSTITUTE($G20,"：",":")),""))</f>
        <v/>
      </c>
      <c r="Q20">
        <f>IF(ISNUMBER($H20),IF($H20&lt;1,$H20,(INT($H20/100)*60+MOD($H20,100))/1440),IFERROR(TIMEVALUE(SUBSTITUTE($H20,"：",":")),""))</f>
        <v/>
      </c>
      <c r="R20">
        <f>IF(ISNUMBER($I20),IF($I20&lt;1,$I20,(INT($I20/100)*60+MOD($I20,100))/1440),IFERROR(TIMEVALUE(SUBSTITUTE($I20,"：",":")),""))</f>
        <v/>
      </c>
      <c r="S20">
        <f>IF(ISNUMBER($J20),IF($J20&lt;1,$J20,(INT($J20/100)*60+MOD($J20,100))/1440),IFERROR(TIMEVALUE(SUBSTITUTE($J20,"：",":")),""))</f>
        <v/>
      </c>
      <c r="T20">
        <f>IF(OR($N20="",$O20=""),"",MAX(0,MOD($O20-$N20,1)-MAX(0,MIN($O20,13/24)-MAX($N20,0.5))))</f>
        <v/>
      </c>
      <c r="U20">
        <f>IF($A20="","",IF(ISNUMBER(MATCH($A20,祝日リスト!$A$2:$A$40,0)),"祝",IF(WEEKDAY($A20,2)=6,"土",IF(WEEKDAY($A20,2)=7,"日","平"))))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IF(ISNUMBER($D21),IF($D21&lt;1,$D21,(INT($D21/100)*60+MOD($D21,100))/1440),IFERROR(TIMEVALUE(SUBSTITUTE($D21,"：",":")),""))</f>
        <v/>
      </c>
      <c r="O21" s="35">
        <f>IF(ISNUMBER($F21),IF($F21&lt;1,$F21,(INT($F21/100)*60+MOD($F21,100))/1440),IFERROR(TIMEVALUE(SUBSTITUTE($F21,"：",":")),""))</f>
        <v/>
      </c>
      <c r="P21">
        <f>IF(ISNUMBER($G21),IF($G21&lt;1,$G21,(INT($G21/100)*60+MOD($G21,100))/1440),IFERROR(TIMEVALUE(SUBSTITUTE($G21,"：",":")),""))</f>
        <v/>
      </c>
      <c r="Q21">
        <f>IF(ISNUMBER($H21),IF($H21&lt;1,$H21,(INT($H21/100)*60+MOD($H21,100))/1440),IFERROR(TIMEVALUE(SUBSTITUTE($H21,"：",":")),""))</f>
        <v/>
      </c>
      <c r="R21">
        <f>IF(ISNUMBER($I21),IF($I21&lt;1,$I21,(INT($I21/100)*60+MOD($I21,100))/1440),IFERROR(TIMEVALUE(SUBSTITUTE($I21,"：",":")),""))</f>
        <v/>
      </c>
      <c r="S21">
        <f>IF(ISNUMBER($J21),IF($J21&lt;1,$J21,(INT($J21/100)*60+MOD($J21,100))/1440),IFERROR(TIMEVALUE(SUBSTITUTE($J21,"：",":")),""))</f>
        <v/>
      </c>
      <c r="T21">
        <f>IF(OR($N21="",$O21=""),"",MAX(0,MOD($O21-$N21,1)-MAX(0,MIN($O21,13/24)-MAX($N21,0.5))))</f>
        <v/>
      </c>
      <c r="U21">
        <f>IF($A21="","",IF(ISNUMBER(MATCH($A21,祝日リスト!$A$2:$A$40,0)),"祝",IF(WEEKDAY($A21,2)=6,"土",IF(WEEKDAY($A21,2)=7,"日","平"))))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IF(ISNUMBER($D22),IF($D22&lt;1,$D22,(INT($D22/100)*60+MOD($D22,100))/1440),IFERROR(TIMEVALUE(SUBSTITUTE($D22,"：",":")),""))</f>
        <v/>
      </c>
      <c r="O22" s="35">
        <f>IF(ISNUMBER($F22),IF($F22&lt;1,$F22,(INT($F22/100)*60+MOD($F22,100))/1440),IFERROR(TIMEVALUE(SUBSTITUTE($F22,"：",":")),""))</f>
        <v/>
      </c>
      <c r="P22" s="4">
        <f>IF(ISNUMBER($G22),IF($G22&lt;1,$G22,(INT($G22/100)*60+MOD($G22,100))/1440),IFERROR(TIMEVALUE(SUBSTITUTE($G22,"：",":")),""))</f>
        <v/>
      </c>
      <c r="Q22" s="4">
        <f>IF(ISNUMBER($H22),IF($H22&lt;1,$H22,(INT($H22/100)*60+MOD($H22,100))/1440),IFERROR(TIMEVALUE(SUBSTITUTE($H22,"：",":")),""))</f>
        <v/>
      </c>
      <c r="R22" s="4">
        <f>IF(ISNUMBER($I22),IF($I22&lt;1,$I22,(INT($I22/100)*60+MOD($I22,100))/1440),IFERROR(TIMEVALUE(SUBSTITUTE($I22,"：",":")),""))</f>
        <v/>
      </c>
      <c r="S22" s="4">
        <f>IF(ISNUMBER($J22),IF($J22&lt;1,$J22,(INT($J22/100)*60+MOD($J22,100))/1440),IFERROR(TIMEVALUE(SUBSTITUTE($J22,"：",":")),""))</f>
        <v/>
      </c>
      <c r="T22" s="4">
        <f>IF(OR($N22="",$O22=""),"",MAX(0,MOD($O22-$N22,1)-MAX(0,MIN($O22,13/24)-MAX($N22,0.5))))</f>
        <v/>
      </c>
      <c r="U22" s="4">
        <f>IF($A22="","",IF(ISNUMBER(MATCH($A22,祝日リスト!$A$2:$A$40,0)),"祝",IF(WEEKDAY($A22,2)=6,"土",IF(WEEKDAY($A22,2)=7,"日","平"))))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IF(ISNUMBER($D23),IF($D23&lt;1,$D23,(INT($D23/100)*60+MOD($D23,100))/1440),IFERROR(TIMEVALUE(SUBSTITUTE($D23,"：",":")),""))</f>
        <v/>
      </c>
      <c r="O23" s="35">
        <f>IF(ISNUMBER($F23),IF($F23&lt;1,$F23,(INT($F23/100)*60+MOD($F23,100))/1440),IFERROR(TIMEVALUE(SUBSTITUTE($F23,"：",":")),""))</f>
        <v/>
      </c>
      <c r="P23">
        <f>IF(ISNUMBER($G23),IF($G23&lt;1,$G23,(INT($G23/100)*60+MOD($G23,100))/1440),IFERROR(TIMEVALUE(SUBSTITUTE($G23,"：",":")),""))</f>
        <v/>
      </c>
      <c r="Q23">
        <f>IF(ISNUMBER($H23),IF($H23&lt;1,$H23,(INT($H23/100)*60+MOD($H23,100))/1440),IFERROR(TIMEVALUE(SUBSTITUTE($H23,"：",":")),""))</f>
        <v/>
      </c>
      <c r="R23">
        <f>IF(ISNUMBER($I23),IF($I23&lt;1,$I23,(INT($I23/100)*60+MOD($I23,100))/1440),IFERROR(TIMEVALUE(SUBSTITUTE($I23,"：",":")),""))</f>
        <v/>
      </c>
      <c r="S23">
        <f>IF(ISNUMBER($J23),IF($J23&lt;1,$J23,(INT($J23/100)*60+MOD($J23,100))/1440),IFERROR(TIMEVALUE(SUBSTITUTE($J23,"：",":")),""))</f>
        <v/>
      </c>
      <c r="T23">
        <f>IF(OR($N23="",$O23=""),"",MAX(0,MOD($O23-$N23,1)-MAX(0,MIN($O23,13/24)-MAX($N23,0.5))))</f>
        <v/>
      </c>
      <c r="U23">
        <f>IF($A23="","",IF(ISNUMBER(MATCH($A23,祝日リスト!$A$2:$A$40,0)),"祝",IF(WEEKDAY($A23,2)=6,"土",IF(WEEKDAY($A23,2)=7,"日","平"))))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IF(ISNUMBER($D24),IF($D24&lt;1,$D24,(INT($D24/100)*60+MOD($D24,100))/1440),IFERROR(TIMEVALUE(SUBSTITUTE($D24,"：",":")),""))</f>
        <v/>
      </c>
      <c r="O24" s="35">
        <f>IF(ISNUMBER($F24),IF($F24&lt;1,$F24,(INT($F24/100)*60+MOD($F24,100))/1440),IFERROR(TIMEVALUE(SUBSTITUTE($F24,"：",":")),""))</f>
        <v/>
      </c>
      <c r="P24">
        <f>IF(ISNUMBER($G24),IF($G24&lt;1,$G24,(INT($G24/100)*60+MOD($G24,100))/1440),IFERROR(TIMEVALUE(SUBSTITUTE($G24,"：",":")),""))</f>
        <v/>
      </c>
      <c r="Q24">
        <f>IF(ISNUMBER($H24),IF($H24&lt;1,$H24,(INT($H24/100)*60+MOD($H24,100))/1440),IFERROR(TIMEVALUE(SUBSTITUTE($H24,"：",":")),""))</f>
        <v/>
      </c>
      <c r="R24">
        <f>IF(ISNUMBER($I24),IF($I24&lt;1,$I24,(INT($I24/100)*60+MOD($I24,100))/1440),IFERROR(TIMEVALUE(SUBSTITUTE($I24,"：",":")),""))</f>
        <v/>
      </c>
      <c r="S24">
        <f>IF(ISNUMBER($J24),IF($J24&lt;1,$J24,(INT($J24/100)*60+MOD($J24,100))/1440),IFERROR(TIMEVALUE(SUBSTITUTE($J24,"：",":")),""))</f>
        <v/>
      </c>
      <c r="T24">
        <f>IF(OR($N24="",$O24=""),"",MAX(0,MOD($O24-$N24,1)-MAX(0,MIN($O24,13/24)-MAX($N24,0.5))))</f>
        <v/>
      </c>
      <c r="U24">
        <f>IF($A24="","",IF(ISNUMBER(MATCH($A24,祝日リスト!$A$2:$A$40,0)),"祝",IF(WEEKDAY($A24,2)=6,"土",IF(WEEKDAY($A24,2)=7,"日","平"))))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IF(ISNUMBER($D25),IF($D25&lt;1,$D25,(INT($D25/100)*60+MOD($D25,100))/1440),IFERROR(TIMEVALUE(SUBSTITUTE($D25,"：",":")),""))</f>
        <v/>
      </c>
      <c r="O25" s="35">
        <f>IF(ISNUMBER($F25),IF($F25&lt;1,$F25,(INT($F25/100)*60+MOD($F25,100))/1440),IFERROR(TIMEVALUE(SUBSTITUTE($F25,"：",":")),""))</f>
        <v/>
      </c>
      <c r="P25">
        <f>IF(ISNUMBER($G25),IF($G25&lt;1,$G25,(INT($G25/100)*60+MOD($G25,100))/1440),IFERROR(TIMEVALUE(SUBSTITUTE($G25,"：",":")),""))</f>
        <v/>
      </c>
      <c r="Q25">
        <f>IF(ISNUMBER($H25),IF($H25&lt;1,$H25,(INT($H25/100)*60+MOD($H25,100))/1440),IFERROR(TIMEVALUE(SUBSTITUTE($H25,"：",":")),""))</f>
        <v/>
      </c>
      <c r="R25">
        <f>IF(ISNUMBER($I25),IF($I25&lt;1,$I25,(INT($I25/100)*60+MOD($I25,100))/1440),IFERROR(TIMEVALUE(SUBSTITUTE($I25,"：",":")),""))</f>
        <v/>
      </c>
      <c r="S25">
        <f>IF(ISNUMBER($J25),IF($J25&lt;1,$J25,(INT($J25/100)*60+MOD($J25,100))/1440),IFERROR(TIMEVALUE(SUBSTITUTE($J25,"：",":")),""))</f>
        <v/>
      </c>
      <c r="T25">
        <f>IF(OR($N25="",$O25=""),"",MAX(0,MOD($O25-$N25,1)-MAX(0,MIN($O25,13/24)-MAX($N25,0.5))))</f>
        <v/>
      </c>
      <c r="U25">
        <f>IF($A25="","",IF(ISNUMBER(MATCH($A25,祝日リスト!$A$2:$A$40,0)),"祝",IF(WEEKDAY($A25,2)=6,"土",IF(WEEKDAY($A25,2)=7,"日","平"))))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IF(ISNUMBER($D26),IF($D26&lt;1,$D26,(INT($D26/100)*60+MOD($D26,100))/1440),IFERROR(TIMEVALUE(SUBSTITUTE($D26,"：",":")),""))</f>
        <v/>
      </c>
      <c r="O26" s="35">
        <f>IF(ISNUMBER($F26),IF($F26&lt;1,$F26,(INT($F26/100)*60+MOD($F26,100))/1440),IFERROR(TIMEVALUE(SUBSTITUTE($F26,"：",":")),""))</f>
        <v/>
      </c>
      <c r="P26" s="4">
        <f>IF(ISNUMBER($G26),IF($G26&lt;1,$G26,(INT($G26/100)*60+MOD($G26,100))/1440),IFERROR(TIMEVALUE(SUBSTITUTE($G26,"：",":")),""))</f>
        <v/>
      </c>
      <c r="Q26" s="4">
        <f>IF(ISNUMBER($H26),IF($H26&lt;1,$H26,(INT($H26/100)*60+MOD($H26,100))/1440),IFERROR(TIMEVALUE(SUBSTITUTE($H26,"：",":")),""))</f>
        <v/>
      </c>
      <c r="R26" s="4">
        <f>IF(ISNUMBER($I26),IF($I26&lt;1,$I26,(INT($I26/100)*60+MOD($I26,100))/1440),IFERROR(TIMEVALUE(SUBSTITUTE($I26,"：",":")),""))</f>
        <v/>
      </c>
      <c r="S26" s="4">
        <f>IF(ISNUMBER($J26),IF($J26&lt;1,$J26,(INT($J26/100)*60+MOD($J26,100))/1440),IFERROR(TIMEVALUE(SUBSTITUTE($J26,"：",":")),""))</f>
        <v/>
      </c>
      <c r="T26" s="4">
        <f>IF(OR($N26="",$O26=""),"",MAX(0,MOD($O26-$N26,1)-MAX(0,MIN($O26,13/24)-MAX($N26,0.5))))</f>
        <v/>
      </c>
      <c r="U26" s="4">
        <f>IF($A26="","",IF(ISNUMBER(MATCH($A26,祝日リスト!$A$2:$A$40,0)),"祝",IF(WEEKDAY($A26,2)=6,"土",IF(WEEKDAY($A26,2)=7,"日","平"))))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IF(ISNUMBER($D27),IF($D27&lt;1,$D27,(INT($D27/100)*60+MOD($D27,100))/1440),IFERROR(TIMEVALUE(SUBSTITUTE($D27,"：",":")),""))</f>
        <v/>
      </c>
      <c r="O27" s="35">
        <f>IF(ISNUMBER($F27),IF($F27&lt;1,$F27,(INT($F27/100)*60+MOD($F27,100))/1440),IFERROR(TIMEVALUE(SUBSTITUTE($F27,"：",":")),""))</f>
        <v/>
      </c>
      <c r="P27">
        <f>IF(ISNUMBER($G27),IF($G27&lt;1,$G27,(INT($G27/100)*60+MOD($G27,100))/1440),IFERROR(TIMEVALUE(SUBSTITUTE($G27,"：",":")),""))</f>
        <v/>
      </c>
      <c r="Q27">
        <f>IF(ISNUMBER($H27),IF($H27&lt;1,$H27,(INT($H27/100)*60+MOD($H27,100))/1440),IFERROR(TIMEVALUE(SUBSTITUTE($H27,"：",":")),""))</f>
        <v/>
      </c>
      <c r="R27">
        <f>IF(ISNUMBER($I27),IF($I27&lt;1,$I27,(INT($I27/100)*60+MOD($I27,100))/1440),IFERROR(TIMEVALUE(SUBSTITUTE($I27,"：",":")),""))</f>
        <v/>
      </c>
      <c r="S27">
        <f>IF(ISNUMBER($J27),IF($J27&lt;1,$J27,(INT($J27/100)*60+MOD($J27,100))/1440),IFERROR(TIMEVALUE(SUBSTITUTE($J27,"：",":")),""))</f>
        <v/>
      </c>
      <c r="T27">
        <f>IF(OR($N27="",$O27=""),"",MAX(0,MOD($O27-$N27,1)-MAX(0,MIN($O27,13/24)-MAX($N27,0.5))))</f>
        <v/>
      </c>
      <c r="U27">
        <f>IF($A27="","",IF(ISNUMBER(MATCH($A27,祝日リスト!$A$2:$A$40,0)),"祝",IF(WEEKDAY($A27,2)=6,"土",IF(WEEKDAY($A27,2)=7,"日","平"))))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IF(ISNUMBER($D28),IF($D28&lt;1,$D28,(INT($D28/100)*60+MOD($D28,100))/1440),IFERROR(TIMEVALUE(SUBSTITUTE($D28,"：",":")),""))</f>
        <v/>
      </c>
      <c r="O28" s="35">
        <f>IF(ISNUMBER($F28),IF($F28&lt;1,$F28,(INT($F28/100)*60+MOD($F28,100))/1440),IFERROR(TIMEVALUE(SUBSTITUTE($F28,"：",":")),""))</f>
        <v/>
      </c>
      <c r="P28">
        <f>IF(ISNUMBER($G28),IF($G28&lt;1,$G28,(INT($G28/100)*60+MOD($G28,100))/1440),IFERROR(TIMEVALUE(SUBSTITUTE($G28,"：",":")),""))</f>
        <v/>
      </c>
      <c r="Q28">
        <f>IF(ISNUMBER($H28),IF($H28&lt;1,$H28,(INT($H28/100)*60+MOD($H28,100))/1440),IFERROR(TIMEVALUE(SUBSTITUTE($H28,"：",":")),""))</f>
        <v/>
      </c>
      <c r="R28">
        <f>IF(ISNUMBER($I28),IF($I28&lt;1,$I28,(INT($I28/100)*60+MOD($I28,100))/1440),IFERROR(TIMEVALUE(SUBSTITUTE($I28,"：",":")),""))</f>
        <v/>
      </c>
      <c r="S28">
        <f>IF(ISNUMBER($J28),IF($J28&lt;1,$J28,(INT($J28/100)*60+MOD($J28,100))/1440),IFERROR(TIMEVALUE(SUBSTITUTE($J28,"：",":")),""))</f>
        <v/>
      </c>
      <c r="T28">
        <f>IF(OR($N28="",$O28=""),"",MAX(0,MOD($O28-$N28,1)-MAX(0,MIN($O28,13/24)-MAX($N28,0.5))))</f>
        <v/>
      </c>
      <c r="U28">
        <f>IF($A28="","",IF(ISNUMBER(MATCH($A28,祝日リスト!$A$2:$A$40,0)),"祝",IF(WEEKDAY($A28,2)=6,"土",IF(WEEKDAY($A28,2)=7,"日","平"))))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IF(ISNUMBER($D29),IF($D29&lt;1,$D29,(INT($D29/100)*60+MOD($D29,100))/1440),IFERROR(TIMEVALUE(SUBSTITUTE($D29,"：",":")),""))</f>
        <v/>
      </c>
      <c r="O29" s="35">
        <f>IF(ISNUMBER($F29),IF($F29&lt;1,$F29,(INT($F29/100)*60+MOD($F29,100))/1440),IFERROR(TIMEVALUE(SUBSTITUTE($F29,"：",":")),""))</f>
        <v/>
      </c>
      <c r="P29">
        <f>IF(ISNUMBER($G29),IF($G29&lt;1,$G29,(INT($G29/100)*60+MOD($G29,100))/1440),IFERROR(TIMEVALUE(SUBSTITUTE($G29,"：",":")),""))</f>
        <v/>
      </c>
      <c r="Q29">
        <f>IF(ISNUMBER($H29),IF($H29&lt;1,$H29,(INT($H29/100)*60+MOD($H29,100))/1440),IFERROR(TIMEVALUE(SUBSTITUTE($H29,"：",":")),""))</f>
        <v/>
      </c>
      <c r="R29">
        <f>IF(ISNUMBER($I29),IF($I29&lt;1,$I29,(INT($I29/100)*60+MOD($I29,100))/1440),IFERROR(TIMEVALUE(SUBSTITUTE($I29,"：",":")),""))</f>
        <v/>
      </c>
      <c r="S29">
        <f>IF(ISNUMBER($J29),IF($J29&lt;1,$J29,(INT($J29/100)*60+MOD($J29,100))/1440),IFERROR(TIMEVALUE(SUBSTITUTE($J29,"：",":")),""))</f>
        <v/>
      </c>
      <c r="T29">
        <f>IF(OR($N29="",$O29=""),"",MAX(0,MOD($O29-$N29,1)-MAX(0,MIN($O29,13/24)-MAX($N29,0.5))))</f>
        <v/>
      </c>
      <c r="U29">
        <f>IF($A29="","",IF(ISNUMBER(MATCH($A29,祝日リスト!$A$2:$A$40,0)),"祝",IF(WEEKDAY($A29,2)=6,"土",IF(WEEKDAY($A29,2)=7,"日","平"))))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IF(ISNUMBER($D30),IF($D30&lt;1,$D30,(INT($D30/100)*60+MOD($D30,100))/1440),IFERROR(TIMEVALUE(SUBSTITUTE($D30,"：",":")),""))</f>
        <v/>
      </c>
      <c r="O30" s="35">
        <f>IF(ISNUMBER($F30),IF($F30&lt;1,$F30,(INT($F30/100)*60+MOD($F30,100))/1440),IFERROR(TIMEVALUE(SUBSTITUTE($F30,"：",":")),""))</f>
        <v/>
      </c>
      <c r="P30">
        <f>IF(ISNUMBER($G30),IF($G30&lt;1,$G30,(INT($G30/100)*60+MOD($G30,100))/1440),IFERROR(TIMEVALUE(SUBSTITUTE($G30,"：",":")),""))</f>
        <v/>
      </c>
      <c r="Q30">
        <f>IF(ISNUMBER($H30),IF($H30&lt;1,$H30,(INT($H30/100)*60+MOD($H30,100))/1440),IFERROR(TIMEVALUE(SUBSTITUTE($H30,"：",":")),""))</f>
        <v/>
      </c>
      <c r="R30">
        <f>IF(ISNUMBER($I30),IF($I30&lt;1,$I30,(INT($I30/100)*60+MOD($I30,100))/1440),IFERROR(TIMEVALUE(SUBSTITUTE($I30,"：",":")),""))</f>
        <v/>
      </c>
      <c r="S30">
        <f>IF(ISNUMBER($J30),IF($J30&lt;1,$J30,(INT($J30/100)*60+MOD($J30,100))/1440),IFERROR(TIMEVALUE(SUBSTITUTE($J30,"：",":")),""))</f>
        <v/>
      </c>
      <c r="T30">
        <f>IF(OR($N30="",$O30=""),"",MAX(0,MOD($O30-$N30,1)-MAX(0,MIN($O30,13/24)-MAX($N30,0.5))))</f>
        <v/>
      </c>
      <c r="U30">
        <f>IF($A30="","",IF(ISNUMBER(MATCH($A30,祝日リスト!$A$2:$A$40,0)),"祝",IF(WEEKDAY($A30,2)=6,"土",IF(WEEKDAY($A30,2)=7,"日","平"))))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IF(ISNUMBER($D31),IF($D31&lt;1,$D31,(INT($D31/100)*60+MOD($D31,100))/1440),IFERROR(TIMEVALUE(SUBSTITUTE($D31,"：",":")),""))</f>
        <v/>
      </c>
      <c r="O31" s="35">
        <f>IF(ISNUMBER($F31),IF($F31&lt;1,$F31,(INT($F31/100)*60+MOD($F31,100))/1440),IFERROR(TIMEVALUE(SUBSTITUTE($F31,"：",":")),""))</f>
        <v/>
      </c>
      <c r="P31">
        <f>IF(ISNUMBER($G31),IF($G31&lt;1,$G31,(INT($G31/100)*60+MOD($G31,100))/1440),IFERROR(TIMEVALUE(SUBSTITUTE($G31,"：",":")),""))</f>
        <v/>
      </c>
      <c r="Q31">
        <f>IF(ISNUMBER($H31),IF($H31&lt;1,$H31,(INT($H31/100)*60+MOD($H31,100))/1440),IFERROR(TIMEVALUE(SUBSTITUTE($H31,"：",":")),""))</f>
        <v/>
      </c>
      <c r="R31">
        <f>IF(ISNUMBER($I31),IF($I31&lt;1,$I31,(INT($I31/100)*60+MOD($I31,100))/1440),IFERROR(TIMEVALUE(SUBSTITUTE($I31,"：",":")),""))</f>
        <v/>
      </c>
      <c r="S31">
        <f>IF(ISNUMBER($J31),IF($J31&lt;1,$J31,(INT($J31/100)*60+MOD($J31,100))/1440),IFERROR(TIMEVALUE(SUBSTITUTE($J31,"：",":")),""))</f>
        <v/>
      </c>
      <c r="T31">
        <f>IF(OR($N31="",$O31=""),"",MAX(0,MOD($O31-$N31,1)-MAX(0,MIN($O31,13/24)-MAX($N31,0.5))))</f>
        <v/>
      </c>
      <c r="U31">
        <f>IF($A31="","",IF(ISNUMBER(MATCH($A31,祝日リスト!$A$2:$A$40,0)),"祝",IF(WEEKDAY($A31,2)=6,"土",IF(WEEKDAY($A31,2)=7,"日","平"))))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IF(ISNUMBER($D32),IF($D32&lt;1,$D32,(INT($D32/100)*60+MOD($D32,100))/1440),IFERROR(TIMEVALUE(SUBSTITUTE($D32,"：",":")),""))</f>
        <v/>
      </c>
      <c r="O32" s="35">
        <f>IF(ISNUMBER($F32),IF($F32&lt;1,$F32,(INT($F32/100)*60+MOD($F32,100))/1440),IFERROR(TIMEVALUE(SUBSTITUTE($F32,"：",":")),""))</f>
        <v/>
      </c>
      <c r="P32">
        <f>IF(ISNUMBER($G32),IF($G32&lt;1,$G32,(INT($G32/100)*60+MOD($G32,100))/1440),IFERROR(TIMEVALUE(SUBSTITUTE($G32,"：",":")),""))</f>
        <v/>
      </c>
      <c r="Q32">
        <f>IF(ISNUMBER($H32),IF($H32&lt;1,$H32,(INT($H32/100)*60+MOD($H32,100))/1440),IFERROR(TIMEVALUE(SUBSTITUTE($H32,"：",":")),""))</f>
        <v/>
      </c>
      <c r="R32">
        <f>IF(ISNUMBER($I32),IF($I32&lt;1,$I32,(INT($I32/100)*60+MOD($I32,100))/1440),IFERROR(TIMEVALUE(SUBSTITUTE($I32,"：",":")),""))</f>
        <v/>
      </c>
      <c r="S32">
        <f>IF(ISNUMBER($J32),IF($J32&lt;1,$J32,(INT($J32/100)*60+MOD($J32,100))/1440),IFERROR(TIMEVALUE(SUBSTITUTE($J32,"：",":")),""))</f>
        <v/>
      </c>
      <c r="T32">
        <f>IF(OR($N32="",$O32=""),"",MAX(0,MOD($O32-$N32,1)-MAX(0,MIN($O32,13/24)-MAX($N32,0.5))))</f>
        <v/>
      </c>
      <c r="U32">
        <f>IF($A32="","",IF(ISNUMBER(MATCH($A32,祝日リスト!$A$2:$A$40,0)),"祝",IF(WEEKDAY($A32,2)=6,"土",IF(WEEKDAY($A32,2)=7,"日","平"))))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IF(ISNUMBER($D33),IF($D33&lt;1,$D33,(INT($D33/100)*60+MOD($D33,100))/1440),IFERROR(TIMEVALUE(SUBSTITUTE($D33,"：",":")),""))</f>
        <v/>
      </c>
      <c r="O33" s="35">
        <f>IF(ISNUMBER($F33),IF($F33&lt;1,$F33,(INT($F33/100)*60+MOD($F33,100))/1440),IFERROR(TIMEVALUE(SUBSTITUTE($F33,"：",":")),""))</f>
        <v/>
      </c>
      <c r="P33">
        <f>IF(ISNUMBER($G33),IF($G33&lt;1,$G33,(INT($G33/100)*60+MOD($G33,100))/1440),IFERROR(TIMEVALUE(SUBSTITUTE($G33,"：",":")),""))</f>
        <v/>
      </c>
      <c r="Q33">
        <f>IF(ISNUMBER($H33),IF($H33&lt;1,$H33,(INT($H33/100)*60+MOD($H33,100))/1440),IFERROR(TIMEVALUE(SUBSTITUTE($H33,"：",":")),""))</f>
        <v/>
      </c>
      <c r="R33">
        <f>IF(ISNUMBER($I33),IF($I33&lt;1,$I33,(INT($I33/100)*60+MOD($I33,100))/1440),IFERROR(TIMEVALUE(SUBSTITUTE($I33,"：",":")),""))</f>
        <v/>
      </c>
      <c r="S33">
        <f>IF(ISNUMBER($J33),IF($J33&lt;1,$J33,(INT($J33/100)*60+MOD($J33,100))/1440),IFERROR(TIMEVALUE(SUBSTITUTE($J33,"：",":")),""))</f>
        <v/>
      </c>
      <c r="T33">
        <f>IF(OR($N33="",$O33=""),"",MAX(0,MOD($O33-$N33,1)-MAX(0,MIN($O33,13/24)-MAX($N33,0.5))))</f>
        <v/>
      </c>
      <c r="U33">
        <f>IF($A33="","",IF(ISNUMBER(MATCH($A33,祝日リスト!$A$2:$A$40,0)),"祝",IF(WEEKDAY($A33,2)=6,"土",IF(WEEKDAY($A33,2)=7,"日","平"))))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IF(ISNUMBER($D34),IF($D34&lt;1,$D34,(INT($D34/100)*60+MOD($D34,100))/1440),IFERROR(TIMEVALUE(SUBSTITUTE($D34,"：",":")),""))</f>
        <v/>
      </c>
      <c r="O34" s="35">
        <f>IF(ISNUMBER($F34),IF($F34&lt;1,$F34,(INT($F34/100)*60+MOD($F34,100))/1440),IFERROR(TIMEVALUE(SUBSTITUTE($F34,"：",":")),""))</f>
        <v/>
      </c>
      <c r="P34">
        <f>IF(ISNUMBER($G34),IF($G34&lt;1,$G34,(INT($G34/100)*60+MOD($G34,100))/1440),IFERROR(TIMEVALUE(SUBSTITUTE($G34,"：",":")),""))</f>
        <v/>
      </c>
      <c r="Q34">
        <f>IF(ISNUMBER($H34),IF($H34&lt;1,$H34,(INT($H34/100)*60+MOD($H34,100))/1440),IFERROR(TIMEVALUE(SUBSTITUTE($H34,"：",":")),""))</f>
        <v/>
      </c>
      <c r="R34">
        <f>IF(ISNUMBER($I34),IF($I34&lt;1,$I34,(INT($I34/100)*60+MOD($I34,100))/1440),IFERROR(TIMEVALUE(SUBSTITUTE($I34,"：",":")),""))</f>
        <v/>
      </c>
      <c r="S34">
        <f>IF(ISNUMBER($J34),IF($J34&lt;1,$J34,(INT($J34/100)*60+MOD($J34,100))/1440),IFERROR(TIMEVALUE(SUBSTITUTE($J34,"：",":")),""))</f>
        <v/>
      </c>
      <c r="T34">
        <f>IF(OR($N34="",$O34=""),"",MAX(0,MOD($O34-$N34,1)-MAX(0,MIN($O34,13/24)-MAX($N34,0.5))))</f>
        <v/>
      </c>
      <c r="U34">
        <f>IF($A34="","",IF(ISNUMBER(MATCH($A34,祝日リスト!$A$2:$A$40,0)),"祝",IF(WEEKDAY($A34,2)=6,"土",IF(WEEKDAY($A34,2)=7,"日","平"))))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IF(ISNUMBER($D35),IF($D35&lt;1,$D35,(INT($D35/100)*60+MOD($D35,100))/1440),IFERROR(TIMEVALUE(SUBSTITUTE($D35,"：",":")),""))</f>
        <v/>
      </c>
      <c r="O35" s="35">
        <f>IF(ISNUMBER($F35),IF($F35&lt;1,$F35,(INT($F35/100)*60+MOD($F35,100))/1440),IFERROR(TIMEVALUE(SUBSTITUTE($F35,"：",":")),""))</f>
        <v/>
      </c>
      <c r="P35">
        <f>IF(ISNUMBER($G35),IF($G35&lt;1,$G35,(INT($G35/100)*60+MOD($G35,100))/1440),IFERROR(TIMEVALUE(SUBSTITUTE($G35,"：",":")),""))</f>
        <v/>
      </c>
      <c r="Q35">
        <f>IF(ISNUMBER($H35),IF($H35&lt;1,$H35,(INT($H35/100)*60+MOD($H35,100))/1440),IFERROR(TIMEVALUE(SUBSTITUTE($H35,"：",":")),""))</f>
        <v/>
      </c>
      <c r="R35">
        <f>IF(ISNUMBER($I35),IF($I35&lt;1,$I35,(INT($I35/100)*60+MOD($I35,100))/1440),IFERROR(TIMEVALUE(SUBSTITUTE($I35,"：",":")),""))</f>
        <v/>
      </c>
      <c r="S35">
        <f>IF(ISNUMBER($J35),IF($J35&lt;1,$J35,(INT($J35/100)*60+MOD($J35,100))/1440),IFERROR(TIMEVALUE(SUBSTITUTE($J35,"：",":")),""))</f>
        <v/>
      </c>
      <c r="T35">
        <f>IF(OR($N35="",$O35=""),"",MAX(0,MOD($O35-$N35,1)-MAX(0,MIN($O35,13/24)-MAX($N35,0.5))))</f>
        <v/>
      </c>
      <c r="U35">
        <f>IF($A35="","",IF(ISNUMBER(MATCH($A35,祝日リスト!$A$2:$A$40,0)),"祝",IF(WEEKDAY($A35,2)=6,"土",IF(WEEKDAY($A35,2)=7,"日","平"))))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IF(ISNUMBER($D36),IF($D36&lt;1,$D36,(INT($D36/100)*60+MOD($D36,100))/1440),IFERROR(TIMEVALUE(SUBSTITUTE($D36,"：",":")),""))</f>
        <v/>
      </c>
      <c r="O36" s="35">
        <f>IF(ISNUMBER($F36),IF($F36&lt;1,$F36,(INT($F36/100)*60+MOD($F36,100))/1440),IFERROR(TIMEVALUE(SUBSTITUTE($F36,"：",":")),""))</f>
        <v/>
      </c>
      <c r="P36">
        <f>IF(ISNUMBER($G36),IF($G36&lt;1,$G36,(INT($G36/100)*60+MOD($G36,100))/1440),IFERROR(TIMEVALUE(SUBSTITUTE($G36,"：",":")),""))</f>
        <v/>
      </c>
      <c r="Q36">
        <f>IF(ISNUMBER($H36),IF($H36&lt;1,$H36,(INT($H36/100)*60+MOD($H36,100))/1440),IFERROR(TIMEVALUE(SUBSTITUTE($H36,"：",":")),""))</f>
        <v/>
      </c>
      <c r="R36">
        <f>IF(ISNUMBER($I36),IF($I36&lt;1,$I36,(INT($I36/100)*60+MOD($I36,100))/1440),IFERROR(TIMEVALUE(SUBSTITUTE($I36,"：",":")),""))</f>
        <v/>
      </c>
      <c r="S36">
        <f>IF(ISNUMBER($J36),IF($J36&lt;1,$J36,(INT($J36/100)*60+MOD($J36,100))/1440),IFERROR(TIMEVALUE(SUBSTITUTE($J36,"：",":")),""))</f>
        <v/>
      </c>
      <c r="T36">
        <f>IF(OR($N36="",$O36=""),"",MAX(0,MOD($O36-$N36,1)-MAX(0,MIN($O36,13/24)-MAX($N36,0.5))))</f>
        <v/>
      </c>
      <c r="U36">
        <f>IF($A36="","",IF(ISNUMBER(MATCH($A36,祝日リスト!$A$2:$A$40,0)),"祝",IF(WEEKDAY($A36,2)=6,"土",IF(WEEKDAY($A36,2)=7,"日","平"))))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IF(ISNUMBER($D37),IF($D37&lt;1,$D37,(INT($D37/100)*60+MOD($D37,100))/1440),IFERROR(TIMEVALUE(SUBSTITUTE($D37,"：",":")),""))</f>
        <v/>
      </c>
      <c r="O37">
        <f>IF(ISNUMBER($F37),IF($F37&lt;1,$F37,(INT($F37/100)*60+MOD($F37,100))/1440),IFERROR(TIMEVALUE(SUBSTITUTE($F37,"：",":")),""))</f>
        <v/>
      </c>
      <c r="P37">
        <f>IF(ISNUMBER($G37),IF($G37&lt;1,$G37,(INT($G37/100)*60+MOD($G37,100))/1440),IFERROR(TIMEVALUE(SUBSTITUTE($G37,"：",":")),""))</f>
        <v/>
      </c>
      <c r="Q37">
        <f>IF(ISNUMBER($H37),IF($H37&lt;1,$H37,(INT($H37/100)*60+MOD($H37,100))/1440),IFERROR(TIMEVALUE(SUBSTITUTE($H37,"：",":")),""))</f>
        <v/>
      </c>
      <c r="R37">
        <f>IF(ISNUMBER($I37),IF($I37&lt;1,$I37,(INT($I37/100)*60+MOD($I37,100))/1440),IFERROR(TIMEVALUE(SUBSTITUTE($I37,"：",":")),""))</f>
        <v/>
      </c>
      <c r="S37">
        <f>IF(ISNUMBER($J37),IF($J37&lt;1,$J37,(INT($J37/100)*60+MOD($J37,100))/1440),IFERROR(TIMEVALUE(SUBSTITUTE($J37,"：",":")),""))</f>
        <v/>
      </c>
      <c r="T37">
        <f>IF(OR($N37="",$O37=""),"",MAX(0,MOD($O37-$N37,1)-MAX(0,MIN($O37,13/24)-MAX($N37,0.5))))</f>
        <v/>
      </c>
      <c r="U37">
        <f>IF($A37="","",IF(ISNUMBER(MATCH($A37,祝日リスト!$A$2:$A$40,0)),"祝",IF(WEEKDAY($A37,2)=6,"土",IF(WEEKDAY($A37,2)=7,"日","平"))))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AND($A7&lt;&gt;"",OR(WEEKDAY($A7,2)=6,WEEKDAY($A7,2)=7,WEEKDAY($A7,2)=3,ISNUMBER(MATCH($A7,祝日リスト!$A$2:$A$40,0))))</formula>
    </cfRule>
  </conditionalFormatting>
  <dataValidations count="1">
    <dataValidation sqref="D7:D37 F7:F37 G7:G37 H7:H37 I7:I37 J7:J37" showDropDown="0" showInputMessage="0" showErrorMessage="1" allowBlank="1" errorTitle="時刻の入力" error="9:30 のように、コロン付きで入力してください（全角の 9：00 でも可）。" type="custom">
      <formula1>=OR(AND(ISNUMBER(D7),D7&gt;=0,D7&lt;1),IFERROR(ISNUMBER(TIMEVALUE(SUBSTITUTE(D7,"：",":"))),FALSE))</formula1>
    </dataValidation>
  </dataValidations>
  <pageMargins left="0.25" right="0.25" top="0.75" bottom="0.75" header="0" footer="0"/>
  <pageSetup orientation="portrait" paperSize="9" scale="96" fitToWidth="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C20" sqref="C20"/>
    </sheetView>
  </sheetViews>
  <sheetFormatPr baseColWidth="8" defaultRowHeight="12.95"/>
  <cols>
    <col width="16" customWidth="1" style="52" min="1" max="1"/>
    <col width="6" customWidth="1" style="51" min="2" max="2"/>
    <col width="15.85546875" customWidth="1" min="3" max="3"/>
    <col width="27.7109375" customWidth="1" min="4" max="4"/>
  </cols>
  <sheetData>
    <row r="1">
      <c r="A1" s="96" t="inlineStr">
        <is>
          <t>日付</t>
        </is>
      </c>
      <c r="B1" s="50" t="inlineStr">
        <is>
          <t>曜日</t>
        </is>
      </c>
      <c r="C1" s="53" t="inlineStr">
        <is>
          <t>名称</t>
        </is>
      </c>
      <c r="D1" s="53" t="inlineStr">
        <is>
          <t>備考</t>
        </is>
      </c>
    </row>
    <row r="2">
      <c r="A2" s="97" t="n">
        <v>46023</v>
      </c>
      <c r="B2" s="51">
        <f>IF(A2="","","（"&amp;CHOOSE(WEEKDAY(A2,2),"月","火","水","木","金","土","日")&amp;"）")</f>
        <v/>
      </c>
      <c r="C2" t="inlineStr">
        <is>
          <t>元日</t>
        </is>
      </c>
    </row>
    <row r="3">
      <c r="A3" s="97" t="n">
        <v>46034</v>
      </c>
      <c r="B3" s="51">
        <f>IF(A3="","","（"&amp;CHOOSE(WEEKDAY(A3,2),"月","火","水","木","金","土","日")&amp;"）")</f>
        <v/>
      </c>
      <c r="C3" t="inlineStr">
        <is>
          <t>成人の日</t>
        </is>
      </c>
    </row>
    <row r="4">
      <c r="A4" s="97" t="n">
        <v>46064</v>
      </c>
      <c r="B4" s="51">
        <f>IF(A4="","","（"&amp;CHOOSE(WEEKDAY(A4,2),"月","火","水","木","金","土","日")&amp;"）")</f>
        <v/>
      </c>
      <c r="C4" t="inlineStr">
        <is>
          <t>建国記念の日</t>
        </is>
      </c>
    </row>
    <row r="5">
      <c r="A5" s="97" t="n">
        <v>46076</v>
      </c>
      <c r="B5" s="51">
        <f>IF(A5="","","（"&amp;CHOOSE(WEEKDAY(A5,2),"月","火","水","木","金","土","日")&amp;"）")</f>
        <v/>
      </c>
      <c r="C5" t="inlineStr">
        <is>
          <t>天皇誕生日</t>
        </is>
      </c>
    </row>
    <row r="6">
      <c r="A6" s="97" t="n">
        <v>46101</v>
      </c>
      <c r="B6" s="51">
        <f>IF(A6="","","（"&amp;CHOOSE(WEEKDAY(A6,2),"月","火","水","木","金","土","日")&amp;"）")</f>
        <v/>
      </c>
      <c r="C6" t="inlineStr">
        <is>
          <t>春分の日</t>
        </is>
      </c>
    </row>
    <row r="7">
      <c r="A7" s="97" t="n">
        <v>46141</v>
      </c>
      <c r="B7" s="51">
        <f>IF(A7="","","（"&amp;CHOOSE(WEEKDAY(A7,2),"月","火","水","木","金","土","日")&amp;"）")</f>
        <v/>
      </c>
      <c r="C7" t="inlineStr">
        <is>
          <t>昭和の日</t>
        </is>
      </c>
    </row>
    <row r="8">
      <c r="A8" s="97" t="n">
        <v>46145</v>
      </c>
      <c r="B8" s="51">
        <f>IF(A8="","","（"&amp;CHOOSE(WEEKDAY(A8,2),"月","火","水","木","金","土","日")&amp;"）")</f>
        <v/>
      </c>
      <c r="C8" t="inlineStr">
        <is>
          <t>憲法記念日</t>
        </is>
      </c>
    </row>
    <row r="9">
      <c r="A9" s="97" t="n">
        <v>46146</v>
      </c>
      <c r="B9" s="51">
        <f>IF(A9="","","（"&amp;CHOOSE(WEEKDAY(A9,2),"月","火","水","木","金","土","日")&amp;"）")</f>
        <v/>
      </c>
      <c r="C9" t="inlineStr">
        <is>
          <t>みどりの日</t>
        </is>
      </c>
    </row>
    <row r="10">
      <c r="A10" s="97" t="n">
        <v>46147</v>
      </c>
      <c r="B10" s="51">
        <f>IF(A10="","","（"&amp;CHOOSE(WEEKDAY(A10,2),"月","火","水","木","金","土","日")&amp;"）")</f>
        <v/>
      </c>
      <c r="C10" t="inlineStr">
        <is>
          <t>こどもの日</t>
        </is>
      </c>
    </row>
    <row r="11">
      <c r="A11" s="97" t="n">
        <v>46148</v>
      </c>
      <c r="B11" s="51">
        <f>IF(A11="","","（"&amp;CHOOSE(WEEKDAY(A11,2),"月","火","水","木","金","土","日")&amp;"）")</f>
        <v/>
      </c>
      <c r="C11" t="inlineStr">
        <is>
          <t>休日</t>
        </is>
      </c>
      <c r="D11" t="inlineStr">
        <is>
          <t>祝日法第3条第2項による休日</t>
        </is>
      </c>
    </row>
    <row r="12">
      <c r="A12" s="97" t="n">
        <v>46223</v>
      </c>
      <c r="B12" s="51">
        <f>IF(A12="","","（"&amp;CHOOSE(WEEKDAY(A12,2),"月","火","水","木","金","土","日")&amp;"）")</f>
        <v/>
      </c>
      <c r="C12" t="inlineStr">
        <is>
          <t>海の日</t>
        </is>
      </c>
    </row>
    <row r="13">
      <c r="A13" s="97" t="n">
        <v>46245</v>
      </c>
      <c r="B13" s="51">
        <f>IF(A13="","","（"&amp;CHOOSE(WEEKDAY(A13,2),"月","火","水","木","金","土","日")&amp;"）")</f>
        <v/>
      </c>
      <c r="C13" t="inlineStr">
        <is>
          <t>山の日</t>
        </is>
      </c>
    </row>
    <row r="14">
      <c r="A14" s="97" t="n">
        <v>46286</v>
      </c>
      <c r="B14" s="51">
        <f>IF(A14="","","（"&amp;CHOOSE(WEEKDAY(A14,2),"月","火","水","木","金","土","日")&amp;"）")</f>
        <v/>
      </c>
      <c r="C14" t="inlineStr">
        <is>
          <t>敬老の日</t>
        </is>
      </c>
    </row>
    <row r="15">
      <c r="A15" s="97" t="n">
        <v>46287</v>
      </c>
      <c r="B15" s="51">
        <f>IF(A15="","","（"&amp;CHOOSE(WEEKDAY(A15,2),"月","火","水","木","金","土","日")&amp;"）")</f>
        <v/>
      </c>
      <c r="C15" t="inlineStr">
        <is>
          <t>国民の休日</t>
        </is>
      </c>
      <c r="D15" t="inlineStr">
        <is>
          <t>祝日法第3条第3項による休日</t>
        </is>
      </c>
    </row>
    <row r="16">
      <c r="A16" s="97" t="n">
        <v>46288</v>
      </c>
      <c r="B16" s="51">
        <f>IF(A16="","","（"&amp;CHOOSE(WEEKDAY(A16,2),"月","火","水","木","金","土","日")&amp;"）")</f>
        <v/>
      </c>
      <c r="C16" t="inlineStr">
        <is>
          <t>秋分の日</t>
        </is>
      </c>
    </row>
    <row r="17">
      <c r="A17" s="97" t="n">
        <v>46307</v>
      </c>
      <c r="B17" s="51">
        <f>IF(A17="","","（"&amp;CHOOSE(WEEKDAY(A17,2),"月","火","水","木","金","土","日")&amp;"）")</f>
        <v/>
      </c>
      <c r="C17" t="inlineStr">
        <is>
          <t>スポーツの日</t>
        </is>
      </c>
    </row>
    <row r="18">
      <c r="A18" s="97" t="n">
        <v>46329</v>
      </c>
      <c r="B18" s="51">
        <f>IF(A18="","","（"&amp;CHOOSE(WEEKDAY(A18,2),"月","火","水","木","金","土","日")&amp;"）")</f>
        <v/>
      </c>
      <c r="C18" t="inlineStr">
        <is>
          <t>文化の日</t>
        </is>
      </c>
    </row>
    <row r="19">
      <c r="A19" s="97" t="n">
        <v>46349</v>
      </c>
      <c r="B19" s="51">
        <f>IF(A19="","","（"&amp;CHOOSE(WEEKDAY(A19,2),"月","火","水","木","金","土","日")&amp;"）")</f>
        <v/>
      </c>
      <c r="C19" t="inlineStr">
        <is>
          <t>勤労感謝の日</t>
        </is>
      </c>
    </row>
    <row r="20">
      <c r="A20" s="97" t="n"/>
      <c r="B20" s="51" t="n"/>
    </row>
    <row r="21">
      <c r="A21" s="98" t="n"/>
      <c r="C21" s="41" t="n"/>
    </row>
    <row r="22">
      <c r="A22" s="98" t="n"/>
    </row>
    <row r="23"/>
    <row r="24">
      <c r="A24" s="99" t="n"/>
    </row>
    <row r="25">
      <c r="A25" s="55" t="n"/>
    </row>
  </sheetData>
  <pageMargins left="0.7" right="0.7" top="0.75" bottom="0.75" header="0.3" footer="0.3"/>
  <pageSetup orientation="portrait" paperSize="9" horizontalDpi="4294967293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YUYA</dc:creator>
  <dcterms:created xsi:type="dcterms:W3CDTF">2021-04-12T05:19:14Z</dcterms:created>
  <dcterms:modified xsi:type="dcterms:W3CDTF">2026-08-04T07:07:29Z</dcterms:modified>
  <cp:lastModifiedBy>盛田 裕一</cp:lastModifiedBy>
</cp:coreProperties>
</file>