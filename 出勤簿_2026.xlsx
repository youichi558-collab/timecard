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設定" sheetId="1" state="visible" r:id="rId1"/>
    <sheet name="1月" sheetId="2" state="visible" r:id="rId2"/>
    <sheet name="2月" sheetId="3" state="visible" r:id="rId3"/>
    <sheet name="3月" sheetId="4" state="visible" r:id="rId4"/>
    <sheet name="4月" sheetId="5" state="visible" r:id="rId5"/>
    <sheet name="5月" sheetId="6" state="visible" r:id="rId6"/>
    <sheet name="6月" sheetId="7" state="visible" r:id="rId7"/>
    <sheet name="7月" sheetId="8" state="visible" r:id="rId8"/>
    <sheet name="8月" sheetId="9" state="visible" r:id="rId9"/>
    <sheet name="9月" sheetId="10" state="visible" r:id="rId10"/>
    <sheet name="10月" sheetId="11" state="visible" r:id="rId11"/>
    <sheet name="11月" sheetId="12" state="visible" r:id="rId12"/>
    <sheet name="12月" sheetId="13" state="visible" r:id="rId13"/>
    <sheet name="年間集計" sheetId="14" state="visible" r:id="rId14"/>
    <sheet name="祝日リスト" sheetId="15" state="visible" r:id="rId15"/>
  </sheets>
  <definedNames>
    <definedName name="_xlnm.Print_Titles" localSheetId="1">'1月'!$1:$7</definedName>
    <definedName name="_xlnm.Print_Area" localSheetId="1">'1月'!$A$1:$L$50</definedName>
    <definedName name="_xlnm.Print_Titles" localSheetId="2">'2月'!$1:$7</definedName>
    <definedName name="_xlnm.Print_Area" localSheetId="2">'2月'!$A$1:$L$50</definedName>
    <definedName name="_xlnm.Print_Titles" localSheetId="3">'3月'!$1:$7</definedName>
    <definedName name="_xlnm.Print_Area" localSheetId="3">'3月'!$A$1:$L$50</definedName>
    <definedName name="_xlnm.Print_Titles" localSheetId="4">'4月'!$1:$7</definedName>
    <definedName name="_xlnm.Print_Area" localSheetId="4">'4月'!$A$1:$L$50</definedName>
    <definedName name="_xlnm.Print_Titles" localSheetId="5">'5月'!$1:$7</definedName>
    <definedName name="_xlnm.Print_Area" localSheetId="5">'5月'!$A$1:$L$50</definedName>
    <definedName name="_xlnm.Print_Titles" localSheetId="6">'6月'!$1:$7</definedName>
    <definedName name="_xlnm.Print_Area" localSheetId="6">'6月'!$A$1:$L$50</definedName>
    <definedName name="_xlnm.Print_Titles" localSheetId="7">'7月'!$1:$7</definedName>
    <definedName name="_xlnm.Print_Area" localSheetId="7">'7月'!$A$1:$L$50</definedName>
    <definedName name="_xlnm.Print_Titles" localSheetId="8">'8月'!$1:$7</definedName>
    <definedName name="_xlnm.Print_Area" localSheetId="8">'8月'!$A$1:$L$50</definedName>
    <definedName name="_xlnm.Print_Titles" localSheetId="9">'9月'!$1:$7</definedName>
    <definedName name="_xlnm.Print_Area" localSheetId="9">'9月'!$A$1:$L$50</definedName>
    <definedName name="_xlnm.Print_Titles" localSheetId="10">'10月'!$1:$7</definedName>
    <definedName name="_xlnm.Print_Area" localSheetId="10">'10月'!$A$1:$L$50</definedName>
    <definedName name="_xlnm.Print_Titles" localSheetId="11">'11月'!$1:$7</definedName>
    <definedName name="_xlnm.Print_Area" localSheetId="11">'11月'!$A$1:$L$50</definedName>
    <definedName name="_xlnm.Print_Titles" localSheetId="12">'12月'!$1:$7</definedName>
    <definedName name="_xlnm.Print_Area" localSheetId="12">'12月'!$A$1:$L$50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0&quot;:&quot;00"/>
    <numFmt numFmtId="165" formatCode="d"/>
    <numFmt numFmtId="166" formatCode="[h]:mm"/>
    <numFmt numFmtId="167" formatCode="yyyy-mm-dd"/>
    <numFmt numFmtId="168" formatCode="yyyy/m/d"/>
  </numFmts>
  <fonts count="16">
    <font>
      <name val="Calibri"/>
      <family val="2"/>
      <color theme="1"/>
      <sz val="11"/>
      <scheme val="minor"/>
    </font>
    <font>
      <name val="Meiryo UI"/>
      <b val="1"/>
      <color rgb="FF1F3864"/>
      <sz val="14"/>
    </font>
    <font>
      <name val="Meiryo UI"/>
      <b val="1"/>
      <sz val="11"/>
    </font>
    <font>
      <name val="Meiryo UI"/>
      <sz val="11"/>
    </font>
    <font>
      <name val="Meiryo UI"/>
      <color rgb="FF666666"/>
      <sz val="9"/>
    </font>
    <font>
      <name val="Meiryo UI"/>
      <b val="1"/>
      <color rgb="FF1F3864"/>
      <sz val="12"/>
    </font>
    <font>
      <name val="Meiryo UI"/>
      <sz val="10"/>
    </font>
    <font>
      <name val="Meiryo UI"/>
      <b val="1"/>
      <color rgb="FF1F3864"/>
      <sz val="16"/>
    </font>
    <font>
      <name val="Meiryo UI"/>
      <color rgb="FF666666"/>
      <sz val="10"/>
    </font>
    <font>
      <name val="Meiryo UI"/>
      <b val="1"/>
      <sz val="12"/>
    </font>
    <font>
      <name val="Meiryo UI"/>
      <color rgb="FF888888"/>
      <sz val="9"/>
    </font>
    <font>
      <name val="Meiryo UI"/>
      <b val="1"/>
      <color rgb="FFFFFFFF"/>
      <sz val="10"/>
    </font>
    <font>
      <name val="Meiryo UI"/>
      <color rgb="FFC00000"/>
      <sz val="9"/>
    </font>
    <font>
      <name val="Meiryo UI"/>
      <b val="1"/>
      <sz val="10"/>
    </font>
    <font>
      <name val="Meiryo UI"/>
      <color rgb="FF888888"/>
      <sz val="8"/>
    </font>
    <font>
      <name val="Meiryo UI"/>
      <b val="1"/>
      <color rgb="FFFFFFFF"/>
      <sz val="11"/>
    </font>
  </fonts>
  <fills count="7">
    <fill>
      <patternFill/>
    </fill>
    <fill>
      <patternFill patternType="gray125"/>
    </fill>
    <fill>
      <patternFill patternType="solid">
        <fgColor rgb="FFDCE6F1"/>
      </patternFill>
    </fill>
    <fill>
      <patternFill patternType="solid">
        <fgColor rgb="FFFFFBE6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7F9FC"/>
      </patternFill>
    </fill>
  </fills>
  <borders count="9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bottom style="thin"/>
    </border>
    <border>
      <left style="thin">
        <color rgb="FFB0B0B0"/>
      </left>
      <right style="thin">
        <color rgb="FFB0B0B0"/>
      </right>
      <top style="medium">
        <color rgb="FF1F3864"/>
      </top>
      <bottom style="medium">
        <color rgb="FF1F3864"/>
      </bottom>
    </border>
    <border>
      <left style="medium">
        <color rgb="FF1F3864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>
        <color rgb="FFB0B0B0"/>
      </left>
      <right style="medium">
        <color rgb="FF1F3864"/>
      </right>
      <top style="thin">
        <color rgb="FFB0B0B0"/>
      </top>
      <bottom style="thin">
        <color rgb="FFB0B0B0"/>
      </bottom>
    </border>
    <border>
      <left style="medium">
        <color rgb="FF1F3864"/>
      </left>
      <right style="thin">
        <color rgb="FFB0B0B0"/>
      </right>
      <top style="thin">
        <color rgb="FFB0B0B0"/>
      </top>
      <bottom style="medium">
        <color rgb="FF1F3864"/>
      </bottom>
    </border>
    <border>
      <left style="thin">
        <color rgb="FFB0B0B0"/>
      </left>
      <right style="thin">
        <color rgb="FFB0B0B0"/>
      </right>
      <top style="thin">
        <color rgb="FFB0B0B0"/>
      </top>
      <bottom style="medium">
        <color rgb="FF1F3864"/>
      </bottom>
    </border>
    <border>
      <left style="thin">
        <color rgb="FFB0B0B0"/>
      </left>
      <right style="medium">
        <color rgb="FF1F3864"/>
      </right>
      <top style="thin">
        <color rgb="FFB0B0B0"/>
      </top>
      <bottom style="medium">
        <color rgb="FF1F3864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3" borderId="1" applyAlignment="1" pivotButton="0" quotePrefix="0" xfId="0">
      <alignment horizontal="center"/>
    </xf>
    <xf numFmtId="0" fontId="4" fillId="0" borderId="0" pivotButton="0" quotePrefix="0" xfId="0"/>
    <xf numFmtId="164" fontId="3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right"/>
    </xf>
    <xf numFmtId="0" fontId="9" fillId="0" borderId="2" applyAlignment="1" pivotButton="0" quotePrefix="0" xfId="0">
      <alignment horizontal="center"/>
    </xf>
    <xf numFmtId="0" fontId="10" fillId="0" borderId="0" pivotButton="0" quotePrefix="0" xfId="0"/>
    <xf numFmtId="0" fontId="11" fillId="4" borderId="3" applyAlignment="1" pivotButton="0" quotePrefix="0" xfId="0">
      <alignment horizontal="center" vertical="center" wrapText="1"/>
    </xf>
    <xf numFmtId="165" fontId="3" fillId="5" borderId="4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left" vertical="center"/>
    </xf>
    <xf numFmtId="0" fontId="3" fillId="3" borderId="5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165" fontId="3" fillId="5" borderId="6" applyAlignment="1" pivotButton="0" quotePrefix="0" xfId="0">
      <alignment horizontal="center" vertical="center"/>
    </xf>
    <xf numFmtId="0" fontId="3" fillId="5" borderId="7" applyAlignment="1" pivotButton="0" quotePrefix="0" xfId="0">
      <alignment horizontal="center" vertical="center"/>
    </xf>
    <xf numFmtId="164" fontId="3" fillId="3" borderId="7" applyAlignment="1" pivotButton="0" quotePrefix="0" xfId="0">
      <alignment horizontal="center" vertical="center"/>
    </xf>
    <xf numFmtId="166" fontId="3" fillId="5" borderId="7" applyAlignment="1" pivotButton="0" quotePrefix="0" xfId="0">
      <alignment horizontal="center" vertical="center"/>
    </xf>
    <xf numFmtId="0" fontId="12" fillId="5" borderId="7" applyAlignment="1" pivotButton="0" quotePrefix="0" xfId="0">
      <alignment horizontal="left" vertical="center"/>
    </xf>
    <xf numFmtId="0" fontId="3" fillId="3" borderId="8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13" fillId="6" borderId="1" applyAlignment="1" pivotButton="0" quotePrefix="0" xfId="0">
      <alignment horizontal="left" vertical="center"/>
    </xf>
    <xf numFmtId="1" fontId="2" fillId="5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6" fontId="2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/>
    </xf>
    <xf numFmtId="0" fontId="7" fillId="0" borderId="0" pivotButton="0" quotePrefix="0" xfId="0"/>
    <xf numFmtId="0" fontId="11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" fontId="2" fillId="2" borderId="3" applyAlignment="1" pivotButton="0" quotePrefix="0" xfId="0">
      <alignment horizontal="center" vertical="center"/>
    </xf>
    <xf numFmtId="166" fontId="2" fillId="2" borderId="3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</cellXfs>
  <cellStyles count="1">
    <cellStyle name="Normal" xfId="0" builtinId="0" hidden="0"/>
  </cellStyles>
  <dxfs count="4">
    <dxf>
      <fill>
        <patternFill patternType="solid">
          <fgColor rgb="FFEDEDED"/>
          <bgColor rgb="FFEDEDED"/>
        </patternFill>
      </fill>
    </dxf>
    <dxf>
      <fill>
        <patternFill patternType="solid">
          <fgColor rgb="FFFDE6E6"/>
          <bgColor rgb="FFFDE6E6"/>
        </patternFill>
      </fill>
    </dxf>
    <dxf>
      <fill>
        <patternFill patternType="solid">
          <fgColor rgb="FFE3EFFB"/>
          <bgColor rgb="FFE3EFFB"/>
        </patternFill>
      </fill>
    </dxf>
    <dxf>
      <font>
        <name val="Meiryo UI"/>
        <color rgb="FF9C0006"/>
        <sz val="11"/>
      </font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52" customWidth="1" min="3" max="3"/>
    <col hidden="1" width="13" customWidth="1" min="5" max="5"/>
  </cols>
  <sheetData>
    <row r="1">
      <c r="A1" s="1" t="inlineStr">
        <is>
          <t>出勤簿 共通設定</t>
        </is>
      </c>
    </row>
    <row r="3">
      <c r="A3" s="2" t="inlineStr">
        <is>
          <t>年</t>
        </is>
      </c>
      <c r="B3" s="3" t="n">
        <v>2026</v>
      </c>
      <c r="C3" s="4" t="inlineStr">
        <is>
          <t>この年を全シートの日付・祝日判定に使います</t>
        </is>
      </c>
    </row>
    <row r="4">
      <c r="A4" s="2" t="inlineStr">
        <is>
          <t>氏名</t>
        </is>
      </c>
      <c r="B4" s="3" t="inlineStr">
        <is>
          <t>盛田　裕一</t>
        </is>
      </c>
      <c r="C4" s="4" t="inlineStr">
        <is>
          <t>各月シートの氏名欄に自動反映されます</t>
        </is>
      </c>
    </row>
    <row r="5">
      <c r="A5" s="2" t="inlineStr">
        <is>
          <t>所属</t>
        </is>
      </c>
      <c r="B5" s="3" t="inlineStr"/>
      <c r="C5" s="4" t="inlineStr">
        <is>
          <t>各月シートの所属欄に自動反映されます</t>
        </is>
      </c>
    </row>
    <row r="6">
      <c r="A6" s="2" t="inlineStr">
        <is>
          <t>所定労働時間/日</t>
        </is>
      </c>
      <c r="B6" s="5" t="n">
        <v>800</v>
      </c>
      <c r="C6" s="4" t="inlineStr">
        <is>
          <t>1日の所定時間。超過分が「所定超過」に出ます</t>
        </is>
      </c>
      <c r="E6">
        <f>IF(NOT(ISNUMBER($B$6)),"",IF($B$6&lt;1,$B$6,(INT($B$6/100)*60+MOD($B$6,100))/1440))</f>
        <v/>
      </c>
    </row>
    <row r="7">
      <c r="A7" s="2" t="inlineStr">
        <is>
          <t>休憩時間(既定)</t>
        </is>
      </c>
      <c r="B7" s="5" t="n">
        <v>100</v>
      </c>
      <c r="C7" s="4" t="inlineStr">
        <is>
          <t>休憩欄が空のとき、この時間を自動で差し引きます</t>
        </is>
      </c>
      <c r="E7">
        <f>IF(NOT(ISNUMBER($B$7)),"",IF($B$7&lt;1,$B$7,(INT($B$7/100)*60+MOD($B$7,100))/1440))</f>
        <v/>
      </c>
    </row>
    <row r="8">
      <c r="A8" s="2" t="inlineStr">
        <is>
          <t>休憩を差し引く最低勤務時間</t>
        </is>
      </c>
      <c r="B8" s="5" t="n">
        <v>600</v>
      </c>
      <c r="C8" s="4" t="inlineStr">
        <is>
          <t>この時間を超えたときだけ既定休憩を引きます</t>
        </is>
      </c>
      <c r="E8">
        <f>IF(NOT(ISNUMBER($B$8)),"",IF($B$8&lt;1,$B$8,(INT($B$8/100)*60+MOD($B$8,100))/1440))</f>
        <v/>
      </c>
    </row>
    <row r="11">
      <c r="A11" s="6" t="inlineStr">
        <is>
          <t>使い方</t>
        </is>
      </c>
    </row>
    <row r="12">
      <c r="A12" s="7" t="inlineStr">
        <is>
          <t>1. まずこの設定シートで「氏名」「所属」「所定労働時間」を入力してください。</t>
        </is>
      </c>
    </row>
    <row r="13">
      <c r="A13" s="7" t="inlineStr">
        <is>
          <t>2. 各月シートは、黄色いセル（出勤・退勤・休憩・残業・備考）だけ入力します。</t>
        </is>
      </c>
    </row>
    <row r="14">
      <c r="A14" s="7" t="inlineStr">
        <is>
          <t xml:space="preserve">   時刻はコロンなしで入力できます。930 と打てば 09:30、1615 と打てば 16:15 になります。</t>
        </is>
      </c>
    </row>
    <row r="15">
      <c r="A15" s="7" t="inlineStr">
        <is>
          <t xml:space="preserve">   9:30 のようにコロン付きで入力しても構いません。どちらでも正しく計算されます。</t>
        </is>
      </c>
    </row>
    <row r="16">
      <c r="A16" s="7" t="inlineStr">
        <is>
          <t xml:space="preserve">   30分だけの休憩は 30、1時間なら 100 と入力します（HHMM形式のため）。</t>
        </is>
      </c>
    </row>
    <row r="17">
      <c r="A17" s="7" t="inlineStr">
        <is>
          <t>3. 出勤と退勤を入れると「実働」が自動計算されます。日をまたぐ勤務にも対応しています。</t>
        </is>
      </c>
    </row>
    <row r="18">
      <c r="A18" s="7" t="inlineStr">
        <is>
          <t>4. 休憩を空欄にすると、設定シートの既定休憩が自動で差し引かれます。個別に変えたい日は直接入力してください。</t>
        </is>
      </c>
    </row>
    <row r="19">
      <c r="A19" s="7" t="inlineStr">
        <is>
          <t>5. 土曜は青、日曜・祝日はピンクで色分けされます。祝日名はK列に自動表示されます。</t>
        </is>
      </c>
    </row>
    <row r="20">
      <c r="A20" s="7" t="inlineStr">
        <is>
          <t>6. 月次の集計はシート下部、年間の集計は「年間集計」シートに自動で出ます。</t>
        </is>
      </c>
    </row>
    <row r="21">
      <c r="A21" s="7" t="inlineStr">
        <is>
          <t>7. 年が変わったら、この設定の「年」と「祝日リスト」シートを更新してください。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4472C4"/>
    <outlinePr summaryBelow="1" summaryRight="1"/>
    <pageSetUpPr fitToPage="1"/>
  </sheetPr>
  <dimension ref="A2:T5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.5" customWidth="1" min="1" max="1"/>
    <col width="4.5" customWidth="1" min="2" max="2"/>
    <col width="8.5" customWidth="1" min="3" max="3"/>
    <col width="8.5" customWidth="1" min="4" max="4"/>
    <col width="8" customWidth="1" min="5" max="5"/>
    <col width="8.5" customWidth="1" min="6" max="6"/>
    <col width="9" customWidth="1" min="7" max="7"/>
    <col width="9" customWidth="1" min="8" max="8"/>
    <col width="9" customWidth="1" min="9" max="9"/>
    <col width="10" customWidth="1" min="10" max="10"/>
    <col width="14" customWidth="1" min="11" max="11"/>
    <col width="26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2" ht="24" customHeight="1">
      <c r="A2" s="8">
        <f>設定!$B$4&amp;"　"&amp;設定!$B$3&amp;"年"&amp;1&amp;"月度 出勤簿"</f>
        <v/>
      </c>
    </row>
    <row r="4">
      <c r="A4" s="9" t="inlineStr">
        <is>
          <t>年</t>
        </is>
      </c>
      <c r="B4" s="10">
        <f>設定!$B$3</f>
        <v/>
      </c>
      <c r="C4" s="9" t="inlineStr">
        <is>
          <t>月</t>
        </is>
      </c>
      <c r="D4" s="10" t="n">
        <v>1</v>
      </c>
      <c r="G4" s="9" t="inlineStr">
        <is>
          <t>所属</t>
        </is>
      </c>
      <c r="H4" s="10">
        <f>設定!$B$5</f>
        <v/>
      </c>
      <c r="I4" s="9" t="inlineStr">
        <is>
          <t>氏名</t>
        </is>
      </c>
      <c r="J4" s="10">
        <f>設定!$B$4</f>
        <v/>
      </c>
    </row>
    <row r="5">
      <c r="A5" s="11" t="inlineStr">
        <is>
          <t>黄色のセルに入力してください（灰色は自動計算）。時刻は 930 のようにコロンなしで入力できます。</t>
        </is>
      </c>
    </row>
    <row r="7" ht="26" customHeight="1">
      <c r="A7" s="12" t="inlineStr">
        <is>
          <t>日</t>
        </is>
      </c>
      <c r="B7" s="12" t="inlineStr">
        <is>
          <t>曜</t>
        </is>
      </c>
      <c r="C7" s="12" t="inlineStr">
        <is>
          <t>出勤</t>
        </is>
      </c>
      <c r="D7" s="12" t="inlineStr">
        <is>
          <t>退勤</t>
        </is>
      </c>
      <c r="E7" s="12" t="inlineStr">
        <is>
          <t>休憩</t>
        </is>
      </c>
      <c r="F7" s="12" t="inlineStr">
        <is>
          <t>実働</t>
        </is>
      </c>
      <c r="G7" s="12" t="inlineStr">
        <is>
          <t>通常残業</t>
        </is>
      </c>
      <c r="H7" s="12" t="inlineStr">
        <is>
          <t>深夜残業</t>
        </is>
      </c>
      <c r="I7" s="12" t="inlineStr">
        <is>
          <t>早朝残業</t>
        </is>
      </c>
      <c r="J7" s="12" t="inlineStr">
        <is>
          <t>遅刻・早退</t>
        </is>
      </c>
      <c r="K7" s="12" t="inlineStr">
        <is>
          <t>祝日</t>
        </is>
      </c>
      <c r="L7" s="12" t="inlineStr">
        <is>
          <t>備考・理由</t>
        </is>
      </c>
    </row>
    <row r="8" ht="19" customHeight="1">
      <c r="A8" s="13">
        <f>DATE($B$4,$D$4,1)</f>
        <v/>
      </c>
      <c r="B8" s="14">
        <f>IF($A8="","",CHOOSE(WEEKDAY($A8,2),"月","火","水","木","金","土","日"))</f>
        <v/>
      </c>
      <c r="C8" s="15" t="n"/>
      <c r="D8" s="15" t="n"/>
      <c r="E8" s="15" t="n"/>
      <c r="F8" s="16">
        <f>IF(OR($N8="",$O8=""),"",MAX(0,MOD($O8-$N8,1)-IF($P8&lt;&gt;"",$P8,IF(MOD($O8-$N8,1)&gt;設定!$E$8,設定!$E$7,0))))</f>
        <v/>
      </c>
      <c r="G8" s="15" t="n"/>
      <c r="H8" s="15" t="n"/>
      <c r="I8" s="15" t="n"/>
      <c r="J8" s="15" t="n"/>
      <c r="K8" s="17">
        <f>IF($A8="","",IFERROR(VLOOKUP($A8,祝日リスト!$A$2:$C$40,3,0),""))</f>
        <v/>
      </c>
      <c r="L8" s="18" t="n"/>
      <c r="M8" s="19">
        <f>IF($A8="","",IF($K8&lt;&gt;"","祝",IF(WEEKDAY($A8,2)=6,"土",IF(WEEKDAY($A8,2)=7,"日","平"))))</f>
        <v/>
      </c>
      <c r="N8" s="19">
        <f>IF(NOT(ISNUMBER($C8)),"",IF($C8&lt;1,$C8,(INT($C8/100)*60+MOD($C8,100))/1440))</f>
        <v/>
      </c>
      <c r="O8" s="19">
        <f>IF(NOT(ISNUMBER($D8)),"",IF($D8&lt;1,$D8,(INT($D8/100)*60+MOD($D8,100))/1440))</f>
        <v/>
      </c>
      <c r="P8" s="19">
        <f>IF(NOT(ISNUMBER($E8)),"",IF($E8&lt;1,$E8,(INT($E8/100)*60+MOD($E8,100))/1440))</f>
        <v/>
      </c>
      <c r="Q8" s="19">
        <f>IF(NOT(ISNUMBER($G8)),"",IF($G8&lt;1,$G8,(INT($G8/100)*60+MOD($G8,100))/1440))</f>
        <v/>
      </c>
      <c r="R8" s="19">
        <f>IF(NOT(ISNUMBER($H8)),"",IF($H8&lt;1,$H8,(INT($H8/100)*60+MOD($H8,100))/1440))</f>
        <v/>
      </c>
      <c r="S8" s="19">
        <f>IF(NOT(ISNUMBER($I8)),"",IF($I8&lt;1,$I8,(INT($I8/100)*60+MOD($I8,100))/1440))</f>
        <v/>
      </c>
      <c r="T8" s="19">
        <f>IF(NOT(ISNUMBER($J8)),"",IF($J8&lt;1,$J8,(INT($J8/100)*60+MOD($J8,100))/1440))</f>
        <v/>
      </c>
    </row>
    <row r="9" ht="19" customHeight="1">
      <c r="A9" s="13">
        <f>IF(A8="","",IF(MONTH(A8+1)=$D$4,A8+1,""))</f>
        <v/>
      </c>
      <c r="B9" s="14">
        <f>IF($A9="","",CHOOSE(WEEKDAY($A9,2),"月","火","水","木","金","土","日"))</f>
        <v/>
      </c>
      <c r="C9" s="15" t="n"/>
      <c r="D9" s="15" t="n"/>
      <c r="E9" s="15" t="n"/>
      <c r="F9" s="16">
        <f>IF(OR($N9="",$O9=""),"",MAX(0,MOD($O9-$N9,1)-IF($P9&lt;&gt;"",$P9,IF(MOD($O9-$N9,1)&gt;設定!$E$8,設定!$E$7,0))))</f>
        <v/>
      </c>
      <c r="G9" s="15" t="n"/>
      <c r="H9" s="15" t="n"/>
      <c r="I9" s="15" t="n"/>
      <c r="J9" s="15" t="n"/>
      <c r="K9" s="17">
        <f>IF($A9="","",IFERROR(VLOOKUP($A9,祝日リスト!$A$2:$C$40,3,0),""))</f>
        <v/>
      </c>
      <c r="L9" s="18" t="n"/>
      <c r="M9" s="19">
        <f>IF($A9="","",IF($K9&lt;&gt;"","祝",IF(WEEKDAY($A9,2)=6,"土",IF(WEEKDAY($A9,2)=7,"日","平"))))</f>
        <v/>
      </c>
      <c r="N9" s="19">
        <f>IF(NOT(ISNUMBER($C9)),"",IF($C9&lt;1,$C9,(INT($C9/100)*60+MOD($C9,100))/1440))</f>
        <v/>
      </c>
      <c r="O9" s="19">
        <f>IF(NOT(ISNUMBER($D9)),"",IF($D9&lt;1,$D9,(INT($D9/100)*60+MOD($D9,100))/1440))</f>
        <v/>
      </c>
      <c r="P9" s="19">
        <f>IF(NOT(ISNUMBER($E9)),"",IF($E9&lt;1,$E9,(INT($E9/100)*60+MOD($E9,100))/1440))</f>
        <v/>
      </c>
      <c r="Q9" s="19">
        <f>IF(NOT(ISNUMBER($G9)),"",IF($G9&lt;1,$G9,(INT($G9/100)*60+MOD($G9,100))/1440))</f>
        <v/>
      </c>
      <c r="R9" s="19">
        <f>IF(NOT(ISNUMBER($H9)),"",IF($H9&lt;1,$H9,(INT($H9/100)*60+MOD($H9,100))/1440))</f>
        <v/>
      </c>
      <c r="S9" s="19">
        <f>IF(NOT(ISNUMBER($I9)),"",IF($I9&lt;1,$I9,(INT($I9/100)*60+MOD($I9,100))/1440))</f>
        <v/>
      </c>
      <c r="T9" s="19">
        <f>IF(NOT(ISNUMBER($J9)),"",IF($J9&lt;1,$J9,(INT($J9/100)*60+MOD($J9,100))/1440))</f>
        <v/>
      </c>
    </row>
    <row r="10" ht="19" customHeight="1">
      <c r="A10" s="13">
        <f>IF(A9="","",IF(MONTH(A9+1)=$D$4,A9+1,""))</f>
        <v/>
      </c>
      <c r="B10" s="14">
        <f>IF($A10="","",CHOOSE(WEEKDAY($A10,2),"月","火","水","木","金","土","日"))</f>
        <v/>
      </c>
      <c r="C10" s="15" t="n"/>
      <c r="D10" s="15" t="n"/>
      <c r="E10" s="15" t="n"/>
      <c r="F10" s="16">
        <f>IF(OR($N10="",$O10=""),"",MAX(0,MOD($O10-$N10,1)-IF($P10&lt;&gt;"",$P10,IF(MOD($O10-$N10,1)&gt;設定!$E$8,設定!$E$7,0))))</f>
        <v/>
      </c>
      <c r="G10" s="15" t="n"/>
      <c r="H10" s="15" t="n"/>
      <c r="I10" s="15" t="n"/>
      <c r="J10" s="15" t="n"/>
      <c r="K10" s="17">
        <f>IF($A10="","",IFERROR(VLOOKUP($A10,祝日リスト!$A$2:$C$40,3,0),""))</f>
        <v/>
      </c>
      <c r="L10" s="18" t="n"/>
      <c r="M10" s="19">
        <f>IF($A10="","",IF($K10&lt;&gt;"","祝",IF(WEEKDAY($A10,2)=6,"土",IF(WEEKDAY($A10,2)=7,"日","平"))))</f>
        <v/>
      </c>
      <c r="N10" s="19">
        <f>IF(NOT(ISNUMBER($C10)),"",IF($C10&lt;1,$C10,(INT($C10/100)*60+MOD($C10,100))/1440))</f>
        <v/>
      </c>
      <c r="O10" s="19">
        <f>IF(NOT(ISNUMBER($D10)),"",IF($D10&lt;1,$D10,(INT($D10/100)*60+MOD($D10,100))/1440))</f>
        <v/>
      </c>
      <c r="P10" s="19">
        <f>IF(NOT(ISNUMBER($E10)),"",IF($E10&lt;1,$E10,(INT($E10/100)*60+MOD($E10,100))/1440))</f>
        <v/>
      </c>
      <c r="Q10" s="19">
        <f>IF(NOT(ISNUMBER($G10)),"",IF($G10&lt;1,$G10,(INT($G10/100)*60+MOD($G10,100))/1440))</f>
        <v/>
      </c>
      <c r="R10" s="19">
        <f>IF(NOT(ISNUMBER($H10)),"",IF($H10&lt;1,$H10,(INT($H10/100)*60+MOD($H10,100))/1440))</f>
        <v/>
      </c>
      <c r="S10" s="19">
        <f>IF(NOT(ISNUMBER($I10)),"",IF($I10&lt;1,$I10,(INT($I10/100)*60+MOD($I10,100))/1440))</f>
        <v/>
      </c>
      <c r="T10" s="19">
        <f>IF(NOT(ISNUMBER($J10)),"",IF($J10&lt;1,$J10,(INT($J10/100)*60+MOD($J10,100))/1440))</f>
        <v/>
      </c>
    </row>
    <row r="11" ht="19" customHeight="1">
      <c r="A11" s="13">
        <f>IF(A10="","",IF(MONTH(A10+1)=$D$4,A10+1,""))</f>
        <v/>
      </c>
      <c r="B11" s="14">
        <f>IF($A11="","",CHOOSE(WEEKDAY($A11,2),"月","火","水","木","金","土","日"))</f>
        <v/>
      </c>
      <c r="C11" s="15" t="n"/>
      <c r="D11" s="15" t="n"/>
      <c r="E11" s="15" t="n"/>
      <c r="F11" s="16">
        <f>IF(OR($N11="",$O11=""),"",MAX(0,MOD($O11-$N11,1)-IF($P11&lt;&gt;"",$P11,IF(MOD($O11-$N11,1)&gt;設定!$E$8,設定!$E$7,0))))</f>
        <v/>
      </c>
      <c r="G11" s="15" t="n"/>
      <c r="H11" s="15" t="n"/>
      <c r="I11" s="15" t="n"/>
      <c r="J11" s="15" t="n"/>
      <c r="K11" s="17">
        <f>IF($A11="","",IFERROR(VLOOKUP($A11,祝日リスト!$A$2:$C$40,3,0),""))</f>
        <v/>
      </c>
      <c r="L11" s="18" t="n"/>
      <c r="M11" s="19">
        <f>IF($A11="","",IF($K11&lt;&gt;"","祝",IF(WEEKDAY($A11,2)=6,"土",IF(WEEKDAY($A11,2)=7,"日","平"))))</f>
        <v/>
      </c>
      <c r="N11" s="19">
        <f>IF(NOT(ISNUMBER($C11)),"",IF($C11&lt;1,$C11,(INT($C11/100)*60+MOD($C11,100))/1440))</f>
        <v/>
      </c>
      <c r="O11" s="19">
        <f>IF(NOT(ISNUMBER($D11)),"",IF($D11&lt;1,$D11,(INT($D11/100)*60+MOD($D11,100))/1440))</f>
        <v/>
      </c>
      <c r="P11" s="19">
        <f>IF(NOT(ISNUMBER($E11)),"",IF($E11&lt;1,$E11,(INT($E11/100)*60+MOD($E11,100))/1440))</f>
        <v/>
      </c>
      <c r="Q11" s="19">
        <f>IF(NOT(ISNUMBER($G11)),"",IF($G11&lt;1,$G11,(INT($G11/100)*60+MOD($G11,100))/1440))</f>
        <v/>
      </c>
      <c r="R11" s="19">
        <f>IF(NOT(ISNUMBER($H11)),"",IF($H11&lt;1,$H11,(INT($H11/100)*60+MOD($H11,100))/1440))</f>
        <v/>
      </c>
      <c r="S11" s="19">
        <f>IF(NOT(ISNUMBER($I11)),"",IF($I11&lt;1,$I11,(INT($I11/100)*60+MOD($I11,100))/1440))</f>
        <v/>
      </c>
      <c r="T11" s="19">
        <f>IF(NOT(ISNUMBER($J11)),"",IF($J11&lt;1,$J11,(INT($J11/100)*60+MOD($J11,100))/1440))</f>
        <v/>
      </c>
    </row>
    <row r="12" ht="19" customHeight="1">
      <c r="A12" s="13">
        <f>IF(A11="","",IF(MONTH(A11+1)=$D$4,A11+1,""))</f>
        <v/>
      </c>
      <c r="B12" s="14">
        <f>IF($A12="","",CHOOSE(WEEKDAY($A12,2),"月","火","水","木","金","土","日"))</f>
        <v/>
      </c>
      <c r="C12" s="15" t="n"/>
      <c r="D12" s="15" t="n"/>
      <c r="E12" s="15" t="n"/>
      <c r="F12" s="16">
        <f>IF(OR($N12="",$O12=""),"",MAX(0,MOD($O12-$N12,1)-IF($P12&lt;&gt;"",$P12,IF(MOD($O12-$N12,1)&gt;設定!$E$8,設定!$E$7,0))))</f>
        <v/>
      </c>
      <c r="G12" s="15" t="n"/>
      <c r="H12" s="15" t="n"/>
      <c r="I12" s="15" t="n"/>
      <c r="J12" s="15" t="n"/>
      <c r="K12" s="17">
        <f>IF($A12="","",IFERROR(VLOOKUP($A12,祝日リスト!$A$2:$C$40,3,0),""))</f>
        <v/>
      </c>
      <c r="L12" s="18" t="n"/>
      <c r="M12" s="19">
        <f>IF($A12="","",IF($K12&lt;&gt;"","祝",IF(WEEKDAY($A12,2)=6,"土",IF(WEEKDAY($A12,2)=7,"日","平"))))</f>
        <v/>
      </c>
      <c r="N12" s="19">
        <f>IF(NOT(ISNUMBER($C12)),"",IF($C12&lt;1,$C12,(INT($C12/100)*60+MOD($C12,100))/1440))</f>
        <v/>
      </c>
      <c r="O12" s="19">
        <f>IF(NOT(ISNUMBER($D12)),"",IF($D12&lt;1,$D12,(INT($D12/100)*60+MOD($D12,100))/1440))</f>
        <v/>
      </c>
      <c r="P12" s="19">
        <f>IF(NOT(ISNUMBER($E12)),"",IF($E12&lt;1,$E12,(INT($E12/100)*60+MOD($E12,100))/1440))</f>
        <v/>
      </c>
      <c r="Q12" s="19">
        <f>IF(NOT(ISNUMBER($G12)),"",IF($G12&lt;1,$G12,(INT($G12/100)*60+MOD($G12,100))/1440))</f>
        <v/>
      </c>
      <c r="R12" s="19">
        <f>IF(NOT(ISNUMBER($H12)),"",IF($H12&lt;1,$H12,(INT($H12/100)*60+MOD($H12,100))/1440))</f>
        <v/>
      </c>
      <c r="S12" s="19">
        <f>IF(NOT(ISNUMBER($I12)),"",IF($I12&lt;1,$I12,(INT($I12/100)*60+MOD($I12,100))/1440))</f>
        <v/>
      </c>
      <c r="T12" s="19">
        <f>IF(NOT(ISNUMBER($J12)),"",IF($J12&lt;1,$J12,(INT($J12/100)*60+MOD($J12,100))/1440))</f>
        <v/>
      </c>
    </row>
    <row r="13" ht="19" customHeight="1">
      <c r="A13" s="13">
        <f>IF(A12="","",IF(MONTH(A12+1)=$D$4,A12+1,""))</f>
        <v/>
      </c>
      <c r="B13" s="14">
        <f>IF($A13="","",CHOOSE(WEEKDAY($A13,2),"月","火","水","木","金","土","日"))</f>
        <v/>
      </c>
      <c r="C13" s="15" t="n"/>
      <c r="D13" s="15" t="n"/>
      <c r="E13" s="15" t="n"/>
      <c r="F13" s="16">
        <f>IF(OR($N13="",$O13=""),"",MAX(0,MOD($O13-$N13,1)-IF($P13&lt;&gt;"",$P13,IF(MOD($O13-$N13,1)&gt;設定!$E$8,設定!$E$7,0))))</f>
        <v/>
      </c>
      <c r="G13" s="15" t="n"/>
      <c r="H13" s="15" t="n"/>
      <c r="I13" s="15" t="n"/>
      <c r="J13" s="15" t="n"/>
      <c r="K13" s="17">
        <f>IF($A13="","",IFERROR(VLOOKUP($A13,祝日リスト!$A$2:$C$40,3,0),""))</f>
        <v/>
      </c>
      <c r="L13" s="18" t="n"/>
      <c r="M13" s="19">
        <f>IF($A13="","",IF($K13&lt;&gt;"","祝",IF(WEEKDAY($A13,2)=6,"土",IF(WEEKDAY($A13,2)=7,"日","平"))))</f>
        <v/>
      </c>
      <c r="N13" s="19">
        <f>IF(NOT(ISNUMBER($C13)),"",IF($C13&lt;1,$C13,(INT($C13/100)*60+MOD($C13,100))/1440))</f>
        <v/>
      </c>
      <c r="O13" s="19">
        <f>IF(NOT(ISNUMBER($D13)),"",IF($D13&lt;1,$D13,(INT($D13/100)*60+MOD($D13,100))/1440))</f>
        <v/>
      </c>
      <c r="P13" s="19">
        <f>IF(NOT(ISNUMBER($E13)),"",IF($E13&lt;1,$E13,(INT($E13/100)*60+MOD($E13,100))/1440))</f>
        <v/>
      </c>
      <c r="Q13" s="19">
        <f>IF(NOT(ISNUMBER($G13)),"",IF($G13&lt;1,$G13,(INT($G13/100)*60+MOD($G13,100))/1440))</f>
        <v/>
      </c>
      <c r="R13" s="19">
        <f>IF(NOT(ISNUMBER($H13)),"",IF($H13&lt;1,$H13,(INT($H13/100)*60+MOD($H13,100))/1440))</f>
        <v/>
      </c>
      <c r="S13" s="19">
        <f>IF(NOT(ISNUMBER($I13)),"",IF($I13&lt;1,$I13,(INT($I13/100)*60+MOD($I13,100))/1440))</f>
        <v/>
      </c>
      <c r="T13" s="19">
        <f>IF(NOT(ISNUMBER($J13)),"",IF($J13&lt;1,$J13,(INT($J13/100)*60+MOD($J13,100))/1440))</f>
        <v/>
      </c>
    </row>
    <row r="14" ht="19" customHeight="1">
      <c r="A14" s="13">
        <f>IF(A13="","",IF(MONTH(A13+1)=$D$4,A13+1,""))</f>
        <v/>
      </c>
      <c r="B14" s="14">
        <f>IF($A14="","",CHOOSE(WEEKDAY($A14,2),"月","火","水","木","金","土","日"))</f>
        <v/>
      </c>
      <c r="C14" s="15" t="n"/>
      <c r="D14" s="15" t="n"/>
      <c r="E14" s="15" t="n"/>
      <c r="F14" s="16">
        <f>IF(OR($N14="",$O14=""),"",MAX(0,MOD($O14-$N14,1)-IF($P14&lt;&gt;"",$P14,IF(MOD($O14-$N14,1)&gt;設定!$E$8,設定!$E$7,0))))</f>
        <v/>
      </c>
      <c r="G14" s="15" t="n"/>
      <c r="H14" s="15" t="n"/>
      <c r="I14" s="15" t="n"/>
      <c r="J14" s="15" t="n"/>
      <c r="K14" s="17">
        <f>IF($A14="","",IFERROR(VLOOKUP($A14,祝日リスト!$A$2:$C$40,3,0),""))</f>
        <v/>
      </c>
      <c r="L14" s="18" t="n"/>
      <c r="M14" s="19">
        <f>IF($A14="","",IF($K14&lt;&gt;"","祝",IF(WEEKDAY($A14,2)=6,"土",IF(WEEKDAY($A14,2)=7,"日","平"))))</f>
        <v/>
      </c>
      <c r="N14" s="19">
        <f>IF(NOT(ISNUMBER($C14)),"",IF($C14&lt;1,$C14,(INT($C14/100)*60+MOD($C14,100))/1440))</f>
        <v/>
      </c>
      <c r="O14" s="19">
        <f>IF(NOT(ISNUMBER($D14)),"",IF($D14&lt;1,$D14,(INT($D14/100)*60+MOD($D14,100))/1440))</f>
        <v/>
      </c>
      <c r="P14" s="19">
        <f>IF(NOT(ISNUMBER($E14)),"",IF($E14&lt;1,$E14,(INT($E14/100)*60+MOD($E14,100))/1440))</f>
        <v/>
      </c>
      <c r="Q14" s="19">
        <f>IF(NOT(ISNUMBER($G14)),"",IF($G14&lt;1,$G14,(INT($G14/100)*60+MOD($G14,100))/1440))</f>
        <v/>
      </c>
      <c r="R14" s="19">
        <f>IF(NOT(ISNUMBER($H14)),"",IF($H14&lt;1,$H14,(INT($H14/100)*60+MOD($H14,100))/1440))</f>
        <v/>
      </c>
      <c r="S14" s="19">
        <f>IF(NOT(ISNUMBER($I14)),"",IF($I14&lt;1,$I14,(INT($I14/100)*60+MOD($I14,100))/1440))</f>
        <v/>
      </c>
      <c r="T14" s="19">
        <f>IF(NOT(ISNUMBER($J14)),"",IF($J14&lt;1,$J14,(INT($J14/100)*60+MOD($J14,100))/1440))</f>
        <v/>
      </c>
    </row>
    <row r="15" ht="19" customHeight="1">
      <c r="A15" s="13">
        <f>IF(A14="","",IF(MONTH(A14+1)=$D$4,A14+1,""))</f>
        <v/>
      </c>
      <c r="B15" s="14">
        <f>IF($A15="","",CHOOSE(WEEKDAY($A15,2),"月","火","水","木","金","土","日"))</f>
        <v/>
      </c>
      <c r="C15" s="15" t="n"/>
      <c r="D15" s="15" t="n"/>
      <c r="E15" s="15" t="n"/>
      <c r="F15" s="16">
        <f>IF(OR($N15="",$O15=""),"",MAX(0,MOD($O15-$N15,1)-IF($P15&lt;&gt;"",$P15,IF(MOD($O15-$N15,1)&gt;設定!$E$8,設定!$E$7,0))))</f>
        <v/>
      </c>
      <c r="G15" s="15" t="n"/>
      <c r="H15" s="15" t="n"/>
      <c r="I15" s="15" t="n"/>
      <c r="J15" s="15" t="n"/>
      <c r="K15" s="17">
        <f>IF($A15="","",IFERROR(VLOOKUP($A15,祝日リスト!$A$2:$C$40,3,0),""))</f>
        <v/>
      </c>
      <c r="L15" s="18" t="n"/>
      <c r="M15" s="19">
        <f>IF($A15="","",IF($K15&lt;&gt;"","祝",IF(WEEKDAY($A15,2)=6,"土",IF(WEEKDAY($A15,2)=7,"日","平"))))</f>
        <v/>
      </c>
      <c r="N15" s="19">
        <f>IF(NOT(ISNUMBER($C15)),"",IF($C15&lt;1,$C15,(INT($C15/100)*60+MOD($C15,100))/1440))</f>
        <v/>
      </c>
      <c r="O15" s="19">
        <f>IF(NOT(ISNUMBER($D15)),"",IF($D15&lt;1,$D15,(INT($D15/100)*60+MOD($D15,100))/1440))</f>
        <v/>
      </c>
      <c r="P15" s="19">
        <f>IF(NOT(ISNUMBER($E15)),"",IF($E15&lt;1,$E15,(INT($E15/100)*60+MOD($E15,100))/1440))</f>
        <v/>
      </c>
      <c r="Q15" s="19">
        <f>IF(NOT(ISNUMBER($G15)),"",IF($G15&lt;1,$G15,(INT($G15/100)*60+MOD($G15,100))/1440))</f>
        <v/>
      </c>
      <c r="R15" s="19">
        <f>IF(NOT(ISNUMBER($H15)),"",IF($H15&lt;1,$H15,(INT($H15/100)*60+MOD($H15,100))/1440))</f>
        <v/>
      </c>
      <c r="S15" s="19">
        <f>IF(NOT(ISNUMBER($I15)),"",IF($I15&lt;1,$I15,(INT($I15/100)*60+MOD($I15,100))/1440))</f>
        <v/>
      </c>
      <c r="T15" s="19">
        <f>IF(NOT(ISNUMBER($J15)),"",IF($J15&lt;1,$J15,(INT($J15/100)*60+MOD($J15,100))/1440))</f>
        <v/>
      </c>
    </row>
    <row r="16" ht="19" customHeight="1">
      <c r="A16" s="13">
        <f>IF(A15="","",IF(MONTH(A15+1)=$D$4,A15+1,""))</f>
        <v/>
      </c>
      <c r="B16" s="14">
        <f>IF($A16="","",CHOOSE(WEEKDAY($A16,2),"月","火","水","木","金","土","日"))</f>
        <v/>
      </c>
      <c r="C16" s="15" t="n"/>
      <c r="D16" s="15" t="n"/>
      <c r="E16" s="15" t="n"/>
      <c r="F16" s="16">
        <f>IF(OR($N16="",$O16=""),"",MAX(0,MOD($O16-$N16,1)-IF($P16&lt;&gt;"",$P16,IF(MOD($O16-$N16,1)&gt;設定!$E$8,設定!$E$7,0))))</f>
        <v/>
      </c>
      <c r="G16" s="15" t="n"/>
      <c r="H16" s="15" t="n"/>
      <c r="I16" s="15" t="n"/>
      <c r="J16" s="15" t="n"/>
      <c r="K16" s="17">
        <f>IF($A16="","",IFERROR(VLOOKUP($A16,祝日リスト!$A$2:$C$40,3,0),""))</f>
        <v/>
      </c>
      <c r="L16" s="18" t="n"/>
      <c r="M16" s="19">
        <f>IF($A16="","",IF($K16&lt;&gt;"","祝",IF(WEEKDAY($A16,2)=6,"土",IF(WEEKDAY($A16,2)=7,"日","平"))))</f>
        <v/>
      </c>
      <c r="N16" s="19">
        <f>IF(NOT(ISNUMBER($C16)),"",IF($C16&lt;1,$C16,(INT($C16/100)*60+MOD($C16,100))/1440))</f>
        <v/>
      </c>
      <c r="O16" s="19">
        <f>IF(NOT(ISNUMBER($D16)),"",IF($D16&lt;1,$D16,(INT($D16/100)*60+MOD($D16,100))/1440))</f>
        <v/>
      </c>
      <c r="P16" s="19">
        <f>IF(NOT(ISNUMBER($E16)),"",IF($E16&lt;1,$E16,(INT($E16/100)*60+MOD($E16,100))/1440))</f>
        <v/>
      </c>
      <c r="Q16" s="19">
        <f>IF(NOT(ISNUMBER($G16)),"",IF($G16&lt;1,$G16,(INT($G16/100)*60+MOD($G16,100))/1440))</f>
        <v/>
      </c>
      <c r="R16" s="19">
        <f>IF(NOT(ISNUMBER($H16)),"",IF($H16&lt;1,$H16,(INT($H16/100)*60+MOD($H16,100))/1440))</f>
        <v/>
      </c>
      <c r="S16" s="19">
        <f>IF(NOT(ISNUMBER($I16)),"",IF($I16&lt;1,$I16,(INT($I16/100)*60+MOD($I16,100))/1440))</f>
        <v/>
      </c>
      <c r="T16" s="19">
        <f>IF(NOT(ISNUMBER($J16)),"",IF($J16&lt;1,$J16,(INT($J16/100)*60+MOD($J16,100))/1440))</f>
        <v/>
      </c>
    </row>
    <row r="17" ht="19" customHeight="1">
      <c r="A17" s="13">
        <f>IF(A16="","",IF(MONTH(A16+1)=$D$4,A16+1,""))</f>
        <v/>
      </c>
      <c r="B17" s="14">
        <f>IF($A17="","",CHOOSE(WEEKDAY($A17,2),"月","火","水","木","金","土","日"))</f>
        <v/>
      </c>
      <c r="C17" s="15" t="n"/>
      <c r="D17" s="15" t="n"/>
      <c r="E17" s="15" t="n"/>
      <c r="F17" s="16">
        <f>IF(OR($N17="",$O17=""),"",MAX(0,MOD($O17-$N17,1)-IF($P17&lt;&gt;"",$P17,IF(MOD($O17-$N17,1)&gt;設定!$E$8,設定!$E$7,0))))</f>
        <v/>
      </c>
      <c r="G17" s="15" t="n"/>
      <c r="H17" s="15" t="n"/>
      <c r="I17" s="15" t="n"/>
      <c r="J17" s="15" t="n"/>
      <c r="K17" s="17">
        <f>IF($A17="","",IFERROR(VLOOKUP($A17,祝日リスト!$A$2:$C$40,3,0),""))</f>
        <v/>
      </c>
      <c r="L17" s="18" t="inlineStr">
        <is>
          <t>入社日</t>
        </is>
      </c>
      <c r="M17" s="19">
        <f>IF($A17="","",IF($K17&lt;&gt;"","祝",IF(WEEKDAY($A17,2)=6,"土",IF(WEEKDAY($A17,2)=7,"日","平"))))</f>
        <v/>
      </c>
      <c r="N17" s="19">
        <f>IF(NOT(ISNUMBER($C17)),"",IF($C17&lt;1,$C17,(INT($C17/100)*60+MOD($C17,100))/1440))</f>
        <v/>
      </c>
      <c r="O17" s="19">
        <f>IF(NOT(ISNUMBER($D17)),"",IF($D17&lt;1,$D17,(INT($D17/100)*60+MOD($D17,100))/1440))</f>
        <v/>
      </c>
      <c r="P17" s="19">
        <f>IF(NOT(ISNUMBER($E17)),"",IF($E17&lt;1,$E17,(INT($E17/100)*60+MOD($E17,100))/1440))</f>
        <v/>
      </c>
      <c r="Q17" s="19">
        <f>IF(NOT(ISNUMBER($G17)),"",IF($G17&lt;1,$G17,(INT($G17/100)*60+MOD($G17,100))/1440))</f>
        <v/>
      </c>
      <c r="R17" s="19">
        <f>IF(NOT(ISNUMBER($H17)),"",IF($H17&lt;1,$H17,(INT($H17/100)*60+MOD($H17,100))/1440))</f>
        <v/>
      </c>
      <c r="S17" s="19">
        <f>IF(NOT(ISNUMBER($I17)),"",IF($I17&lt;1,$I17,(INT($I17/100)*60+MOD($I17,100))/1440))</f>
        <v/>
      </c>
      <c r="T17" s="19">
        <f>IF(NOT(ISNUMBER($J17)),"",IF($J17&lt;1,$J17,(INT($J17/100)*60+MOD($J17,100))/1440))</f>
        <v/>
      </c>
    </row>
    <row r="18" ht="19" customHeight="1">
      <c r="A18" s="13">
        <f>IF(A17="","",IF(MONTH(A17+1)=$D$4,A17+1,""))</f>
        <v/>
      </c>
      <c r="B18" s="14">
        <f>IF($A18="","",CHOOSE(WEEKDAY($A18,2),"月","火","水","木","金","土","日"))</f>
        <v/>
      </c>
      <c r="C18" s="15" t="n"/>
      <c r="D18" s="15" t="n"/>
      <c r="E18" s="15" t="n"/>
      <c r="F18" s="16">
        <f>IF(OR($N18="",$O18=""),"",MAX(0,MOD($O18-$N18,1)-IF($P18&lt;&gt;"",$P18,IF(MOD($O18-$N18,1)&gt;設定!$E$8,設定!$E$7,0))))</f>
        <v/>
      </c>
      <c r="G18" s="15" t="n"/>
      <c r="H18" s="15" t="n"/>
      <c r="I18" s="15" t="n"/>
      <c r="J18" s="15" t="n"/>
      <c r="K18" s="17">
        <f>IF($A18="","",IFERROR(VLOOKUP($A18,祝日リスト!$A$2:$C$40,3,0),""))</f>
        <v/>
      </c>
      <c r="L18" s="18" t="n"/>
      <c r="M18" s="19">
        <f>IF($A18="","",IF($K18&lt;&gt;"","祝",IF(WEEKDAY($A18,2)=6,"土",IF(WEEKDAY($A18,2)=7,"日","平"))))</f>
        <v/>
      </c>
      <c r="N18" s="19">
        <f>IF(NOT(ISNUMBER($C18)),"",IF($C18&lt;1,$C18,(INT($C18/100)*60+MOD($C18,100))/1440))</f>
        <v/>
      </c>
      <c r="O18" s="19">
        <f>IF(NOT(ISNUMBER($D18)),"",IF($D18&lt;1,$D18,(INT($D18/100)*60+MOD($D18,100))/1440))</f>
        <v/>
      </c>
      <c r="P18" s="19">
        <f>IF(NOT(ISNUMBER($E18)),"",IF($E18&lt;1,$E18,(INT($E18/100)*60+MOD($E18,100))/1440))</f>
        <v/>
      </c>
      <c r="Q18" s="19">
        <f>IF(NOT(ISNUMBER($G18)),"",IF($G18&lt;1,$G18,(INT($G18/100)*60+MOD($G18,100))/1440))</f>
        <v/>
      </c>
      <c r="R18" s="19">
        <f>IF(NOT(ISNUMBER($H18)),"",IF($H18&lt;1,$H18,(INT($H18/100)*60+MOD($H18,100))/1440))</f>
        <v/>
      </c>
      <c r="S18" s="19">
        <f>IF(NOT(ISNUMBER($I18)),"",IF($I18&lt;1,$I18,(INT($I18/100)*60+MOD($I18,100))/1440))</f>
        <v/>
      </c>
      <c r="T18" s="19">
        <f>IF(NOT(ISNUMBER($J18)),"",IF($J18&lt;1,$J18,(INT($J18/100)*60+MOD($J18,100))/1440))</f>
        <v/>
      </c>
    </row>
    <row r="19" ht="19" customHeight="1">
      <c r="A19" s="13">
        <f>IF(A18="","",IF(MONTH(A18+1)=$D$4,A18+1,""))</f>
        <v/>
      </c>
      <c r="B19" s="14">
        <f>IF($A19="","",CHOOSE(WEEKDAY($A19,2),"月","火","水","木","金","土","日"))</f>
        <v/>
      </c>
      <c r="C19" s="15" t="n"/>
      <c r="D19" s="15" t="n"/>
      <c r="E19" s="15" t="n"/>
      <c r="F19" s="16">
        <f>IF(OR($N19="",$O19=""),"",MAX(0,MOD($O19-$N19,1)-IF($P19&lt;&gt;"",$P19,IF(MOD($O19-$N19,1)&gt;設定!$E$8,設定!$E$7,0))))</f>
        <v/>
      </c>
      <c r="G19" s="15" t="n"/>
      <c r="H19" s="15" t="n"/>
      <c r="I19" s="15" t="n"/>
      <c r="J19" s="15" t="n"/>
      <c r="K19" s="17">
        <f>IF($A19="","",IFERROR(VLOOKUP($A19,祝日リスト!$A$2:$C$40,3,0),""))</f>
        <v/>
      </c>
      <c r="L19" s="18" t="n"/>
      <c r="M19" s="19">
        <f>IF($A19="","",IF($K19&lt;&gt;"","祝",IF(WEEKDAY($A19,2)=6,"土",IF(WEEKDAY($A19,2)=7,"日","平"))))</f>
        <v/>
      </c>
      <c r="N19" s="19">
        <f>IF(NOT(ISNUMBER($C19)),"",IF($C19&lt;1,$C19,(INT($C19/100)*60+MOD($C19,100))/1440))</f>
        <v/>
      </c>
      <c r="O19" s="19">
        <f>IF(NOT(ISNUMBER($D19)),"",IF($D19&lt;1,$D19,(INT($D19/100)*60+MOD($D19,100))/1440))</f>
        <v/>
      </c>
      <c r="P19" s="19">
        <f>IF(NOT(ISNUMBER($E19)),"",IF($E19&lt;1,$E19,(INT($E19/100)*60+MOD($E19,100))/1440))</f>
        <v/>
      </c>
      <c r="Q19" s="19">
        <f>IF(NOT(ISNUMBER($G19)),"",IF($G19&lt;1,$G19,(INT($G19/100)*60+MOD($G19,100))/1440))</f>
        <v/>
      </c>
      <c r="R19" s="19">
        <f>IF(NOT(ISNUMBER($H19)),"",IF($H19&lt;1,$H19,(INT($H19/100)*60+MOD($H19,100))/1440))</f>
        <v/>
      </c>
      <c r="S19" s="19">
        <f>IF(NOT(ISNUMBER($I19)),"",IF($I19&lt;1,$I19,(INT($I19/100)*60+MOD($I19,100))/1440))</f>
        <v/>
      </c>
      <c r="T19" s="19">
        <f>IF(NOT(ISNUMBER($J19)),"",IF($J19&lt;1,$J19,(INT($J19/100)*60+MOD($J19,100))/1440))</f>
        <v/>
      </c>
    </row>
    <row r="20" ht="19" customHeight="1">
      <c r="A20" s="13">
        <f>IF(A19="","",IF(MONTH(A19+1)=$D$4,A19+1,""))</f>
        <v/>
      </c>
      <c r="B20" s="14">
        <f>IF($A20="","",CHOOSE(WEEKDAY($A20,2),"月","火","水","木","金","土","日"))</f>
        <v/>
      </c>
      <c r="C20" s="15" t="n">
        <v>1000</v>
      </c>
      <c r="D20" s="15" t="n">
        <v>1600</v>
      </c>
      <c r="E20" s="15" t="n"/>
      <c r="F20" s="16">
        <f>IF(OR($N20="",$O20=""),"",MAX(0,MOD($O20-$N20,1)-IF($P20&lt;&gt;"",$P20,IF(MOD($O20-$N20,1)&gt;設定!$E$8,設定!$E$7,0))))</f>
        <v/>
      </c>
      <c r="G20" s="15" t="n"/>
      <c r="H20" s="15" t="n"/>
      <c r="I20" s="15" t="n"/>
      <c r="J20" s="15" t="n"/>
      <c r="K20" s="17">
        <f>IF($A20="","",IFERROR(VLOOKUP($A20,祝日リスト!$A$2:$C$40,3,0),""))</f>
        <v/>
      </c>
      <c r="L20" s="18" t="n"/>
      <c r="M20" s="19">
        <f>IF($A20="","",IF($K20&lt;&gt;"","祝",IF(WEEKDAY($A20,2)=6,"土",IF(WEEKDAY($A20,2)=7,"日","平"))))</f>
        <v/>
      </c>
      <c r="N20" s="19">
        <f>IF(NOT(ISNUMBER($C20)),"",IF($C20&lt;1,$C20,(INT($C20/100)*60+MOD($C20,100))/1440))</f>
        <v/>
      </c>
      <c r="O20" s="19">
        <f>IF(NOT(ISNUMBER($D20)),"",IF($D20&lt;1,$D20,(INT($D20/100)*60+MOD($D20,100))/1440))</f>
        <v/>
      </c>
      <c r="P20" s="19">
        <f>IF(NOT(ISNUMBER($E20)),"",IF($E20&lt;1,$E20,(INT($E20/100)*60+MOD($E20,100))/1440))</f>
        <v/>
      </c>
      <c r="Q20" s="19">
        <f>IF(NOT(ISNUMBER($G20)),"",IF($G20&lt;1,$G20,(INT($G20/100)*60+MOD($G20,100))/1440))</f>
        <v/>
      </c>
      <c r="R20" s="19">
        <f>IF(NOT(ISNUMBER($H20)),"",IF($H20&lt;1,$H20,(INT($H20/100)*60+MOD($H20,100))/1440))</f>
        <v/>
      </c>
      <c r="S20" s="19">
        <f>IF(NOT(ISNUMBER($I20)),"",IF($I20&lt;1,$I20,(INT($I20/100)*60+MOD($I20,100))/1440))</f>
        <v/>
      </c>
      <c r="T20" s="19">
        <f>IF(NOT(ISNUMBER($J20)),"",IF($J20&lt;1,$J20,(INT($J20/100)*60+MOD($J20,100))/1440))</f>
        <v/>
      </c>
    </row>
    <row r="21" ht="19" customHeight="1">
      <c r="A21" s="13">
        <f>IF(A20="","",IF(MONTH(A20+1)=$D$4,A20+1,""))</f>
        <v/>
      </c>
      <c r="B21" s="14">
        <f>IF($A21="","",CHOOSE(WEEKDAY($A21,2),"月","火","水","木","金","土","日"))</f>
        <v/>
      </c>
      <c r="C21" s="15" t="n"/>
      <c r="D21" s="15" t="n"/>
      <c r="E21" s="15" t="n"/>
      <c r="F21" s="16">
        <f>IF(OR($N21="",$O21=""),"",MAX(0,MOD($O21-$N21,1)-IF($P21&lt;&gt;"",$P21,IF(MOD($O21-$N21,1)&gt;設定!$E$8,設定!$E$7,0))))</f>
        <v/>
      </c>
      <c r="G21" s="15" t="n"/>
      <c r="H21" s="15" t="n"/>
      <c r="I21" s="15" t="n"/>
      <c r="J21" s="15" t="n"/>
      <c r="K21" s="17">
        <f>IF($A21="","",IFERROR(VLOOKUP($A21,祝日リスト!$A$2:$C$40,3,0),""))</f>
        <v/>
      </c>
      <c r="L21" s="18" t="n"/>
      <c r="M21" s="19">
        <f>IF($A21="","",IF($K21&lt;&gt;"","祝",IF(WEEKDAY($A21,2)=6,"土",IF(WEEKDAY($A21,2)=7,"日","平"))))</f>
        <v/>
      </c>
      <c r="N21" s="19">
        <f>IF(NOT(ISNUMBER($C21)),"",IF($C21&lt;1,$C21,(INT($C21/100)*60+MOD($C21,100))/1440))</f>
        <v/>
      </c>
      <c r="O21" s="19">
        <f>IF(NOT(ISNUMBER($D21)),"",IF($D21&lt;1,$D21,(INT($D21/100)*60+MOD($D21,100))/1440))</f>
        <v/>
      </c>
      <c r="P21" s="19">
        <f>IF(NOT(ISNUMBER($E21)),"",IF($E21&lt;1,$E21,(INT($E21/100)*60+MOD($E21,100))/1440))</f>
        <v/>
      </c>
      <c r="Q21" s="19">
        <f>IF(NOT(ISNUMBER($G21)),"",IF($G21&lt;1,$G21,(INT($G21/100)*60+MOD($G21,100))/1440))</f>
        <v/>
      </c>
      <c r="R21" s="19">
        <f>IF(NOT(ISNUMBER($H21)),"",IF($H21&lt;1,$H21,(INT($H21/100)*60+MOD($H21,100))/1440))</f>
        <v/>
      </c>
      <c r="S21" s="19">
        <f>IF(NOT(ISNUMBER($I21)),"",IF($I21&lt;1,$I21,(INT($I21/100)*60+MOD($I21,100))/1440))</f>
        <v/>
      </c>
      <c r="T21" s="19">
        <f>IF(NOT(ISNUMBER($J21)),"",IF($J21&lt;1,$J21,(INT($J21/100)*60+MOD($J21,100))/1440))</f>
        <v/>
      </c>
    </row>
    <row r="22" ht="19" customHeight="1">
      <c r="A22" s="13">
        <f>IF(A21="","",IF(MONTH(A21+1)=$D$4,A21+1,""))</f>
        <v/>
      </c>
      <c r="B22" s="14">
        <f>IF($A22="","",CHOOSE(WEEKDAY($A22,2),"月","火","水","木","金","土","日"))</f>
        <v/>
      </c>
      <c r="C22" s="15" t="n">
        <v>1000</v>
      </c>
      <c r="D22" s="15" t="n">
        <v>1600</v>
      </c>
      <c r="E22" s="15" t="n"/>
      <c r="F22" s="16">
        <f>IF(OR($N22="",$O22=""),"",MAX(0,MOD($O22-$N22,1)-IF($P22&lt;&gt;"",$P22,IF(MOD($O22-$N22,1)&gt;設定!$E$8,設定!$E$7,0))))</f>
        <v/>
      </c>
      <c r="G22" s="15" t="n"/>
      <c r="H22" s="15" t="n"/>
      <c r="I22" s="15" t="n"/>
      <c r="J22" s="15" t="n"/>
      <c r="K22" s="17">
        <f>IF($A22="","",IFERROR(VLOOKUP($A22,祝日リスト!$A$2:$C$40,3,0),""))</f>
        <v/>
      </c>
      <c r="L22" s="18" t="n"/>
      <c r="M22" s="19">
        <f>IF($A22="","",IF($K22&lt;&gt;"","祝",IF(WEEKDAY($A22,2)=6,"土",IF(WEEKDAY($A22,2)=7,"日","平"))))</f>
        <v/>
      </c>
      <c r="N22" s="19">
        <f>IF(NOT(ISNUMBER($C22)),"",IF($C22&lt;1,$C22,(INT($C22/100)*60+MOD($C22,100))/1440))</f>
        <v/>
      </c>
      <c r="O22" s="19">
        <f>IF(NOT(ISNUMBER($D22)),"",IF($D22&lt;1,$D22,(INT($D22/100)*60+MOD($D22,100))/1440))</f>
        <v/>
      </c>
      <c r="P22" s="19">
        <f>IF(NOT(ISNUMBER($E22)),"",IF($E22&lt;1,$E22,(INT($E22/100)*60+MOD($E22,100))/1440))</f>
        <v/>
      </c>
      <c r="Q22" s="19">
        <f>IF(NOT(ISNUMBER($G22)),"",IF($G22&lt;1,$G22,(INT($G22/100)*60+MOD($G22,100))/1440))</f>
        <v/>
      </c>
      <c r="R22" s="19">
        <f>IF(NOT(ISNUMBER($H22)),"",IF($H22&lt;1,$H22,(INT($H22/100)*60+MOD($H22,100))/1440))</f>
        <v/>
      </c>
      <c r="S22" s="19">
        <f>IF(NOT(ISNUMBER($I22)),"",IF($I22&lt;1,$I22,(INT($I22/100)*60+MOD($I22,100))/1440))</f>
        <v/>
      </c>
      <c r="T22" s="19">
        <f>IF(NOT(ISNUMBER($J22)),"",IF($J22&lt;1,$J22,(INT($J22/100)*60+MOD($J22,100))/1440))</f>
        <v/>
      </c>
    </row>
    <row r="23" ht="19" customHeight="1">
      <c r="A23" s="13">
        <f>IF(A22="","",IF(MONTH(A22+1)=$D$4,A22+1,""))</f>
        <v/>
      </c>
      <c r="B23" s="14">
        <f>IF($A23="","",CHOOSE(WEEKDAY($A23,2),"月","火","水","木","金","土","日"))</f>
        <v/>
      </c>
      <c r="C23" s="15" t="n">
        <v>1000</v>
      </c>
      <c r="D23" s="15" t="n">
        <v>1600</v>
      </c>
      <c r="E23" s="15" t="n"/>
      <c r="F23" s="16">
        <f>IF(OR($N23="",$O23=""),"",MAX(0,MOD($O23-$N23,1)-IF($P23&lt;&gt;"",$P23,IF(MOD($O23-$N23,1)&gt;設定!$E$8,設定!$E$7,0))))</f>
        <v/>
      </c>
      <c r="G23" s="15" t="n"/>
      <c r="H23" s="15" t="n"/>
      <c r="I23" s="15" t="n"/>
      <c r="J23" s="15" t="n"/>
      <c r="K23" s="17">
        <f>IF($A23="","",IFERROR(VLOOKUP($A23,祝日リスト!$A$2:$C$40,3,0),""))</f>
        <v/>
      </c>
      <c r="L23" s="18" t="n"/>
      <c r="M23" s="19">
        <f>IF($A23="","",IF($K23&lt;&gt;"","祝",IF(WEEKDAY($A23,2)=6,"土",IF(WEEKDAY($A23,2)=7,"日","平"))))</f>
        <v/>
      </c>
      <c r="N23" s="19">
        <f>IF(NOT(ISNUMBER($C23)),"",IF($C23&lt;1,$C23,(INT($C23/100)*60+MOD($C23,100))/1440))</f>
        <v/>
      </c>
      <c r="O23" s="19">
        <f>IF(NOT(ISNUMBER($D23)),"",IF($D23&lt;1,$D23,(INT($D23/100)*60+MOD($D23,100))/1440))</f>
        <v/>
      </c>
      <c r="P23" s="19">
        <f>IF(NOT(ISNUMBER($E23)),"",IF($E23&lt;1,$E23,(INT($E23/100)*60+MOD($E23,100))/1440))</f>
        <v/>
      </c>
      <c r="Q23" s="19">
        <f>IF(NOT(ISNUMBER($G23)),"",IF($G23&lt;1,$G23,(INT($G23/100)*60+MOD($G23,100))/1440))</f>
        <v/>
      </c>
      <c r="R23" s="19">
        <f>IF(NOT(ISNUMBER($H23)),"",IF($H23&lt;1,$H23,(INT($H23/100)*60+MOD($H23,100))/1440))</f>
        <v/>
      </c>
      <c r="S23" s="19">
        <f>IF(NOT(ISNUMBER($I23)),"",IF($I23&lt;1,$I23,(INT($I23/100)*60+MOD($I23,100))/1440))</f>
        <v/>
      </c>
      <c r="T23" s="19">
        <f>IF(NOT(ISNUMBER($J23)),"",IF($J23&lt;1,$J23,(INT($J23/100)*60+MOD($J23,100))/1440))</f>
        <v/>
      </c>
    </row>
    <row r="24" ht="19" customHeight="1">
      <c r="A24" s="13">
        <f>IF(A23="","",IF(MONTH(A23+1)=$D$4,A23+1,""))</f>
        <v/>
      </c>
      <c r="B24" s="14">
        <f>IF($A24="","",CHOOSE(WEEKDAY($A24,2),"月","火","水","木","金","土","日"))</f>
        <v/>
      </c>
      <c r="C24" s="15" t="n"/>
      <c r="D24" s="15" t="n"/>
      <c r="E24" s="15" t="n"/>
      <c r="F24" s="16">
        <f>IF(OR($N24="",$O24=""),"",MAX(0,MOD($O24-$N24,1)-IF($P24&lt;&gt;"",$P24,IF(MOD($O24-$N24,1)&gt;設定!$E$8,設定!$E$7,0))))</f>
        <v/>
      </c>
      <c r="G24" s="15" t="n"/>
      <c r="H24" s="15" t="n"/>
      <c r="I24" s="15" t="n"/>
      <c r="J24" s="15" t="n"/>
      <c r="K24" s="17">
        <f>IF($A24="","",IFERROR(VLOOKUP($A24,祝日リスト!$A$2:$C$40,3,0),""))</f>
        <v/>
      </c>
      <c r="L24" s="18" t="n"/>
      <c r="M24" s="19">
        <f>IF($A24="","",IF($K24&lt;&gt;"","祝",IF(WEEKDAY($A24,2)=6,"土",IF(WEEKDAY($A24,2)=7,"日","平"))))</f>
        <v/>
      </c>
      <c r="N24" s="19">
        <f>IF(NOT(ISNUMBER($C24)),"",IF($C24&lt;1,$C24,(INT($C24/100)*60+MOD($C24,100))/1440))</f>
        <v/>
      </c>
      <c r="O24" s="19">
        <f>IF(NOT(ISNUMBER($D24)),"",IF($D24&lt;1,$D24,(INT($D24/100)*60+MOD($D24,100))/1440))</f>
        <v/>
      </c>
      <c r="P24" s="19">
        <f>IF(NOT(ISNUMBER($E24)),"",IF($E24&lt;1,$E24,(INT($E24/100)*60+MOD($E24,100))/1440))</f>
        <v/>
      </c>
      <c r="Q24" s="19">
        <f>IF(NOT(ISNUMBER($G24)),"",IF($G24&lt;1,$G24,(INT($G24/100)*60+MOD($G24,100))/1440))</f>
        <v/>
      </c>
      <c r="R24" s="19">
        <f>IF(NOT(ISNUMBER($H24)),"",IF($H24&lt;1,$H24,(INT($H24/100)*60+MOD($H24,100))/1440))</f>
        <v/>
      </c>
      <c r="S24" s="19">
        <f>IF(NOT(ISNUMBER($I24)),"",IF($I24&lt;1,$I24,(INT($I24/100)*60+MOD($I24,100))/1440))</f>
        <v/>
      </c>
      <c r="T24" s="19">
        <f>IF(NOT(ISNUMBER($J24)),"",IF($J24&lt;1,$J24,(INT($J24/100)*60+MOD($J24,100))/1440))</f>
        <v/>
      </c>
    </row>
    <row r="25" ht="19" customHeight="1">
      <c r="A25" s="13">
        <f>IF(A24="","",IF(MONTH(A24+1)=$D$4,A24+1,""))</f>
        <v/>
      </c>
      <c r="B25" s="14">
        <f>IF($A25="","",CHOOSE(WEEKDAY($A25,2),"月","火","水","木","金","土","日"))</f>
        <v/>
      </c>
      <c r="C25" s="15" t="n"/>
      <c r="D25" s="15" t="n"/>
      <c r="E25" s="15" t="n"/>
      <c r="F25" s="16">
        <f>IF(OR($N25="",$O25=""),"",MAX(0,MOD($O25-$N25,1)-IF($P25&lt;&gt;"",$P25,IF(MOD($O25-$N25,1)&gt;設定!$E$8,設定!$E$7,0))))</f>
        <v/>
      </c>
      <c r="G25" s="15" t="n"/>
      <c r="H25" s="15" t="n"/>
      <c r="I25" s="15" t="n"/>
      <c r="J25" s="15" t="n"/>
      <c r="K25" s="17">
        <f>IF($A25="","",IFERROR(VLOOKUP($A25,祝日リスト!$A$2:$C$40,3,0),""))</f>
        <v/>
      </c>
      <c r="L25" s="18" t="n"/>
      <c r="M25" s="19">
        <f>IF($A25="","",IF($K25&lt;&gt;"","祝",IF(WEEKDAY($A25,2)=6,"土",IF(WEEKDAY($A25,2)=7,"日","平"))))</f>
        <v/>
      </c>
      <c r="N25" s="19">
        <f>IF(NOT(ISNUMBER($C25)),"",IF($C25&lt;1,$C25,(INT($C25/100)*60+MOD($C25,100))/1440))</f>
        <v/>
      </c>
      <c r="O25" s="19">
        <f>IF(NOT(ISNUMBER($D25)),"",IF($D25&lt;1,$D25,(INT($D25/100)*60+MOD($D25,100))/1440))</f>
        <v/>
      </c>
      <c r="P25" s="19">
        <f>IF(NOT(ISNUMBER($E25)),"",IF($E25&lt;1,$E25,(INT($E25/100)*60+MOD($E25,100))/1440))</f>
        <v/>
      </c>
      <c r="Q25" s="19">
        <f>IF(NOT(ISNUMBER($G25)),"",IF($G25&lt;1,$G25,(INT($G25/100)*60+MOD($G25,100))/1440))</f>
        <v/>
      </c>
      <c r="R25" s="19">
        <f>IF(NOT(ISNUMBER($H25)),"",IF($H25&lt;1,$H25,(INT($H25/100)*60+MOD($H25,100))/1440))</f>
        <v/>
      </c>
      <c r="S25" s="19">
        <f>IF(NOT(ISNUMBER($I25)),"",IF($I25&lt;1,$I25,(INT($I25/100)*60+MOD($I25,100))/1440))</f>
        <v/>
      </c>
      <c r="T25" s="19">
        <f>IF(NOT(ISNUMBER($J25)),"",IF($J25&lt;1,$J25,(INT($J25/100)*60+MOD($J25,100))/1440))</f>
        <v/>
      </c>
    </row>
    <row r="26" ht="19" customHeight="1">
      <c r="A26" s="13">
        <f>IF(A25="","",IF(MONTH(A25+1)=$D$4,A25+1,""))</f>
        <v/>
      </c>
      <c r="B26" s="14">
        <f>IF($A26="","",CHOOSE(WEEKDAY($A26,2),"月","火","水","木","金","土","日"))</f>
        <v/>
      </c>
      <c r="C26" s="15" t="n">
        <v>1000</v>
      </c>
      <c r="D26" s="15" t="n">
        <v>1600</v>
      </c>
      <c r="E26" s="15" t="n"/>
      <c r="F26" s="16">
        <f>IF(OR($N26="",$O26=""),"",MAX(0,MOD($O26-$N26,1)-IF($P26&lt;&gt;"",$P26,IF(MOD($O26-$N26,1)&gt;設定!$E$8,設定!$E$7,0))))</f>
        <v/>
      </c>
      <c r="G26" s="15" t="n"/>
      <c r="H26" s="15" t="n"/>
      <c r="I26" s="15" t="n"/>
      <c r="J26" s="15" t="n"/>
      <c r="K26" s="17">
        <f>IF($A26="","",IFERROR(VLOOKUP($A26,祝日リスト!$A$2:$C$40,3,0),""))</f>
        <v/>
      </c>
      <c r="L26" s="18" t="n"/>
      <c r="M26" s="19">
        <f>IF($A26="","",IF($K26&lt;&gt;"","祝",IF(WEEKDAY($A26,2)=6,"土",IF(WEEKDAY($A26,2)=7,"日","平"))))</f>
        <v/>
      </c>
      <c r="N26" s="19">
        <f>IF(NOT(ISNUMBER($C26)),"",IF($C26&lt;1,$C26,(INT($C26/100)*60+MOD($C26,100))/1440))</f>
        <v/>
      </c>
      <c r="O26" s="19">
        <f>IF(NOT(ISNUMBER($D26)),"",IF($D26&lt;1,$D26,(INT($D26/100)*60+MOD($D26,100))/1440))</f>
        <v/>
      </c>
      <c r="P26" s="19">
        <f>IF(NOT(ISNUMBER($E26)),"",IF($E26&lt;1,$E26,(INT($E26/100)*60+MOD($E26,100))/1440))</f>
        <v/>
      </c>
      <c r="Q26" s="19">
        <f>IF(NOT(ISNUMBER($G26)),"",IF($G26&lt;1,$G26,(INT($G26/100)*60+MOD($G26,100))/1440))</f>
        <v/>
      </c>
      <c r="R26" s="19">
        <f>IF(NOT(ISNUMBER($H26)),"",IF($H26&lt;1,$H26,(INT($H26/100)*60+MOD($H26,100))/1440))</f>
        <v/>
      </c>
      <c r="S26" s="19">
        <f>IF(NOT(ISNUMBER($I26)),"",IF($I26&lt;1,$I26,(INT($I26/100)*60+MOD($I26,100))/1440))</f>
        <v/>
      </c>
      <c r="T26" s="19">
        <f>IF(NOT(ISNUMBER($J26)),"",IF($J26&lt;1,$J26,(INT($J26/100)*60+MOD($J26,100))/1440))</f>
        <v/>
      </c>
    </row>
    <row r="27" ht="19" customHeight="1">
      <c r="A27" s="13">
        <f>IF(A26="","",IF(MONTH(A26+1)=$D$4,A26+1,""))</f>
        <v/>
      </c>
      <c r="B27" s="14">
        <f>IF($A27="","",CHOOSE(WEEKDAY($A27,2),"月","火","水","木","金","土","日"))</f>
        <v/>
      </c>
      <c r="C27" s="15" t="n">
        <v>1000</v>
      </c>
      <c r="D27" s="15" t="n">
        <v>1600</v>
      </c>
      <c r="E27" s="15" t="n"/>
      <c r="F27" s="16">
        <f>IF(OR($N27="",$O27=""),"",MAX(0,MOD($O27-$N27,1)-IF($P27&lt;&gt;"",$P27,IF(MOD($O27-$N27,1)&gt;設定!$E$8,設定!$E$7,0))))</f>
        <v/>
      </c>
      <c r="G27" s="15" t="n"/>
      <c r="H27" s="15" t="n"/>
      <c r="I27" s="15" t="n"/>
      <c r="J27" s="15" t="n"/>
      <c r="K27" s="17">
        <f>IF($A27="","",IFERROR(VLOOKUP($A27,祝日リスト!$A$2:$C$40,3,0),""))</f>
        <v/>
      </c>
      <c r="L27" s="18" t="n"/>
      <c r="M27" s="19">
        <f>IF($A27="","",IF($K27&lt;&gt;"","祝",IF(WEEKDAY($A27,2)=6,"土",IF(WEEKDAY($A27,2)=7,"日","平"))))</f>
        <v/>
      </c>
      <c r="N27" s="19">
        <f>IF(NOT(ISNUMBER($C27)),"",IF($C27&lt;1,$C27,(INT($C27/100)*60+MOD($C27,100))/1440))</f>
        <v/>
      </c>
      <c r="O27" s="19">
        <f>IF(NOT(ISNUMBER($D27)),"",IF($D27&lt;1,$D27,(INT($D27/100)*60+MOD($D27,100))/1440))</f>
        <v/>
      </c>
      <c r="P27" s="19">
        <f>IF(NOT(ISNUMBER($E27)),"",IF($E27&lt;1,$E27,(INT($E27/100)*60+MOD($E27,100))/1440))</f>
        <v/>
      </c>
      <c r="Q27" s="19">
        <f>IF(NOT(ISNUMBER($G27)),"",IF($G27&lt;1,$G27,(INT($G27/100)*60+MOD($G27,100))/1440))</f>
        <v/>
      </c>
      <c r="R27" s="19">
        <f>IF(NOT(ISNUMBER($H27)),"",IF($H27&lt;1,$H27,(INT($H27/100)*60+MOD($H27,100))/1440))</f>
        <v/>
      </c>
      <c r="S27" s="19">
        <f>IF(NOT(ISNUMBER($I27)),"",IF($I27&lt;1,$I27,(INT($I27/100)*60+MOD($I27,100))/1440))</f>
        <v/>
      </c>
      <c r="T27" s="19">
        <f>IF(NOT(ISNUMBER($J27)),"",IF($J27&lt;1,$J27,(INT($J27/100)*60+MOD($J27,100))/1440))</f>
        <v/>
      </c>
    </row>
    <row r="28" ht="19" customHeight="1">
      <c r="A28" s="13">
        <f>IF(A27="","",IF(MONTH(A27+1)=$D$4,A27+1,""))</f>
        <v/>
      </c>
      <c r="B28" s="14">
        <f>IF($A28="","",CHOOSE(WEEKDAY($A28,2),"月","火","水","木","金","土","日"))</f>
        <v/>
      </c>
      <c r="C28" s="15" t="n"/>
      <c r="D28" s="15" t="n"/>
      <c r="E28" s="15" t="n"/>
      <c r="F28" s="16">
        <f>IF(OR($N28="",$O28=""),"",MAX(0,MOD($O28-$N28,1)-IF($P28&lt;&gt;"",$P28,IF(MOD($O28-$N28,1)&gt;設定!$E$8,設定!$E$7,0))))</f>
        <v/>
      </c>
      <c r="G28" s="15" t="n"/>
      <c r="H28" s="15" t="n"/>
      <c r="I28" s="15" t="n"/>
      <c r="J28" s="15" t="n"/>
      <c r="K28" s="17">
        <f>IF($A28="","",IFERROR(VLOOKUP($A28,祝日リスト!$A$2:$C$40,3,0),""))</f>
        <v/>
      </c>
      <c r="L28" s="18" t="n"/>
      <c r="M28" s="19">
        <f>IF($A28="","",IF($K28&lt;&gt;"","祝",IF(WEEKDAY($A28,2)=6,"土",IF(WEEKDAY($A28,2)=7,"日","平"))))</f>
        <v/>
      </c>
      <c r="N28" s="19">
        <f>IF(NOT(ISNUMBER($C28)),"",IF($C28&lt;1,$C28,(INT($C28/100)*60+MOD($C28,100))/1440))</f>
        <v/>
      </c>
      <c r="O28" s="19">
        <f>IF(NOT(ISNUMBER($D28)),"",IF($D28&lt;1,$D28,(INT($D28/100)*60+MOD($D28,100))/1440))</f>
        <v/>
      </c>
      <c r="P28" s="19">
        <f>IF(NOT(ISNUMBER($E28)),"",IF($E28&lt;1,$E28,(INT($E28/100)*60+MOD($E28,100))/1440))</f>
        <v/>
      </c>
      <c r="Q28" s="19">
        <f>IF(NOT(ISNUMBER($G28)),"",IF($G28&lt;1,$G28,(INT($G28/100)*60+MOD($G28,100))/1440))</f>
        <v/>
      </c>
      <c r="R28" s="19">
        <f>IF(NOT(ISNUMBER($H28)),"",IF($H28&lt;1,$H28,(INT($H28/100)*60+MOD($H28,100))/1440))</f>
        <v/>
      </c>
      <c r="S28" s="19">
        <f>IF(NOT(ISNUMBER($I28)),"",IF($I28&lt;1,$I28,(INT($I28/100)*60+MOD($I28,100))/1440))</f>
        <v/>
      </c>
      <c r="T28" s="19">
        <f>IF(NOT(ISNUMBER($J28)),"",IF($J28&lt;1,$J28,(INT($J28/100)*60+MOD($J28,100))/1440))</f>
        <v/>
      </c>
    </row>
    <row r="29" ht="19" customHeight="1">
      <c r="A29" s="13">
        <f>IF(A28="","",IF(MONTH(A28+1)=$D$4,A28+1,""))</f>
        <v/>
      </c>
      <c r="B29" s="14">
        <f>IF($A29="","",CHOOSE(WEEKDAY($A29,2),"月","火","水","木","金","土","日"))</f>
        <v/>
      </c>
      <c r="C29" s="15" t="n">
        <v>1000</v>
      </c>
      <c r="D29" s="15" t="n">
        <v>1600</v>
      </c>
      <c r="E29" s="15" t="n"/>
      <c r="F29" s="16">
        <f>IF(OR($N29="",$O29=""),"",MAX(0,MOD($O29-$N29,1)-IF($P29&lt;&gt;"",$P29,IF(MOD($O29-$N29,1)&gt;設定!$E$8,設定!$E$7,0))))</f>
        <v/>
      </c>
      <c r="G29" s="15" t="n"/>
      <c r="H29" s="15" t="n"/>
      <c r="I29" s="15" t="n"/>
      <c r="J29" s="15" t="n"/>
      <c r="K29" s="17">
        <f>IF($A29="","",IFERROR(VLOOKUP($A29,祝日リスト!$A$2:$C$40,3,0),""))</f>
        <v/>
      </c>
      <c r="L29" s="18" t="n"/>
      <c r="M29" s="19">
        <f>IF($A29="","",IF($K29&lt;&gt;"","祝",IF(WEEKDAY($A29,2)=6,"土",IF(WEEKDAY($A29,2)=7,"日","平"))))</f>
        <v/>
      </c>
      <c r="N29" s="19">
        <f>IF(NOT(ISNUMBER($C29)),"",IF($C29&lt;1,$C29,(INT($C29/100)*60+MOD($C29,100))/1440))</f>
        <v/>
      </c>
      <c r="O29" s="19">
        <f>IF(NOT(ISNUMBER($D29)),"",IF($D29&lt;1,$D29,(INT($D29/100)*60+MOD($D29,100))/1440))</f>
        <v/>
      </c>
      <c r="P29" s="19">
        <f>IF(NOT(ISNUMBER($E29)),"",IF($E29&lt;1,$E29,(INT($E29/100)*60+MOD($E29,100))/1440))</f>
        <v/>
      </c>
      <c r="Q29" s="19">
        <f>IF(NOT(ISNUMBER($G29)),"",IF($G29&lt;1,$G29,(INT($G29/100)*60+MOD($G29,100))/1440))</f>
        <v/>
      </c>
      <c r="R29" s="19">
        <f>IF(NOT(ISNUMBER($H29)),"",IF($H29&lt;1,$H29,(INT($H29/100)*60+MOD($H29,100))/1440))</f>
        <v/>
      </c>
      <c r="S29" s="19">
        <f>IF(NOT(ISNUMBER($I29)),"",IF($I29&lt;1,$I29,(INT($I29/100)*60+MOD($I29,100))/1440))</f>
        <v/>
      </c>
      <c r="T29" s="19">
        <f>IF(NOT(ISNUMBER($J29)),"",IF($J29&lt;1,$J29,(INT($J29/100)*60+MOD($J29,100))/1440))</f>
        <v/>
      </c>
    </row>
    <row r="30" ht="19" customHeight="1">
      <c r="A30" s="13">
        <f>IF(A29="","",IF(MONTH(A29+1)=$D$4,A29+1,""))</f>
        <v/>
      </c>
      <c r="B30" s="14">
        <f>IF($A30="","",CHOOSE(WEEKDAY($A30,2),"月","火","水","木","金","土","日"))</f>
        <v/>
      </c>
      <c r="C30" s="15" t="n">
        <v>1000</v>
      </c>
      <c r="D30" s="15" t="n">
        <v>1600</v>
      </c>
      <c r="E30" s="15" t="n"/>
      <c r="F30" s="16">
        <f>IF(OR($N30="",$O30=""),"",MAX(0,MOD($O30-$N30,1)-IF($P30&lt;&gt;"",$P30,IF(MOD($O30-$N30,1)&gt;設定!$E$8,設定!$E$7,0))))</f>
        <v/>
      </c>
      <c r="G30" s="15" t="n"/>
      <c r="H30" s="15" t="n"/>
      <c r="I30" s="15" t="n"/>
      <c r="J30" s="15" t="n"/>
      <c r="K30" s="17">
        <f>IF($A30="","",IFERROR(VLOOKUP($A30,祝日リスト!$A$2:$C$40,3,0),""))</f>
        <v/>
      </c>
      <c r="L30" s="18" t="n"/>
      <c r="M30" s="19">
        <f>IF($A30="","",IF($K30&lt;&gt;"","祝",IF(WEEKDAY($A30,2)=6,"土",IF(WEEKDAY($A30,2)=7,"日","平"))))</f>
        <v/>
      </c>
      <c r="N30" s="19">
        <f>IF(NOT(ISNUMBER($C30)),"",IF($C30&lt;1,$C30,(INT($C30/100)*60+MOD($C30,100))/1440))</f>
        <v/>
      </c>
      <c r="O30" s="19">
        <f>IF(NOT(ISNUMBER($D30)),"",IF($D30&lt;1,$D30,(INT($D30/100)*60+MOD($D30,100))/1440))</f>
        <v/>
      </c>
      <c r="P30" s="19">
        <f>IF(NOT(ISNUMBER($E30)),"",IF($E30&lt;1,$E30,(INT($E30/100)*60+MOD($E30,100))/1440))</f>
        <v/>
      </c>
      <c r="Q30" s="19">
        <f>IF(NOT(ISNUMBER($G30)),"",IF($G30&lt;1,$G30,(INT($G30/100)*60+MOD($G30,100))/1440))</f>
        <v/>
      </c>
      <c r="R30" s="19">
        <f>IF(NOT(ISNUMBER($H30)),"",IF($H30&lt;1,$H30,(INT($H30/100)*60+MOD($H30,100))/1440))</f>
        <v/>
      </c>
      <c r="S30" s="19">
        <f>IF(NOT(ISNUMBER($I30)),"",IF($I30&lt;1,$I30,(INT($I30/100)*60+MOD($I30,100))/1440))</f>
        <v/>
      </c>
      <c r="T30" s="19">
        <f>IF(NOT(ISNUMBER($J30)),"",IF($J30&lt;1,$J30,(INT($J30/100)*60+MOD($J30,100))/1440))</f>
        <v/>
      </c>
    </row>
    <row r="31" ht="19" customHeight="1">
      <c r="A31" s="13">
        <f>IF(A30="","",IF(MONTH(A30+1)=$D$4,A30+1,""))</f>
        <v/>
      </c>
      <c r="B31" s="14">
        <f>IF($A31="","",CHOOSE(WEEKDAY($A31,2),"月","火","水","木","金","土","日"))</f>
        <v/>
      </c>
      <c r="C31" s="15" t="n"/>
      <c r="D31" s="15" t="n"/>
      <c r="E31" s="15" t="n"/>
      <c r="F31" s="16">
        <f>IF(OR($N31="",$O31=""),"",MAX(0,MOD($O31-$N31,1)-IF($P31&lt;&gt;"",$P31,IF(MOD($O31-$N31,1)&gt;設定!$E$8,設定!$E$7,0))))</f>
        <v/>
      </c>
      <c r="G31" s="15" t="n"/>
      <c r="H31" s="15" t="n"/>
      <c r="I31" s="15" t="n"/>
      <c r="J31" s="15" t="n"/>
      <c r="K31" s="17">
        <f>IF($A31="","",IFERROR(VLOOKUP($A31,祝日リスト!$A$2:$C$40,3,0),""))</f>
        <v/>
      </c>
      <c r="L31" s="18" t="n"/>
      <c r="M31" s="19">
        <f>IF($A31="","",IF($K31&lt;&gt;"","祝",IF(WEEKDAY($A31,2)=6,"土",IF(WEEKDAY($A31,2)=7,"日","平"))))</f>
        <v/>
      </c>
      <c r="N31" s="19">
        <f>IF(NOT(ISNUMBER($C31)),"",IF($C31&lt;1,$C31,(INT($C31/100)*60+MOD($C31,100))/1440))</f>
        <v/>
      </c>
      <c r="O31" s="19">
        <f>IF(NOT(ISNUMBER($D31)),"",IF($D31&lt;1,$D31,(INT($D31/100)*60+MOD($D31,100))/1440))</f>
        <v/>
      </c>
      <c r="P31" s="19">
        <f>IF(NOT(ISNUMBER($E31)),"",IF($E31&lt;1,$E31,(INT($E31/100)*60+MOD($E31,100))/1440))</f>
        <v/>
      </c>
      <c r="Q31" s="19">
        <f>IF(NOT(ISNUMBER($G31)),"",IF($G31&lt;1,$G31,(INT($G31/100)*60+MOD($G31,100))/1440))</f>
        <v/>
      </c>
      <c r="R31" s="19">
        <f>IF(NOT(ISNUMBER($H31)),"",IF($H31&lt;1,$H31,(INT($H31/100)*60+MOD($H31,100))/1440))</f>
        <v/>
      </c>
      <c r="S31" s="19">
        <f>IF(NOT(ISNUMBER($I31)),"",IF($I31&lt;1,$I31,(INT($I31/100)*60+MOD($I31,100))/1440))</f>
        <v/>
      </c>
      <c r="T31" s="19">
        <f>IF(NOT(ISNUMBER($J31)),"",IF($J31&lt;1,$J31,(INT($J31/100)*60+MOD($J31,100))/1440))</f>
        <v/>
      </c>
    </row>
    <row r="32" ht="19" customHeight="1">
      <c r="A32" s="13">
        <f>IF(A31="","",IF(MONTH(A31+1)=$D$4,A31+1,""))</f>
        <v/>
      </c>
      <c r="B32" s="14">
        <f>IF($A32="","",CHOOSE(WEEKDAY($A32,2),"月","火","水","木","金","土","日"))</f>
        <v/>
      </c>
      <c r="C32" s="15" t="n"/>
      <c r="D32" s="15" t="n"/>
      <c r="E32" s="15" t="n"/>
      <c r="F32" s="16">
        <f>IF(OR($N32="",$O32=""),"",MAX(0,MOD($O32-$N32,1)-IF($P32&lt;&gt;"",$P32,IF(MOD($O32-$N32,1)&gt;設定!$E$8,設定!$E$7,0))))</f>
        <v/>
      </c>
      <c r="G32" s="15" t="n"/>
      <c r="H32" s="15" t="n"/>
      <c r="I32" s="15" t="n"/>
      <c r="J32" s="15" t="n"/>
      <c r="K32" s="17">
        <f>IF($A32="","",IFERROR(VLOOKUP($A32,祝日リスト!$A$2:$C$40,3,0),""))</f>
        <v/>
      </c>
      <c r="L32" s="18" t="n"/>
      <c r="M32" s="19">
        <f>IF($A32="","",IF($K32&lt;&gt;"","祝",IF(WEEKDAY($A32,2)=6,"土",IF(WEEKDAY($A32,2)=7,"日","平"))))</f>
        <v/>
      </c>
      <c r="N32" s="19">
        <f>IF(NOT(ISNUMBER($C32)),"",IF($C32&lt;1,$C32,(INT($C32/100)*60+MOD($C32,100))/1440))</f>
        <v/>
      </c>
      <c r="O32" s="19">
        <f>IF(NOT(ISNUMBER($D32)),"",IF($D32&lt;1,$D32,(INT($D32/100)*60+MOD($D32,100))/1440))</f>
        <v/>
      </c>
      <c r="P32" s="19">
        <f>IF(NOT(ISNUMBER($E32)),"",IF($E32&lt;1,$E32,(INT($E32/100)*60+MOD($E32,100))/1440))</f>
        <v/>
      </c>
      <c r="Q32" s="19">
        <f>IF(NOT(ISNUMBER($G32)),"",IF($G32&lt;1,$G32,(INT($G32/100)*60+MOD($G32,100))/1440))</f>
        <v/>
      </c>
      <c r="R32" s="19">
        <f>IF(NOT(ISNUMBER($H32)),"",IF($H32&lt;1,$H32,(INT($H32/100)*60+MOD($H32,100))/1440))</f>
        <v/>
      </c>
      <c r="S32" s="19">
        <f>IF(NOT(ISNUMBER($I32)),"",IF($I32&lt;1,$I32,(INT($I32/100)*60+MOD($I32,100))/1440))</f>
        <v/>
      </c>
      <c r="T32" s="19">
        <f>IF(NOT(ISNUMBER($J32)),"",IF($J32&lt;1,$J32,(INT($J32/100)*60+MOD($J32,100))/1440))</f>
        <v/>
      </c>
    </row>
    <row r="33" ht="19" customHeight="1">
      <c r="A33" s="13">
        <f>IF(A32="","",IF(MONTH(A32+1)=$D$4,A32+1,""))</f>
        <v/>
      </c>
      <c r="B33" s="14">
        <f>IF($A33="","",CHOOSE(WEEKDAY($A33,2),"月","火","水","木","金","土","日"))</f>
        <v/>
      </c>
      <c r="C33" s="15" t="n">
        <v>1000</v>
      </c>
      <c r="D33" s="15" t="n">
        <v>1600</v>
      </c>
      <c r="E33" s="15" t="n"/>
      <c r="F33" s="16">
        <f>IF(OR($N33="",$O33=""),"",MAX(0,MOD($O33-$N33,1)-IF($P33&lt;&gt;"",$P33,IF(MOD($O33-$N33,1)&gt;設定!$E$8,設定!$E$7,0))))</f>
        <v/>
      </c>
      <c r="G33" s="15" t="n"/>
      <c r="H33" s="15" t="n"/>
      <c r="I33" s="15" t="n"/>
      <c r="J33" s="15" t="n"/>
      <c r="K33" s="17">
        <f>IF($A33="","",IFERROR(VLOOKUP($A33,祝日リスト!$A$2:$C$40,3,0),""))</f>
        <v/>
      </c>
      <c r="L33" s="18" t="n"/>
      <c r="M33" s="19">
        <f>IF($A33="","",IF($K33&lt;&gt;"","祝",IF(WEEKDAY($A33,2)=6,"土",IF(WEEKDAY($A33,2)=7,"日","平"))))</f>
        <v/>
      </c>
      <c r="N33" s="19">
        <f>IF(NOT(ISNUMBER($C33)),"",IF($C33&lt;1,$C33,(INT($C33/100)*60+MOD($C33,100))/1440))</f>
        <v/>
      </c>
      <c r="O33" s="19">
        <f>IF(NOT(ISNUMBER($D33)),"",IF($D33&lt;1,$D33,(INT($D33/100)*60+MOD($D33,100))/1440))</f>
        <v/>
      </c>
      <c r="P33" s="19">
        <f>IF(NOT(ISNUMBER($E33)),"",IF($E33&lt;1,$E33,(INT($E33/100)*60+MOD($E33,100))/1440))</f>
        <v/>
      </c>
      <c r="Q33" s="19">
        <f>IF(NOT(ISNUMBER($G33)),"",IF($G33&lt;1,$G33,(INT($G33/100)*60+MOD($G33,100))/1440))</f>
        <v/>
      </c>
      <c r="R33" s="19">
        <f>IF(NOT(ISNUMBER($H33)),"",IF($H33&lt;1,$H33,(INT($H33/100)*60+MOD($H33,100))/1440))</f>
        <v/>
      </c>
      <c r="S33" s="19">
        <f>IF(NOT(ISNUMBER($I33)),"",IF($I33&lt;1,$I33,(INT($I33/100)*60+MOD($I33,100))/1440))</f>
        <v/>
      </c>
      <c r="T33" s="19">
        <f>IF(NOT(ISNUMBER($J33)),"",IF($J33&lt;1,$J33,(INT($J33/100)*60+MOD($J33,100))/1440))</f>
        <v/>
      </c>
    </row>
    <row r="34" ht="19" customHeight="1">
      <c r="A34" s="13">
        <f>IF(A33="","",IF(MONTH(A33+1)=$D$4,A33+1,""))</f>
        <v/>
      </c>
      <c r="B34" s="14">
        <f>IF($A34="","",CHOOSE(WEEKDAY($A34,2),"月","火","水","木","金","土","日"))</f>
        <v/>
      </c>
      <c r="C34" s="15" t="n">
        <v>1000</v>
      </c>
      <c r="D34" s="15" t="n">
        <v>1600</v>
      </c>
      <c r="E34" s="15" t="n"/>
      <c r="F34" s="16">
        <f>IF(OR($N34="",$O34=""),"",MAX(0,MOD($O34-$N34,1)-IF($P34&lt;&gt;"",$P34,IF(MOD($O34-$N34,1)&gt;設定!$E$8,設定!$E$7,0))))</f>
        <v/>
      </c>
      <c r="G34" s="15" t="n"/>
      <c r="H34" s="15" t="n"/>
      <c r="I34" s="15" t="n"/>
      <c r="J34" s="15" t="n"/>
      <c r="K34" s="17">
        <f>IF($A34="","",IFERROR(VLOOKUP($A34,祝日リスト!$A$2:$C$40,3,0),""))</f>
        <v/>
      </c>
      <c r="L34" s="18" t="n"/>
      <c r="M34" s="19">
        <f>IF($A34="","",IF($K34&lt;&gt;"","祝",IF(WEEKDAY($A34,2)=6,"土",IF(WEEKDAY($A34,2)=7,"日","平"))))</f>
        <v/>
      </c>
      <c r="N34" s="19">
        <f>IF(NOT(ISNUMBER($C34)),"",IF($C34&lt;1,$C34,(INT($C34/100)*60+MOD($C34,100))/1440))</f>
        <v/>
      </c>
      <c r="O34" s="19">
        <f>IF(NOT(ISNUMBER($D34)),"",IF($D34&lt;1,$D34,(INT($D34/100)*60+MOD($D34,100))/1440))</f>
        <v/>
      </c>
      <c r="P34" s="19">
        <f>IF(NOT(ISNUMBER($E34)),"",IF($E34&lt;1,$E34,(INT($E34/100)*60+MOD($E34,100))/1440))</f>
        <v/>
      </c>
      <c r="Q34" s="19">
        <f>IF(NOT(ISNUMBER($G34)),"",IF($G34&lt;1,$G34,(INT($G34/100)*60+MOD($G34,100))/1440))</f>
        <v/>
      </c>
      <c r="R34" s="19">
        <f>IF(NOT(ISNUMBER($H34)),"",IF($H34&lt;1,$H34,(INT($H34/100)*60+MOD($H34,100))/1440))</f>
        <v/>
      </c>
      <c r="S34" s="19">
        <f>IF(NOT(ISNUMBER($I34)),"",IF($I34&lt;1,$I34,(INT($I34/100)*60+MOD($I34,100))/1440))</f>
        <v/>
      </c>
      <c r="T34" s="19">
        <f>IF(NOT(ISNUMBER($J34)),"",IF($J34&lt;1,$J34,(INT($J34/100)*60+MOD($J34,100))/1440))</f>
        <v/>
      </c>
    </row>
    <row r="35" ht="19" customHeight="1">
      <c r="A35" s="13">
        <f>IF(A34="","",IF(MONTH(A34+1)=$D$4,A34+1,""))</f>
        <v/>
      </c>
      <c r="B35" s="14">
        <f>IF($A35="","",CHOOSE(WEEKDAY($A35,2),"月","火","水","木","金","土","日"))</f>
        <v/>
      </c>
      <c r="C35" s="15" t="n"/>
      <c r="D35" s="15" t="n"/>
      <c r="E35" s="15" t="n"/>
      <c r="F35" s="16">
        <f>IF(OR($N35="",$O35=""),"",MAX(0,MOD($O35-$N35,1)-IF($P35&lt;&gt;"",$P35,IF(MOD($O35-$N35,1)&gt;設定!$E$8,設定!$E$7,0))))</f>
        <v/>
      </c>
      <c r="G35" s="15" t="n"/>
      <c r="H35" s="15" t="n"/>
      <c r="I35" s="15" t="n"/>
      <c r="J35" s="15" t="n"/>
      <c r="K35" s="17">
        <f>IF($A35="","",IFERROR(VLOOKUP($A35,祝日リスト!$A$2:$C$40,3,0),""))</f>
        <v/>
      </c>
      <c r="L35" s="18" t="n"/>
      <c r="M35" s="19">
        <f>IF($A35="","",IF($K35&lt;&gt;"","祝",IF(WEEKDAY($A35,2)=6,"土",IF(WEEKDAY($A35,2)=7,"日","平"))))</f>
        <v/>
      </c>
      <c r="N35" s="19">
        <f>IF(NOT(ISNUMBER($C35)),"",IF($C35&lt;1,$C35,(INT($C35/100)*60+MOD($C35,100))/1440))</f>
        <v/>
      </c>
      <c r="O35" s="19">
        <f>IF(NOT(ISNUMBER($D35)),"",IF($D35&lt;1,$D35,(INT($D35/100)*60+MOD($D35,100))/1440))</f>
        <v/>
      </c>
      <c r="P35" s="19">
        <f>IF(NOT(ISNUMBER($E35)),"",IF($E35&lt;1,$E35,(INT($E35/100)*60+MOD($E35,100))/1440))</f>
        <v/>
      </c>
      <c r="Q35" s="19">
        <f>IF(NOT(ISNUMBER($G35)),"",IF($G35&lt;1,$G35,(INT($G35/100)*60+MOD($G35,100))/1440))</f>
        <v/>
      </c>
      <c r="R35" s="19">
        <f>IF(NOT(ISNUMBER($H35)),"",IF($H35&lt;1,$H35,(INT($H35/100)*60+MOD($H35,100))/1440))</f>
        <v/>
      </c>
      <c r="S35" s="19">
        <f>IF(NOT(ISNUMBER($I35)),"",IF($I35&lt;1,$I35,(INT($I35/100)*60+MOD($I35,100))/1440))</f>
        <v/>
      </c>
      <c r="T35" s="19">
        <f>IF(NOT(ISNUMBER($J35)),"",IF($J35&lt;1,$J35,(INT($J35/100)*60+MOD($J35,100))/1440))</f>
        <v/>
      </c>
    </row>
    <row r="36" ht="19" customHeight="1">
      <c r="A36" s="13">
        <f>IF(A35="","",IF(MONTH(A35+1)=$D$4,A35+1,""))</f>
        <v/>
      </c>
      <c r="B36" s="14">
        <f>IF($A36="","",CHOOSE(WEEKDAY($A36,2),"月","火","水","木","金","土","日"))</f>
        <v/>
      </c>
      <c r="C36" s="15" t="n">
        <v>1000</v>
      </c>
      <c r="D36" s="15" t="n">
        <v>1600</v>
      </c>
      <c r="E36" s="15" t="n"/>
      <c r="F36" s="16">
        <f>IF(OR($N36="",$O36=""),"",MAX(0,MOD($O36-$N36,1)-IF($P36&lt;&gt;"",$P36,IF(MOD($O36-$N36,1)&gt;設定!$E$8,設定!$E$7,0))))</f>
        <v/>
      </c>
      <c r="G36" s="15" t="n"/>
      <c r="H36" s="15" t="n"/>
      <c r="I36" s="15" t="n"/>
      <c r="J36" s="15" t="n"/>
      <c r="K36" s="17">
        <f>IF($A36="","",IFERROR(VLOOKUP($A36,祝日リスト!$A$2:$C$40,3,0),""))</f>
        <v/>
      </c>
      <c r="L36" s="18" t="n"/>
      <c r="M36" s="19">
        <f>IF($A36="","",IF($K36&lt;&gt;"","祝",IF(WEEKDAY($A36,2)=6,"土",IF(WEEKDAY($A36,2)=7,"日","平"))))</f>
        <v/>
      </c>
      <c r="N36" s="19">
        <f>IF(NOT(ISNUMBER($C36)),"",IF($C36&lt;1,$C36,(INT($C36/100)*60+MOD($C36,100))/1440))</f>
        <v/>
      </c>
      <c r="O36" s="19">
        <f>IF(NOT(ISNUMBER($D36)),"",IF($D36&lt;1,$D36,(INT($D36/100)*60+MOD($D36,100))/1440))</f>
        <v/>
      </c>
      <c r="P36" s="19">
        <f>IF(NOT(ISNUMBER($E36)),"",IF($E36&lt;1,$E36,(INT($E36/100)*60+MOD($E36,100))/1440))</f>
        <v/>
      </c>
      <c r="Q36" s="19">
        <f>IF(NOT(ISNUMBER($G36)),"",IF($G36&lt;1,$G36,(INT($G36/100)*60+MOD($G36,100))/1440))</f>
        <v/>
      </c>
      <c r="R36" s="19">
        <f>IF(NOT(ISNUMBER($H36)),"",IF($H36&lt;1,$H36,(INT($H36/100)*60+MOD($H36,100))/1440))</f>
        <v/>
      </c>
      <c r="S36" s="19">
        <f>IF(NOT(ISNUMBER($I36)),"",IF($I36&lt;1,$I36,(INT($I36/100)*60+MOD($I36,100))/1440))</f>
        <v/>
      </c>
      <c r="T36" s="19">
        <f>IF(NOT(ISNUMBER($J36)),"",IF($J36&lt;1,$J36,(INT($J36/100)*60+MOD($J36,100))/1440))</f>
        <v/>
      </c>
    </row>
    <row r="37" ht="19" customHeight="1">
      <c r="A37" s="13">
        <f>IF(A36="","",IF(MONTH(A36+1)=$D$4,A36+1,""))</f>
        <v/>
      </c>
      <c r="B37" s="14">
        <f>IF($A37="","",CHOOSE(WEEKDAY($A37,2),"月","火","水","木","金","土","日"))</f>
        <v/>
      </c>
      <c r="C37" s="15" t="n">
        <v>1000</v>
      </c>
      <c r="D37" s="15" t="n">
        <v>1600</v>
      </c>
      <c r="E37" s="15" t="n"/>
      <c r="F37" s="16">
        <f>IF(OR($N37="",$O37=""),"",MAX(0,MOD($O37-$N37,1)-IF($P37&lt;&gt;"",$P37,IF(MOD($O37-$N37,1)&gt;設定!$E$8,設定!$E$7,0))))</f>
        <v/>
      </c>
      <c r="G37" s="15" t="n"/>
      <c r="H37" s="15" t="n"/>
      <c r="I37" s="15" t="n"/>
      <c r="J37" s="15" t="n"/>
      <c r="K37" s="17">
        <f>IF($A37="","",IFERROR(VLOOKUP($A37,祝日リスト!$A$2:$C$40,3,0),""))</f>
        <v/>
      </c>
      <c r="L37" s="18" t="n"/>
      <c r="M37" s="19">
        <f>IF($A37="","",IF($K37&lt;&gt;"","祝",IF(WEEKDAY($A37,2)=6,"土",IF(WEEKDAY($A37,2)=7,"日","平"))))</f>
        <v/>
      </c>
      <c r="N37" s="19">
        <f>IF(NOT(ISNUMBER($C37)),"",IF($C37&lt;1,$C37,(INT($C37/100)*60+MOD($C37,100))/1440))</f>
        <v/>
      </c>
      <c r="O37" s="19">
        <f>IF(NOT(ISNUMBER($D37)),"",IF($D37&lt;1,$D37,(INT($D37/100)*60+MOD($D37,100))/1440))</f>
        <v/>
      </c>
      <c r="P37" s="19">
        <f>IF(NOT(ISNUMBER($E37)),"",IF($E37&lt;1,$E37,(INT($E37/100)*60+MOD($E37,100))/1440))</f>
        <v/>
      </c>
      <c r="Q37" s="19">
        <f>IF(NOT(ISNUMBER($G37)),"",IF($G37&lt;1,$G37,(INT($G37/100)*60+MOD($G37,100))/1440))</f>
        <v/>
      </c>
      <c r="R37" s="19">
        <f>IF(NOT(ISNUMBER($H37)),"",IF($H37&lt;1,$H37,(INT($H37/100)*60+MOD($H37,100))/1440))</f>
        <v/>
      </c>
      <c r="S37" s="19">
        <f>IF(NOT(ISNUMBER($I37)),"",IF($I37&lt;1,$I37,(INT($I37/100)*60+MOD($I37,100))/1440))</f>
        <v/>
      </c>
      <c r="T37" s="19">
        <f>IF(NOT(ISNUMBER($J37)),"",IF($J37&lt;1,$J37,(INT($J37/100)*60+MOD($J37,100))/1440))</f>
        <v/>
      </c>
    </row>
    <row r="38" ht="19" customHeight="1">
      <c r="A38" s="20">
        <f>IF(A37="","",IF(MONTH(A37+1)=$D$4,A37+1,""))</f>
        <v/>
      </c>
      <c r="B38" s="21">
        <f>IF($A38="","",CHOOSE(WEEKDAY($A38,2),"月","火","水","木","金","土","日"))</f>
        <v/>
      </c>
      <c r="C38" s="22" t="n"/>
      <c r="D38" s="22" t="n"/>
      <c r="E38" s="22" t="n"/>
      <c r="F38" s="23">
        <f>IF(OR($N38="",$O38=""),"",MAX(0,MOD($O38-$N38,1)-IF($P38&lt;&gt;"",$P38,IF(MOD($O38-$N38,1)&gt;設定!$E$8,設定!$E$7,0))))</f>
        <v/>
      </c>
      <c r="G38" s="22" t="n"/>
      <c r="H38" s="22" t="n"/>
      <c r="I38" s="22" t="n"/>
      <c r="J38" s="22" t="n"/>
      <c r="K38" s="24">
        <f>IF($A38="","",IFERROR(VLOOKUP($A38,祝日リスト!$A$2:$C$40,3,0),""))</f>
        <v/>
      </c>
      <c r="L38" s="25" t="n"/>
      <c r="M38" s="19">
        <f>IF($A38="","",IF($K38&lt;&gt;"","祝",IF(WEEKDAY($A38,2)=6,"土",IF(WEEKDAY($A38,2)=7,"日","平"))))</f>
        <v/>
      </c>
      <c r="N38" s="19">
        <f>IF(NOT(ISNUMBER($C38)),"",IF($C38&lt;1,$C38,(INT($C38/100)*60+MOD($C38,100))/1440))</f>
        <v/>
      </c>
      <c r="O38" s="19">
        <f>IF(NOT(ISNUMBER($D38)),"",IF($D38&lt;1,$D38,(INT($D38/100)*60+MOD($D38,100))/1440))</f>
        <v/>
      </c>
      <c r="P38" s="19">
        <f>IF(NOT(ISNUMBER($E38)),"",IF($E38&lt;1,$E38,(INT($E38/100)*60+MOD($E38,100))/1440))</f>
        <v/>
      </c>
      <c r="Q38" s="19">
        <f>IF(NOT(ISNUMBER($G38)),"",IF($G38&lt;1,$G38,(INT($G38/100)*60+MOD($G38,100))/1440))</f>
        <v/>
      </c>
      <c r="R38" s="19">
        <f>IF(NOT(ISNUMBER($H38)),"",IF($H38&lt;1,$H38,(INT($H38/100)*60+MOD($H38,100))/1440))</f>
        <v/>
      </c>
      <c r="S38" s="19">
        <f>IF(NOT(ISNUMBER($I38)),"",IF($I38&lt;1,$I38,(INT($I38/100)*60+MOD($I38,100))/1440))</f>
        <v/>
      </c>
      <c r="T38" s="19">
        <f>IF(NOT(ISNUMBER($J38)),"",IF($J38&lt;1,$J38,(INT($J38/100)*60+MOD($J38,100))/1440))</f>
        <v/>
      </c>
    </row>
    <row r="40" ht="20" customHeight="1">
      <c r="A40" s="26" t="inlineStr">
        <is>
          <t>月次集計</t>
        </is>
      </c>
    </row>
    <row r="41" ht="18" customHeight="1">
      <c r="A41" s="27" t="inlineStr">
        <is>
          <t>出勤日数</t>
        </is>
      </c>
      <c r="D41" s="28">
        <f>COUNT($N$8:$N$38)</f>
        <v/>
      </c>
      <c r="E41" s="29" t="inlineStr">
        <is>
          <t>日</t>
        </is>
      </c>
      <c r="G41" s="27" t="inlineStr">
        <is>
          <t>通常残業</t>
        </is>
      </c>
      <c r="K41" s="30">
        <f>SUM($Q$8:$Q$38)</f>
        <v/>
      </c>
    </row>
    <row r="42" ht="18" customHeight="1">
      <c r="A42" s="27" t="inlineStr">
        <is>
          <t>実働時間 合計</t>
        </is>
      </c>
      <c r="D42" s="30">
        <f>SUM($F$8:$F$38)</f>
        <v/>
      </c>
      <c r="G42" s="27" t="inlineStr">
        <is>
          <t>深夜残業</t>
        </is>
      </c>
      <c r="K42" s="30">
        <f>SUM($R$8:$R$38)</f>
        <v/>
      </c>
    </row>
    <row r="43" ht="18" customHeight="1">
      <c r="A43" s="31" t="inlineStr">
        <is>
          <t xml:space="preserve">　うち 平日</t>
        </is>
      </c>
      <c r="D43" s="30">
        <f>SUMIF($M$8:$M$38,"平",$F$8:$F$38)</f>
        <v/>
      </c>
      <c r="G43" s="27" t="inlineStr">
        <is>
          <t>早朝残業</t>
        </is>
      </c>
      <c r="K43" s="30">
        <f>SUM($S$8:$S$38)</f>
        <v/>
      </c>
    </row>
    <row r="44" ht="18" customHeight="1">
      <c r="A44" s="31" t="inlineStr">
        <is>
          <t xml:space="preserve">　うち 土曜</t>
        </is>
      </c>
      <c r="D44" s="30">
        <f>SUMIF($M$8:$M$38,"土",$F$8:$F$38)</f>
        <v/>
      </c>
      <c r="G44" s="27" t="inlineStr">
        <is>
          <t>遅刻・早退</t>
        </is>
      </c>
      <c r="K44" s="30">
        <f>SUM($T$8:$T$38)</f>
        <v/>
      </c>
    </row>
    <row r="45" ht="18" customHeight="1">
      <c r="A45" s="31" t="inlineStr">
        <is>
          <t xml:space="preserve">　うち 日曜・祝日</t>
        </is>
      </c>
      <c r="D45" s="30">
        <f>SUMIF($M$8:$M$38,"日",$F$8:$F$38)+SUMIF($M$8:$M$38,"祝",$F$8:$F$38)</f>
        <v/>
      </c>
      <c r="G45" s="27" t="inlineStr">
        <is>
          <t>所定超過(実働-所定×出勤日数)</t>
        </is>
      </c>
      <c r="K45" s="30">
        <f>MAX(0,SUM($F$8:$F$38)-設定!$E$6*COUNT($N$8:$N$38))</f>
        <v/>
      </c>
    </row>
    <row r="47">
      <c r="A47" s="11" t="inlineStr">
        <is>
          <t>※ 残業欄は実働時間の内数です。実働は「退勤－出勤－休憩」で自動計算されます。</t>
        </is>
      </c>
    </row>
    <row r="49" ht="30" customHeight="1">
      <c r="G49" s="9" t="inlineStr">
        <is>
          <t>承認</t>
        </is>
      </c>
      <c r="H49" s="32" t="n"/>
      <c r="J49" s="32" t="n"/>
    </row>
    <row r="50">
      <c r="H50" s="33" t="inlineStr">
        <is>
          <t>本人</t>
        </is>
      </c>
      <c r="J50" s="33" t="inlineStr">
        <is>
          <t>上長</t>
        </is>
      </c>
    </row>
  </sheetData>
  <mergeCells count="15">
    <mergeCell ref="G44:J44"/>
    <mergeCell ref="A42:C42"/>
    <mergeCell ref="A41:C41"/>
    <mergeCell ref="A44:C44"/>
    <mergeCell ref="A45:C45"/>
    <mergeCell ref="G43:J43"/>
    <mergeCell ref="H49:I49"/>
    <mergeCell ref="J49:K49"/>
    <mergeCell ref="A40:L40"/>
    <mergeCell ref="J4:L4"/>
    <mergeCell ref="A2:D2"/>
    <mergeCell ref="G41:J41"/>
    <mergeCell ref="A43:C43"/>
    <mergeCell ref="G45:J45"/>
    <mergeCell ref="G42:J42"/>
  </mergeCells>
  <conditionalFormatting sqref="A8:L38">
    <cfRule type="expression" priority="1" dxfId="0" stopIfTrue="1">
      <formula>$A8=""</formula>
    </cfRule>
    <cfRule type="expression" priority="2" dxfId="1">
      <formula>OR($M8="祝",$M8="日")</formula>
    </cfRule>
    <cfRule type="expression" priority="3" dxfId="2">
      <formula>$M8="土"</formula>
    </cfRule>
  </conditionalFormatting>
  <conditionalFormatting sqref="D8:D38">
    <cfRule type="expression" priority="4" dxfId="3">
      <formula>AND($N8&lt;&gt;"",$O8="")</formula>
    </cfRule>
  </conditionalFormatting>
  <conditionalFormatting sqref="C8:C38">
    <cfRule type="expression" priority="5" dxfId="3">
      <formula>AND($O8&lt;&gt;"",$N8="")</formula>
    </cfRule>
  </conditionalFormatting>
  <dataValidations count="2">
    <dataValidation sqref="L8:L38" showDropDown="0" showInputMessage="1" showErrorMessage="0" allowBlank="1" promptTitle="備考" prompt="選択、または自由入力できます" type="list">
      <formula1>"有給,半休,欠勤,遅刻,早退,休日出勤,振替休日,直行,直帰,出張,特別休暇"</formula1>
    </dataValidation>
    <dataValidation sqref="C8:C38 D8:D38 E8:E38 G8:G38 H8:H38 I8:I38 J8:J38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=OR(AND(C8&gt;=0,C8&lt;1),AND(C8=INT(C8),C8&lt;=2359,MOD(C8,100)&lt;60))</formula1>
    </dataValidation>
  </dataValidations>
  <pageMargins left="0.3" right="0.3" top="0.4" bottom="0.4" header="0.5" footer="0.5"/>
  <pageSetup orientation="portrait" paperSize="9" fitToHeight="1" fitToWidth="1"/>
</worksheet>
</file>

<file path=xl/worksheets/sheet3.xml><?xml version="1.0" encoding="utf-8"?>
<worksheet xmlns="http://schemas.openxmlformats.org/spreadsheetml/2006/main">
  <sheetPr>
    <tabColor rgb="FF8FAADC"/>
    <outlinePr summaryBelow="1" summaryRight="1"/>
    <pageSetUpPr fitToPage="1"/>
  </sheetPr>
  <dimension ref="A2:T5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.5" customWidth="1" min="1" max="1"/>
    <col width="4.5" customWidth="1" min="2" max="2"/>
    <col width="8.5" customWidth="1" min="3" max="3"/>
    <col width="8.5" customWidth="1" min="4" max="4"/>
    <col width="8" customWidth="1" min="5" max="5"/>
    <col width="8.5" customWidth="1" min="6" max="6"/>
    <col width="9" customWidth="1" min="7" max="7"/>
    <col width="9" customWidth="1" min="8" max="8"/>
    <col width="9" customWidth="1" min="9" max="9"/>
    <col width="10" customWidth="1" min="10" max="10"/>
    <col width="14" customWidth="1" min="11" max="11"/>
    <col width="26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2" ht="24" customHeight="1">
      <c r="A2" s="8">
        <f>設定!$B$4&amp;"　"&amp;設定!$B$3&amp;"年"&amp;2&amp;"月度 出勤簿"</f>
        <v/>
      </c>
    </row>
    <row r="4">
      <c r="A4" s="9" t="inlineStr">
        <is>
          <t>年</t>
        </is>
      </c>
      <c r="B4" s="10">
        <f>設定!$B$3</f>
        <v/>
      </c>
      <c r="C4" s="9" t="inlineStr">
        <is>
          <t>月</t>
        </is>
      </c>
      <c r="D4" s="10" t="n">
        <v>2</v>
      </c>
      <c r="G4" s="9" t="inlineStr">
        <is>
          <t>所属</t>
        </is>
      </c>
      <c r="H4" s="10">
        <f>設定!$B$5</f>
        <v/>
      </c>
      <c r="I4" s="9" t="inlineStr">
        <is>
          <t>氏名</t>
        </is>
      </c>
      <c r="J4" s="10">
        <f>設定!$B$4</f>
        <v/>
      </c>
    </row>
    <row r="5">
      <c r="A5" s="11" t="inlineStr">
        <is>
          <t>黄色のセルに入力してください（灰色は自動計算）。時刻は 930 のようにコロンなしで入力できます。</t>
        </is>
      </c>
    </row>
    <row r="7" ht="26" customHeight="1">
      <c r="A7" s="12" t="inlineStr">
        <is>
          <t>日</t>
        </is>
      </c>
      <c r="B7" s="12" t="inlineStr">
        <is>
          <t>曜</t>
        </is>
      </c>
      <c r="C7" s="12" t="inlineStr">
        <is>
          <t>出勤</t>
        </is>
      </c>
      <c r="D7" s="12" t="inlineStr">
        <is>
          <t>退勤</t>
        </is>
      </c>
      <c r="E7" s="12" t="inlineStr">
        <is>
          <t>休憩</t>
        </is>
      </c>
      <c r="F7" s="12" t="inlineStr">
        <is>
          <t>実働</t>
        </is>
      </c>
      <c r="G7" s="12" t="inlineStr">
        <is>
          <t>通常残業</t>
        </is>
      </c>
      <c r="H7" s="12" t="inlineStr">
        <is>
          <t>深夜残業</t>
        </is>
      </c>
      <c r="I7" s="12" t="inlineStr">
        <is>
          <t>早朝残業</t>
        </is>
      </c>
      <c r="J7" s="12" t="inlineStr">
        <is>
          <t>遅刻・早退</t>
        </is>
      </c>
      <c r="K7" s="12" t="inlineStr">
        <is>
          <t>祝日</t>
        </is>
      </c>
      <c r="L7" s="12" t="inlineStr">
        <is>
          <t>備考・理由</t>
        </is>
      </c>
    </row>
    <row r="8" ht="19" customHeight="1">
      <c r="A8" s="13">
        <f>DATE($B$4,$D$4,1)</f>
        <v/>
      </c>
      <c r="B8" s="14">
        <f>IF($A8="","",CHOOSE(WEEKDAY($A8,2),"月","火","水","木","金","土","日"))</f>
        <v/>
      </c>
      <c r="C8" s="15" t="n"/>
      <c r="D8" s="15" t="n"/>
      <c r="E8" s="15" t="n"/>
      <c r="F8" s="16">
        <f>IF(OR($N8="",$O8=""),"",MAX(0,MOD($O8-$N8,1)-IF($P8&lt;&gt;"",$P8,IF(MOD($O8-$N8,1)&gt;設定!$E$8,設定!$E$7,0))))</f>
        <v/>
      </c>
      <c r="G8" s="15" t="n"/>
      <c r="H8" s="15" t="n"/>
      <c r="I8" s="15" t="n"/>
      <c r="J8" s="15" t="n"/>
      <c r="K8" s="17">
        <f>IF($A8="","",IFERROR(VLOOKUP($A8,祝日リスト!$A$2:$C$40,3,0),""))</f>
        <v/>
      </c>
      <c r="L8" s="18" t="n"/>
      <c r="M8" s="19">
        <f>IF($A8="","",IF($K8&lt;&gt;"","祝",IF(WEEKDAY($A8,2)=6,"土",IF(WEEKDAY($A8,2)=7,"日","平"))))</f>
        <v/>
      </c>
      <c r="N8" s="19">
        <f>IF(NOT(ISNUMBER($C8)),"",IF($C8&lt;1,$C8,(INT($C8/100)*60+MOD($C8,100))/1440))</f>
        <v/>
      </c>
      <c r="O8" s="19">
        <f>IF(NOT(ISNUMBER($D8)),"",IF($D8&lt;1,$D8,(INT($D8/100)*60+MOD($D8,100))/1440))</f>
        <v/>
      </c>
      <c r="P8" s="19">
        <f>IF(NOT(ISNUMBER($E8)),"",IF($E8&lt;1,$E8,(INT($E8/100)*60+MOD($E8,100))/1440))</f>
        <v/>
      </c>
      <c r="Q8" s="19">
        <f>IF(NOT(ISNUMBER($G8)),"",IF($G8&lt;1,$G8,(INT($G8/100)*60+MOD($G8,100))/1440))</f>
        <v/>
      </c>
      <c r="R8" s="19">
        <f>IF(NOT(ISNUMBER($H8)),"",IF($H8&lt;1,$H8,(INT($H8/100)*60+MOD($H8,100))/1440))</f>
        <v/>
      </c>
      <c r="S8" s="19">
        <f>IF(NOT(ISNUMBER($I8)),"",IF($I8&lt;1,$I8,(INT($I8/100)*60+MOD($I8,100))/1440))</f>
        <v/>
      </c>
      <c r="T8" s="19">
        <f>IF(NOT(ISNUMBER($J8)),"",IF($J8&lt;1,$J8,(INT($J8/100)*60+MOD($J8,100))/1440))</f>
        <v/>
      </c>
    </row>
    <row r="9" ht="19" customHeight="1">
      <c r="A9" s="13">
        <f>IF(A8="","",IF(MONTH(A8+1)=$D$4,A8+1,""))</f>
        <v/>
      </c>
      <c r="B9" s="14">
        <f>IF($A9="","",CHOOSE(WEEKDAY($A9,2),"月","火","水","木","金","土","日"))</f>
        <v/>
      </c>
      <c r="C9" s="15" t="n">
        <v>1000</v>
      </c>
      <c r="D9" s="15" t="n">
        <v>1600</v>
      </c>
      <c r="E9" s="15" t="n"/>
      <c r="F9" s="16">
        <f>IF(OR($N9="",$O9=""),"",MAX(0,MOD($O9-$N9,1)-IF($P9&lt;&gt;"",$P9,IF(MOD($O9-$N9,1)&gt;設定!$E$8,設定!$E$7,0))))</f>
        <v/>
      </c>
      <c r="G9" s="15" t="n"/>
      <c r="H9" s="15" t="n"/>
      <c r="I9" s="15" t="n"/>
      <c r="J9" s="15" t="n"/>
      <c r="K9" s="17">
        <f>IF($A9="","",IFERROR(VLOOKUP($A9,祝日リスト!$A$2:$C$40,3,0),""))</f>
        <v/>
      </c>
      <c r="L9" s="18" t="n"/>
      <c r="M9" s="19">
        <f>IF($A9="","",IF($K9&lt;&gt;"","祝",IF(WEEKDAY($A9,2)=6,"土",IF(WEEKDAY($A9,2)=7,"日","平"))))</f>
        <v/>
      </c>
      <c r="N9" s="19">
        <f>IF(NOT(ISNUMBER($C9)),"",IF($C9&lt;1,$C9,(INT($C9/100)*60+MOD($C9,100))/1440))</f>
        <v/>
      </c>
      <c r="O9" s="19">
        <f>IF(NOT(ISNUMBER($D9)),"",IF($D9&lt;1,$D9,(INT($D9/100)*60+MOD($D9,100))/1440))</f>
        <v/>
      </c>
      <c r="P9" s="19">
        <f>IF(NOT(ISNUMBER($E9)),"",IF($E9&lt;1,$E9,(INT($E9/100)*60+MOD($E9,100))/1440))</f>
        <v/>
      </c>
      <c r="Q9" s="19">
        <f>IF(NOT(ISNUMBER($G9)),"",IF($G9&lt;1,$G9,(INT($G9/100)*60+MOD($G9,100))/1440))</f>
        <v/>
      </c>
      <c r="R9" s="19">
        <f>IF(NOT(ISNUMBER($H9)),"",IF($H9&lt;1,$H9,(INT($H9/100)*60+MOD($H9,100))/1440))</f>
        <v/>
      </c>
      <c r="S9" s="19">
        <f>IF(NOT(ISNUMBER($I9)),"",IF($I9&lt;1,$I9,(INT($I9/100)*60+MOD($I9,100))/1440))</f>
        <v/>
      </c>
      <c r="T9" s="19">
        <f>IF(NOT(ISNUMBER($J9)),"",IF($J9&lt;1,$J9,(INT($J9/100)*60+MOD($J9,100))/1440))</f>
        <v/>
      </c>
    </row>
    <row r="10" ht="19" customHeight="1">
      <c r="A10" s="13">
        <f>IF(A9="","",IF(MONTH(A9+1)=$D$4,A9+1,""))</f>
        <v/>
      </c>
      <c r="B10" s="14">
        <f>IF($A10="","",CHOOSE(WEEKDAY($A10,2),"月","火","水","木","金","土","日"))</f>
        <v/>
      </c>
      <c r="C10" s="15" t="n">
        <v>1000</v>
      </c>
      <c r="D10" s="15" t="n">
        <v>1600</v>
      </c>
      <c r="E10" s="15" t="n"/>
      <c r="F10" s="16">
        <f>IF(OR($N10="",$O10=""),"",MAX(0,MOD($O10-$N10,1)-IF($P10&lt;&gt;"",$P10,IF(MOD($O10-$N10,1)&gt;設定!$E$8,設定!$E$7,0))))</f>
        <v/>
      </c>
      <c r="G10" s="15" t="n"/>
      <c r="H10" s="15" t="n"/>
      <c r="I10" s="15" t="n"/>
      <c r="J10" s="15" t="n"/>
      <c r="K10" s="17">
        <f>IF($A10="","",IFERROR(VLOOKUP($A10,祝日リスト!$A$2:$C$40,3,0),""))</f>
        <v/>
      </c>
      <c r="L10" s="18" t="n"/>
      <c r="M10" s="19">
        <f>IF($A10="","",IF($K10&lt;&gt;"","祝",IF(WEEKDAY($A10,2)=6,"土",IF(WEEKDAY($A10,2)=7,"日","平"))))</f>
        <v/>
      </c>
      <c r="N10" s="19">
        <f>IF(NOT(ISNUMBER($C10)),"",IF($C10&lt;1,$C10,(INT($C10/100)*60+MOD($C10,100))/1440))</f>
        <v/>
      </c>
      <c r="O10" s="19">
        <f>IF(NOT(ISNUMBER($D10)),"",IF($D10&lt;1,$D10,(INT($D10/100)*60+MOD($D10,100))/1440))</f>
        <v/>
      </c>
      <c r="P10" s="19">
        <f>IF(NOT(ISNUMBER($E10)),"",IF($E10&lt;1,$E10,(INT($E10/100)*60+MOD($E10,100))/1440))</f>
        <v/>
      </c>
      <c r="Q10" s="19">
        <f>IF(NOT(ISNUMBER($G10)),"",IF($G10&lt;1,$G10,(INT($G10/100)*60+MOD($G10,100))/1440))</f>
        <v/>
      </c>
      <c r="R10" s="19">
        <f>IF(NOT(ISNUMBER($H10)),"",IF($H10&lt;1,$H10,(INT($H10/100)*60+MOD($H10,100))/1440))</f>
        <v/>
      </c>
      <c r="S10" s="19">
        <f>IF(NOT(ISNUMBER($I10)),"",IF($I10&lt;1,$I10,(INT($I10/100)*60+MOD($I10,100))/1440))</f>
        <v/>
      </c>
      <c r="T10" s="19">
        <f>IF(NOT(ISNUMBER($J10)),"",IF($J10&lt;1,$J10,(INT($J10/100)*60+MOD($J10,100))/1440))</f>
        <v/>
      </c>
    </row>
    <row r="11" ht="19" customHeight="1">
      <c r="A11" s="13">
        <f>IF(A10="","",IF(MONTH(A10+1)=$D$4,A10+1,""))</f>
        <v/>
      </c>
      <c r="B11" s="14">
        <f>IF($A11="","",CHOOSE(WEEKDAY($A11,2),"月","火","水","木","金","土","日"))</f>
        <v/>
      </c>
      <c r="C11" s="15" t="n"/>
      <c r="D11" s="15" t="n"/>
      <c r="E11" s="15" t="n"/>
      <c r="F11" s="16">
        <f>IF(OR($N11="",$O11=""),"",MAX(0,MOD($O11-$N11,1)-IF($P11&lt;&gt;"",$P11,IF(MOD($O11-$N11,1)&gt;設定!$E$8,設定!$E$7,0))))</f>
        <v/>
      </c>
      <c r="G11" s="15" t="n"/>
      <c r="H11" s="15" t="n"/>
      <c r="I11" s="15" t="n"/>
      <c r="J11" s="15" t="n"/>
      <c r="K11" s="17">
        <f>IF($A11="","",IFERROR(VLOOKUP($A11,祝日リスト!$A$2:$C$40,3,0),""))</f>
        <v/>
      </c>
      <c r="L11" s="18" t="n"/>
      <c r="M11" s="19">
        <f>IF($A11="","",IF($K11&lt;&gt;"","祝",IF(WEEKDAY($A11,2)=6,"土",IF(WEEKDAY($A11,2)=7,"日","平"))))</f>
        <v/>
      </c>
      <c r="N11" s="19">
        <f>IF(NOT(ISNUMBER($C11)),"",IF($C11&lt;1,$C11,(INT($C11/100)*60+MOD($C11,100))/1440))</f>
        <v/>
      </c>
      <c r="O11" s="19">
        <f>IF(NOT(ISNUMBER($D11)),"",IF($D11&lt;1,$D11,(INT($D11/100)*60+MOD($D11,100))/1440))</f>
        <v/>
      </c>
      <c r="P11" s="19">
        <f>IF(NOT(ISNUMBER($E11)),"",IF($E11&lt;1,$E11,(INT($E11/100)*60+MOD($E11,100))/1440))</f>
        <v/>
      </c>
      <c r="Q11" s="19">
        <f>IF(NOT(ISNUMBER($G11)),"",IF($G11&lt;1,$G11,(INT($G11/100)*60+MOD($G11,100))/1440))</f>
        <v/>
      </c>
      <c r="R11" s="19">
        <f>IF(NOT(ISNUMBER($H11)),"",IF($H11&lt;1,$H11,(INT($H11/100)*60+MOD($H11,100))/1440))</f>
        <v/>
      </c>
      <c r="S11" s="19">
        <f>IF(NOT(ISNUMBER($I11)),"",IF($I11&lt;1,$I11,(INT($I11/100)*60+MOD($I11,100))/1440))</f>
        <v/>
      </c>
      <c r="T11" s="19">
        <f>IF(NOT(ISNUMBER($J11)),"",IF($J11&lt;1,$J11,(INT($J11/100)*60+MOD($J11,100))/1440))</f>
        <v/>
      </c>
    </row>
    <row r="12" ht="19" customHeight="1">
      <c r="A12" s="13">
        <f>IF(A11="","",IF(MONTH(A11+1)=$D$4,A11+1,""))</f>
        <v/>
      </c>
      <c r="B12" s="14">
        <f>IF($A12="","",CHOOSE(WEEKDAY($A12,2),"月","火","水","木","金","土","日"))</f>
        <v/>
      </c>
      <c r="C12" s="15" t="n">
        <v>1000</v>
      </c>
      <c r="D12" s="15" t="n">
        <v>1600</v>
      </c>
      <c r="E12" s="15" t="n"/>
      <c r="F12" s="16">
        <f>IF(OR($N12="",$O12=""),"",MAX(0,MOD($O12-$N12,1)-IF($P12&lt;&gt;"",$P12,IF(MOD($O12-$N12,1)&gt;設定!$E$8,設定!$E$7,0))))</f>
        <v/>
      </c>
      <c r="G12" s="15" t="n"/>
      <c r="H12" s="15" t="n"/>
      <c r="I12" s="15" t="n"/>
      <c r="J12" s="15" t="n"/>
      <c r="K12" s="17">
        <f>IF($A12="","",IFERROR(VLOOKUP($A12,祝日リスト!$A$2:$C$40,3,0),""))</f>
        <v/>
      </c>
      <c r="L12" s="18" t="n"/>
      <c r="M12" s="19">
        <f>IF($A12="","",IF($K12&lt;&gt;"","祝",IF(WEEKDAY($A12,2)=6,"土",IF(WEEKDAY($A12,2)=7,"日","平"))))</f>
        <v/>
      </c>
      <c r="N12" s="19">
        <f>IF(NOT(ISNUMBER($C12)),"",IF($C12&lt;1,$C12,(INT($C12/100)*60+MOD($C12,100))/1440))</f>
        <v/>
      </c>
      <c r="O12" s="19">
        <f>IF(NOT(ISNUMBER($D12)),"",IF($D12&lt;1,$D12,(INT($D12/100)*60+MOD($D12,100))/1440))</f>
        <v/>
      </c>
      <c r="P12" s="19">
        <f>IF(NOT(ISNUMBER($E12)),"",IF($E12&lt;1,$E12,(INT($E12/100)*60+MOD($E12,100))/1440))</f>
        <v/>
      </c>
      <c r="Q12" s="19">
        <f>IF(NOT(ISNUMBER($G12)),"",IF($G12&lt;1,$G12,(INT($G12/100)*60+MOD($G12,100))/1440))</f>
        <v/>
      </c>
      <c r="R12" s="19">
        <f>IF(NOT(ISNUMBER($H12)),"",IF($H12&lt;1,$H12,(INT($H12/100)*60+MOD($H12,100))/1440))</f>
        <v/>
      </c>
      <c r="S12" s="19">
        <f>IF(NOT(ISNUMBER($I12)),"",IF($I12&lt;1,$I12,(INT($I12/100)*60+MOD($I12,100))/1440))</f>
        <v/>
      </c>
      <c r="T12" s="19">
        <f>IF(NOT(ISNUMBER($J12)),"",IF($J12&lt;1,$J12,(INT($J12/100)*60+MOD($J12,100))/1440))</f>
        <v/>
      </c>
    </row>
    <row r="13" ht="19" customHeight="1">
      <c r="A13" s="13">
        <f>IF(A12="","",IF(MONTH(A12+1)=$D$4,A12+1,""))</f>
        <v/>
      </c>
      <c r="B13" s="14">
        <f>IF($A13="","",CHOOSE(WEEKDAY($A13,2),"月","火","水","木","金","土","日"))</f>
        <v/>
      </c>
      <c r="C13" s="15" t="n">
        <v>1000</v>
      </c>
      <c r="D13" s="15" t="n">
        <v>1600</v>
      </c>
      <c r="E13" s="15" t="n"/>
      <c r="F13" s="16">
        <f>IF(OR($N13="",$O13=""),"",MAX(0,MOD($O13-$N13,1)-IF($P13&lt;&gt;"",$P13,IF(MOD($O13-$N13,1)&gt;設定!$E$8,設定!$E$7,0))))</f>
        <v/>
      </c>
      <c r="G13" s="15" t="n"/>
      <c r="H13" s="15" t="n"/>
      <c r="I13" s="15" t="n"/>
      <c r="J13" s="15" t="n"/>
      <c r="K13" s="17">
        <f>IF($A13="","",IFERROR(VLOOKUP($A13,祝日リスト!$A$2:$C$40,3,0),""))</f>
        <v/>
      </c>
      <c r="L13" s="18" t="n"/>
      <c r="M13" s="19">
        <f>IF($A13="","",IF($K13&lt;&gt;"","祝",IF(WEEKDAY($A13,2)=6,"土",IF(WEEKDAY($A13,2)=7,"日","平"))))</f>
        <v/>
      </c>
      <c r="N13" s="19">
        <f>IF(NOT(ISNUMBER($C13)),"",IF($C13&lt;1,$C13,(INT($C13/100)*60+MOD($C13,100))/1440))</f>
        <v/>
      </c>
      <c r="O13" s="19">
        <f>IF(NOT(ISNUMBER($D13)),"",IF($D13&lt;1,$D13,(INT($D13/100)*60+MOD($D13,100))/1440))</f>
        <v/>
      </c>
      <c r="P13" s="19">
        <f>IF(NOT(ISNUMBER($E13)),"",IF($E13&lt;1,$E13,(INT($E13/100)*60+MOD($E13,100))/1440))</f>
        <v/>
      </c>
      <c r="Q13" s="19">
        <f>IF(NOT(ISNUMBER($G13)),"",IF($G13&lt;1,$G13,(INT($G13/100)*60+MOD($G13,100))/1440))</f>
        <v/>
      </c>
      <c r="R13" s="19">
        <f>IF(NOT(ISNUMBER($H13)),"",IF($H13&lt;1,$H13,(INT($H13/100)*60+MOD($H13,100))/1440))</f>
        <v/>
      </c>
      <c r="S13" s="19">
        <f>IF(NOT(ISNUMBER($I13)),"",IF($I13&lt;1,$I13,(INT($I13/100)*60+MOD($I13,100))/1440))</f>
        <v/>
      </c>
      <c r="T13" s="19">
        <f>IF(NOT(ISNUMBER($J13)),"",IF($J13&lt;1,$J13,(INT($J13/100)*60+MOD($J13,100))/1440))</f>
        <v/>
      </c>
    </row>
    <row r="14" ht="19" customHeight="1">
      <c r="A14" s="13">
        <f>IF(A13="","",IF(MONTH(A13+1)=$D$4,A13+1,""))</f>
        <v/>
      </c>
      <c r="B14" s="14">
        <f>IF($A14="","",CHOOSE(WEEKDAY($A14,2),"月","火","水","木","金","土","日"))</f>
        <v/>
      </c>
      <c r="C14" s="15" t="n"/>
      <c r="D14" s="15" t="n"/>
      <c r="E14" s="15" t="n"/>
      <c r="F14" s="16">
        <f>IF(OR($N14="",$O14=""),"",MAX(0,MOD($O14-$N14,1)-IF($P14&lt;&gt;"",$P14,IF(MOD($O14-$N14,1)&gt;設定!$E$8,設定!$E$7,0))))</f>
        <v/>
      </c>
      <c r="G14" s="15" t="n"/>
      <c r="H14" s="15" t="n"/>
      <c r="I14" s="15" t="n"/>
      <c r="J14" s="15" t="n"/>
      <c r="K14" s="17">
        <f>IF($A14="","",IFERROR(VLOOKUP($A14,祝日リスト!$A$2:$C$40,3,0),""))</f>
        <v/>
      </c>
      <c r="L14" s="18" t="n"/>
      <c r="M14" s="19">
        <f>IF($A14="","",IF($K14&lt;&gt;"","祝",IF(WEEKDAY($A14,2)=6,"土",IF(WEEKDAY($A14,2)=7,"日","平"))))</f>
        <v/>
      </c>
      <c r="N14" s="19">
        <f>IF(NOT(ISNUMBER($C14)),"",IF($C14&lt;1,$C14,(INT($C14/100)*60+MOD($C14,100))/1440))</f>
        <v/>
      </c>
      <c r="O14" s="19">
        <f>IF(NOT(ISNUMBER($D14)),"",IF($D14&lt;1,$D14,(INT($D14/100)*60+MOD($D14,100))/1440))</f>
        <v/>
      </c>
      <c r="P14" s="19">
        <f>IF(NOT(ISNUMBER($E14)),"",IF($E14&lt;1,$E14,(INT($E14/100)*60+MOD($E14,100))/1440))</f>
        <v/>
      </c>
      <c r="Q14" s="19">
        <f>IF(NOT(ISNUMBER($G14)),"",IF($G14&lt;1,$G14,(INT($G14/100)*60+MOD($G14,100))/1440))</f>
        <v/>
      </c>
      <c r="R14" s="19">
        <f>IF(NOT(ISNUMBER($H14)),"",IF($H14&lt;1,$H14,(INT($H14/100)*60+MOD($H14,100))/1440))</f>
        <v/>
      </c>
      <c r="S14" s="19">
        <f>IF(NOT(ISNUMBER($I14)),"",IF($I14&lt;1,$I14,(INT($I14/100)*60+MOD($I14,100))/1440))</f>
        <v/>
      </c>
      <c r="T14" s="19">
        <f>IF(NOT(ISNUMBER($J14)),"",IF($J14&lt;1,$J14,(INT($J14/100)*60+MOD($J14,100))/1440))</f>
        <v/>
      </c>
    </row>
    <row r="15" ht="19" customHeight="1">
      <c r="A15" s="13">
        <f>IF(A14="","",IF(MONTH(A14+1)=$D$4,A14+1,""))</f>
        <v/>
      </c>
      <c r="B15" s="14">
        <f>IF($A15="","",CHOOSE(WEEKDAY($A15,2),"月","火","水","木","金","土","日"))</f>
        <v/>
      </c>
      <c r="C15" s="15" t="n"/>
      <c r="D15" s="15" t="n"/>
      <c r="E15" s="15" t="n"/>
      <c r="F15" s="16">
        <f>IF(OR($N15="",$O15=""),"",MAX(0,MOD($O15-$N15,1)-IF($P15&lt;&gt;"",$P15,IF(MOD($O15-$N15,1)&gt;設定!$E$8,設定!$E$7,0))))</f>
        <v/>
      </c>
      <c r="G15" s="15" t="n"/>
      <c r="H15" s="15" t="n"/>
      <c r="I15" s="15" t="n"/>
      <c r="J15" s="15" t="n"/>
      <c r="K15" s="17">
        <f>IF($A15="","",IFERROR(VLOOKUP($A15,祝日リスト!$A$2:$C$40,3,0),""))</f>
        <v/>
      </c>
      <c r="L15" s="18" t="n"/>
      <c r="M15" s="19">
        <f>IF($A15="","",IF($K15&lt;&gt;"","祝",IF(WEEKDAY($A15,2)=6,"土",IF(WEEKDAY($A15,2)=7,"日","平"))))</f>
        <v/>
      </c>
      <c r="N15" s="19">
        <f>IF(NOT(ISNUMBER($C15)),"",IF($C15&lt;1,$C15,(INT($C15/100)*60+MOD($C15,100))/1440))</f>
        <v/>
      </c>
      <c r="O15" s="19">
        <f>IF(NOT(ISNUMBER($D15)),"",IF($D15&lt;1,$D15,(INT($D15/100)*60+MOD($D15,100))/1440))</f>
        <v/>
      </c>
      <c r="P15" s="19">
        <f>IF(NOT(ISNUMBER($E15)),"",IF($E15&lt;1,$E15,(INT($E15/100)*60+MOD($E15,100))/1440))</f>
        <v/>
      </c>
      <c r="Q15" s="19">
        <f>IF(NOT(ISNUMBER($G15)),"",IF($G15&lt;1,$G15,(INT($G15/100)*60+MOD($G15,100))/1440))</f>
        <v/>
      </c>
      <c r="R15" s="19">
        <f>IF(NOT(ISNUMBER($H15)),"",IF($H15&lt;1,$H15,(INT($H15/100)*60+MOD($H15,100))/1440))</f>
        <v/>
      </c>
      <c r="S15" s="19">
        <f>IF(NOT(ISNUMBER($I15)),"",IF($I15&lt;1,$I15,(INT($I15/100)*60+MOD($I15,100))/1440))</f>
        <v/>
      </c>
      <c r="T15" s="19">
        <f>IF(NOT(ISNUMBER($J15)),"",IF($J15&lt;1,$J15,(INT($J15/100)*60+MOD($J15,100))/1440))</f>
        <v/>
      </c>
    </row>
    <row r="16" ht="19" customHeight="1">
      <c r="A16" s="13">
        <f>IF(A15="","",IF(MONTH(A15+1)=$D$4,A15+1,""))</f>
        <v/>
      </c>
      <c r="B16" s="14">
        <f>IF($A16="","",CHOOSE(WEEKDAY($A16,2),"月","火","水","木","金","土","日"))</f>
        <v/>
      </c>
      <c r="C16" s="15" t="n">
        <v>1000</v>
      </c>
      <c r="D16" s="15" t="n">
        <v>1600</v>
      </c>
      <c r="E16" s="15" t="n"/>
      <c r="F16" s="16">
        <f>IF(OR($N16="",$O16=""),"",MAX(0,MOD($O16-$N16,1)-IF($P16&lt;&gt;"",$P16,IF(MOD($O16-$N16,1)&gt;設定!$E$8,設定!$E$7,0))))</f>
        <v/>
      </c>
      <c r="G16" s="15" t="n"/>
      <c r="H16" s="15" t="n"/>
      <c r="I16" s="15" t="n"/>
      <c r="J16" s="15" t="n"/>
      <c r="K16" s="17">
        <f>IF($A16="","",IFERROR(VLOOKUP($A16,祝日リスト!$A$2:$C$40,3,0),""))</f>
        <v/>
      </c>
      <c r="L16" s="18" t="n"/>
      <c r="M16" s="19">
        <f>IF($A16="","",IF($K16&lt;&gt;"","祝",IF(WEEKDAY($A16,2)=6,"土",IF(WEEKDAY($A16,2)=7,"日","平"))))</f>
        <v/>
      </c>
      <c r="N16" s="19">
        <f>IF(NOT(ISNUMBER($C16)),"",IF($C16&lt;1,$C16,(INT($C16/100)*60+MOD($C16,100))/1440))</f>
        <v/>
      </c>
      <c r="O16" s="19">
        <f>IF(NOT(ISNUMBER($D16)),"",IF($D16&lt;1,$D16,(INT($D16/100)*60+MOD($D16,100))/1440))</f>
        <v/>
      </c>
      <c r="P16" s="19">
        <f>IF(NOT(ISNUMBER($E16)),"",IF($E16&lt;1,$E16,(INT($E16/100)*60+MOD($E16,100))/1440))</f>
        <v/>
      </c>
      <c r="Q16" s="19">
        <f>IF(NOT(ISNUMBER($G16)),"",IF($G16&lt;1,$G16,(INT($G16/100)*60+MOD($G16,100))/1440))</f>
        <v/>
      </c>
      <c r="R16" s="19">
        <f>IF(NOT(ISNUMBER($H16)),"",IF($H16&lt;1,$H16,(INT($H16/100)*60+MOD($H16,100))/1440))</f>
        <v/>
      </c>
      <c r="S16" s="19">
        <f>IF(NOT(ISNUMBER($I16)),"",IF($I16&lt;1,$I16,(INT($I16/100)*60+MOD($I16,100))/1440))</f>
        <v/>
      </c>
      <c r="T16" s="19">
        <f>IF(NOT(ISNUMBER($J16)),"",IF($J16&lt;1,$J16,(INT($J16/100)*60+MOD($J16,100))/1440))</f>
        <v/>
      </c>
    </row>
    <row r="17" ht="19" customHeight="1">
      <c r="A17" s="13">
        <f>IF(A16="","",IF(MONTH(A16+1)=$D$4,A16+1,""))</f>
        <v/>
      </c>
      <c r="B17" s="14">
        <f>IF($A17="","",CHOOSE(WEEKDAY($A17,2),"月","火","水","木","金","土","日"))</f>
        <v/>
      </c>
      <c r="C17" s="15" t="n">
        <v>1000</v>
      </c>
      <c r="D17" s="15" t="n">
        <v>1600</v>
      </c>
      <c r="E17" s="15" t="n"/>
      <c r="F17" s="16">
        <f>IF(OR($N17="",$O17=""),"",MAX(0,MOD($O17-$N17,1)-IF($P17&lt;&gt;"",$P17,IF(MOD($O17-$N17,1)&gt;設定!$E$8,設定!$E$7,0))))</f>
        <v/>
      </c>
      <c r="G17" s="15" t="n"/>
      <c r="H17" s="15" t="n"/>
      <c r="I17" s="15" t="n"/>
      <c r="J17" s="15" t="n"/>
      <c r="K17" s="17">
        <f>IF($A17="","",IFERROR(VLOOKUP($A17,祝日リスト!$A$2:$C$40,3,0),""))</f>
        <v/>
      </c>
      <c r="L17" s="18" t="n"/>
      <c r="M17" s="19">
        <f>IF($A17="","",IF($K17&lt;&gt;"","祝",IF(WEEKDAY($A17,2)=6,"土",IF(WEEKDAY($A17,2)=7,"日","平"))))</f>
        <v/>
      </c>
      <c r="N17" s="19">
        <f>IF(NOT(ISNUMBER($C17)),"",IF($C17&lt;1,$C17,(INT($C17/100)*60+MOD($C17,100))/1440))</f>
        <v/>
      </c>
      <c r="O17" s="19">
        <f>IF(NOT(ISNUMBER($D17)),"",IF($D17&lt;1,$D17,(INT($D17/100)*60+MOD($D17,100))/1440))</f>
        <v/>
      </c>
      <c r="P17" s="19">
        <f>IF(NOT(ISNUMBER($E17)),"",IF($E17&lt;1,$E17,(INT($E17/100)*60+MOD($E17,100))/1440))</f>
        <v/>
      </c>
      <c r="Q17" s="19">
        <f>IF(NOT(ISNUMBER($G17)),"",IF($G17&lt;1,$G17,(INT($G17/100)*60+MOD($G17,100))/1440))</f>
        <v/>
      </c>
      <c r="R17" s="19">
        <f>IF(NOT(ISNUMBER($H17)),"",IF($H17&lt;1,$H17,(INT($H17/100)*60+MOD($H17,100))/1440))</f>
        <v/>
      </c>
      <c r="S17" s="19">
        <f>IF(NOT(ISNUMBER($I17)),"",IF($I17&lt;1,$I17,(INT($I17/100)*60+MOD($I17,100))/1440))</f>
        <v/>
      </c>
      <c r="T17" s="19">
        <f>IF(NOT(ISNUMBER($J17)),"",IF($J17&lt;1,$J17,(INT($J17/100)*60+MOD($J17,100))/1440))</f>
        <v/>
      </c>
    </row>
    <row r="18" ht="19" customHeight="1">
      <c r="A18" s="13">
        <f>IF(A17="","",IF(MONTH(A17+1)=$D$4,A17+1,""))</f>
        <v/>
      </c>
      <c r="B18" s="14">
        <f>IF($A18="","",CHOOSE(WEEKDAY($A18,2),"月","火","水","木","金","土","日"))</f>
        <v/>
      </c>
      <c r="C18" s="15" t="n"/>
      <c r="D18" s="15" t="n"/>
      <c r="E18" s="15" t="n"/>
      <c r="F18" s="16">
        <f>IF(OR($N18="",$O18=""),"",MAX(0,MOD($O18-$N18,1)-IF($P18&lt;&gt;"",$P18,IF(MOD($O18-$N18,1)&gt;設定!$E$8,設定!$E$7,0))))</f>
        <v/>
      </c>
      <c r="G18" s="15" t="n"/>
      <c r="H18" s="15" t="n"/>
      <c r="I18" s="15" t="n"/>
      <c r="J18" s="15" t="n"/>
      <c r="K18" s="17">
        <f>IF($A18="","",IFERROR(VLOOKUP($A18,祝日リスト!$A$2:$C$40,3,0),""))</f>
        <v/>
      </c>
      <c r="L18" s="18" t="n"/>
      <c r="M18" s="19">
        <f>IF($A18="","",IF($K18&lt;&gt;"","祝",IF(WEEKDAY($A18,2)=6,"土",IF(WEEKDAY($A18,2)=7,"日","平"))))</f>
        <v/>
      </c>
      <c r="N18" s="19">
        <f>IF(NOT(ISNUMBER($C18)),"",IF($C18&lt;1,$C18,(INT($C18/100)*60+MOD($C18,100))/1440))</f>
        <v/>
      </c>
      <c r="O18" s="19">
        <f>IF(NOT(ISNUMBER($D18)),"",IF($D18&lt;1,$D18,(INT($D18/100)*60+MOD($D18,100))/1440))</f>
        <v/>
      </c>
      <c r="P18" s="19">
        <f>IF(NOT(ISNUMBER($E18)),"",IF($E18&lt;1,$E18,(INT($E18/100)*60+MOD($E18,100))/1440))</f>
        <v/>
      </c>
      <c r="Q18" s="19">
        <f>IF(NOT(ISNUMBER($G18)),"",IF($G18&lt;1,$G18,(INT($G18/100)*60+MOD($G18,100))/1440))</f>
        <v/>
      </c>
      <c r="R18" s="19">
        <f>IF(NOT(ISNUMBER($H18)),"",IF($H18&lt;1,$H18,(INT($H18/100)*60+MOD($H18,100))/1440))</f>
        <v/>
      </c>
      <c r="S18" s="19">
        <f>IF(NOT(ISNUMBER($I18)),"",IF($I18&lt;1,$I18,(INT($I18/100)*60+MOD($I18,100))/1440))</f>
        <v/>
      </c>
      <c r="T18" s="19">
        <f>IF(NOT(ISNUMBER($J18)),"",IF($J18&lt;1,$J18,(INT($J18/100)*60+MOD($J18,100))/1440))</f>
        <v/>
      </c>
    </row>
    <row r="19" ht="19" customHeight="1">
      <c r="A19" s="13">
        <f>IF(A18="","",IF(MONTH(A18+1)=$D$4,A18+1,""))</f>
        <v/>
      </c>
      <c r="B19" s="14">
        <f>IF($A19="","",CHOOSE(WEEKDAY($A19,2),"月","火","水","木","金","土","日"))</f>
        <v/>
      </c>
      <c r="C19" s="15" t="n">
        <v>1000</v>
      </c>
      <c r="D19" s="15" t="n">
        <v>1600</v>
      </c>
      <c r="E19" s="15" t="n"/>
      <c r="F19" s="16">
        <f>IF(OR($N19="",$O19=""),"",MAX(0,MOD($O19-$N19,1)-IF($P19&lt;&gt;"",$P19,IF(MOD($O19-$N19,1)&gt;設定!$E$8,設定!$E$7,0))))</f>
        <v/>
      </c>
      <c r="G19" s="15" t="n"/>
      <c r="H19" s="15" t="n"/>
      <c r="I19" s="15" t="n"/>
      <c r="J19" s="15" t="n"/>
      <c r="K19" s="17">
        <f>IF($A19="","",IFERROR(VLOOKUP($A19,祝日リスト!$A$2:$C$40,3,0),""))</f>
        <v/>
      </c>
      <c r="L19" s="18" t="n"/>
      <c r="M19" s="19">
        <f>IF($A19="","",IF($K19&lt;&gt;"","祝",IF(WEEKDAY($A19,2)=6,"土",IF(WEEKDAY($A19,2)=7,"日","平"))))</f>
        <v/>
      </c>
      <c r="N19" s="19">
        <f>IF(NOT(ISNUMBER($C19)),"",IF($C19&lt;1,$C19,(INT($C19/100)*60+MOD($C19,100))/1440))</f>
        <v/>
      </c>
      <c r="O19" s="19">
        <f>IF(NOT(ISNUMBER($D19)),"",IF($D19&lt;1,$D19,(INT($D19/100)*60+MOD($D19,100))/1440))</f>
        <v/>
      </c>
      <c r="P19" s="19">
        <f>IF(NOT(ISNUMBER($E19)),"",IF($E19&lt;1,$E19,(INT($E19/100)*60+MOD($E19,100))/1440))</f>
        <v/>
      </c>
      <c r="Q19" s="19">
        <f>IF(NOT(ISNUMBER($G19)),"",IF($G19&lt;1,$G19,(INT($G19/100)*60+MOD($G19,100))/1440))</f>
        <v/>
      </c>
      <c r="R19" s="19">
        <f>IF(NOT(ISNUMBER($H19)),"",IF($H19&lt;1,$H19,(INT($H19/100)*60+MOD($H19,100))/1440))</f>
        <v/>
      </c>
      <c r="S19" s="19">
        <f>IF(NOT(ISNUMBER($I19)),"",IF($I19&lt;1,$I19,(INT($I19/100)*60+MOD($I19,100))/1440))</f>
        <v/>
      </c>
      <c r="T19" s="19">
        <f>IF(NOT(ISNUMBER($J19)),"",IF($J19&lt;1,$J19,(INT($J19/100)*60+MOD($J19,100))/1440))</f>
        <v/>
      </c>
    </row>
    <row r="20" ht="19" customHeight="1">
      <c r="A20" s="13">
        <f>IF(A19="","",IF(MONTH(A19+1)=$D$4,A19+1,""))</f>
        <v/>
      </c>
      <c r="B20" s="14">
        <f>IF($A20="","",CHOOSE(WEEKDAY($A20,2),"月","火","水","木","金","土","日"))</f>
        <v/>
      </c>
      <c r="C20" s="15" t="n">
        <v>1000</v>
      </c>
      <c r="D20" s="15" t="n">
        <v>1600</v>
      </c>
      <c r="E20" s="15" t="n"/>
      <c r="F20" s="16">
        <f>IF(OR($N20="",$O20=""),"",MAX(0,MOD($O20-$N20,1)-IF($P20&lt;&gt;"",$P20,IF(MOD($O20-$N20,1)&gt;設定!$E$8,設定!$E$7,0))))</f>
        <v/>
      </c>
      <c r="G20" s="15" t="n"/>
      <c r="H20" s="15" t="n"/>
      <c r="I20" s="15" t="n"/>
      <c r="J20" s="15" t="n"/>
      <c r="K20" s="17">
        <f>IF($A20="","",IFERROR(VLOOKUP($A20,祝日リスト!$A$2:$C$40,3,0),""))</f>
        <v/>
      </c>
      <c r="L20" s="18" t="n"/>
      <c r="M20" s="19">
        <f>IF($A20="","",IF($K20&lt;&gt;"","祝",IF(WEEKDAY($A20,2)=6,"土",IF(WEEKDAY($A20,2)=7,"日","平"))))</f>
        <v/>
      </c>
      <c r="N20" s="19">
        <f>IF(NOT(ISNUMBER($C20)),"",IF($C20&lt;1,$C20,(INT($C20/100)*60+MOD($C20,100))/1440))</f>
        <v/>
      </c>
      <c r="O20" s="19">
        <f>IF(NOT(ISNUMBER($D20)),"",IF($D20&lt;1,$D20,(INT($D20/100)*60+MOD($D20,100))/1440))</f>
        <v/>
      </c>
      <c r="P20" s="19">
        <f>IF(NOT(ISNUMBER($E20)),"",IF($E20&lt;1,$E20,(INT($E20/100)*60+MOD($E20,100))/1440))</f>
        <v/>
      </c>
      <c r="Q20" s="19">
        <f>IF(NOT(ISNUMBER($G20)),"",IF($G20&lt;1,$G20,(INT($G20/100)*60+MOD($G20,100))/1440))</f>
        <v/>
      </c>
      <c r="R20" s="19">
        <f>IF(NOT(ISNUMBER($H20)),"",IF($H20&lt;1,$H20,(INT($H20/100)*60+MOD($H20,100))/1440))</f>
        <v/>
      </c>
      <c r="S20" s="19">
        <f>IF(NOT(ISNUMBER($I20)),"",IF($I20&lt;1,$I20,(INT($I20/100)*60+MOD($I20,100))/1440))</f>
        <v/>
      </c>
      <c r="T20" s="19">
        <f>IF(NOT(ISNUMBER($J20)),"",IF($J20&lt;1,$J20,(INT($J20/100)*60+MOD($J20,100))/1440))</f>
        <v/>
      </c>
    </row>
    <row r="21" ht="19" customHeight="1">
      <c r="A21" s="13">
        <f>IF(A20="","",IF(MONTH(A20+1)=$D$4,A20+1,""))</f>
        <v/>
      </c>
      <c r="B21" s="14">
        <f>IF($A21="","",CHOOSE(WEEKDAY($A21,2),"月","火","水","木","金","土","日"))</f>
        <v/>
      </c>
      <c r="C21" s="15" t="n"/>
      <c r="D21" s="15" t="n"/>
      <c r="E21" s="15" t="n"/>
      <c r="F21" s="16">
        <f>IF(OR($N21="",$O21=""),"",MAX(0,MOD($O21-$N21,1)-IF($P21&lt;&gt;"",$P21,IF(MOD($O21-$N21,1)&gt;設定!$E$8,設定!$E$7,0))))</f>
        <v/>
      </c>
      <c r="G21" s="15" t="n"/>
      <c r="H21" s="15" t="n"/>
      <c r="I21" s="15" t="n"/>
      <c r="J21" s="15" t="n"/>
      <c r="K21" s="17">
        <f>IF($A21="","",IFERROR(VLOOKUP($A21,祝日リスト!$A$2:$C$40,3,0),""))</f>
        <v/>
      </c>
      <c r="L21" s="18" t="n"/>
      <c r="M21" s="19">
        <f>IF($A21="","",IF($K21&lt;&gt;"","祝",IF(WEEKDAY($A21,2)=6,"土",IF(WEEKDAY($A21,2)=7,"日","平"))))</f>
        <v/>
      </c>
      <c r="N21" s="19">
        <f>IF(NOT(ISNUMBER($C21)),"",IF($C21&lt;1,$C21,(INT($C21/100)*60+MOD($C21,100))/1440))</f>
        <v/>
      </c>
      <c r="O21" s="19">
        <f>IF(NOT(ISNUMBER($D21)),"",IF($D21&lt;1,$D21,(INT($D21/100)*60+MOD($D21,100))/1440))</f>
        <v/>
      </c>
      <c r="P21" s="19">
        <f>IF(NOT(ISNUMBER($E21)),"",IF($E21&lt;1,$E21,(INT($E21/100)*60+MOD($E21,100))/1440))</f>
        <v/>
      </c>
      <c r="Q21" s="19">
        <f>IF(NOT(ISNUMBER($G21)),"",IF($G21&lt;1,$G21,(INT($G21/100)*60+MOD($G21,100))/1440))</f>
        <v/>
      </c>
      <c r="R21" s="19">
        <f>IF(NOT(ISNUMBER($H21)),"",IF($H21&lt;1,$H21,(INT($H21/100)*60+MOD($H21,100))/1440))</f>
        <v/>
      </c>
      <c r="S21" s="19">
        <f>IF(NOT(ISNUMBER($I21)),"",IF($I21&lt;1,$I21,(INT($I21/100)*60+MOD($I21,100))/1440))</f>
        <v/>
      </c>
      <c r="T21" s="19">
        <f>IF(NOT(ISNUMBER($J21)),"",IF($J21&lt;1,$J21,(INT($J21/100)*60+MOD($J21,100))/1440))</f>
        <v/>
      </c>
    </row>
    <row r="22" ht="19" customHeight="1">
      <c r="A22" s="13">
        <f>IF(A21="","",IF(MONTH(A21+1)=$D$4,A21+1,""))</f>
        <v/>
      </c>
      <c r="B22" s="14">
        <f>IF($A22="","",CHOOSE(WEEKDAY($A22,2),"月","火","水","木","金","土","日"))</f>
        <v/>
      </c>
      <c r="C22" s="15" t="n"/>
      <c r="D22" s="15" t="n"/>
      <c r="E22" s="15" t="n"/>
      <c r="F22" s="16">
        <f>IF(OR($N22="",$O22=""),"",MAX(0,MOD($O22-$N22,1)-IF($P22&lt;&gt;"",$P22,IF(MOD($O22-$N22,1)&gt;設定!$E$8,設定!$E$7,0))))</f>
        <v/>
      </c>
      <c r="G22" s="15" t="n"/>
      <c r="H22" s="15" t="n"/>
      <c r="I22" s="15" t="n"/>
      <c r="J22" s="15" t="n"/>
      <c r="K22" s="17">
        <f>IF($A22="","",IFERROR(VLOOKUP($A22,祝日リスト!$A$2:$C$40,3,0),""))</f>
        <v/>
      </c>
      <c r="L22" s="18" t="n"/>
      <c r="M22" s="19">
        <f>IF($A22="","",IF($K22&lt;&gt;"","祝",IF(WEEKDAY($A22,2)=6,"土",IF(WEEKDAY($A22,2)=7,"日","平"))))</f>
        <v/>
      </c>
      <c r="N22" s="19">
        <f>IF(NOT(ISNUMBER($C22)),"",IF($C22&lt;1,$C22,(INT($C22/100)*60+MOD($C22,100))/1440))</f>
        <v/>
      </c>
      <c r="O22" s="19">
        <f>IF(NOT(ISNUMBER($D22)),"",IF($D22&lt;1,$D22,(INT($D22/100)*60+MOD($D22,100))/1440))</f>
        <v/>
      </c>
      <c r="P22" s="19">
        <f>IF(NOT(ISNUMBER($E22)),"",IF($E22&lt;1,$E22,(INT($E22/100)*60+MOD($E22,100))/1440))</f>
        <v/>
      </c>
      <c r="Q22" s="19">
        <f>IF(NOT(ISNUMBER($G22)),"",IF($G22&lt;1,$G22,(INT($G22/100)*60+MOD($G22,100))/1440))</f>
        <v/>
      </c>
      <c r="R22" s="19">
        <f>IF(NOT(ISNUMBER($H22)),"",IF($H22&lt;1,$H22,(INT($H22/100)*60+MOD($H22,100))/1440))</f>
        <v/>
      </c>
      <c r="S22" s="19">
        <f>IF(NOT(ISNUMBER($I22)),"",IF($I22&lt;1,$I22,(INT($I22/100)*60+MOD($I22,100))/1440))</f>
        <v/>
      </c>
      <c r="T22" s="19">
        <f>IF(NOT(ISNUMBER($J22)),"",IF($J22&lt;1,$J22,(INT($J22/100)*60+MOD($J22,100))/1440))</f>
        <v/>
      </c>
    </row>
    <row r="23" ht="19" customHeight="1">
      <c r="A23" s="13">
        <f>IF(A22="","",IF(MONTH(A22+1)=$D$4,A22+1,""))</f>
        <v/>
      </c>
      <c r="B23" s="14">
        <f>IF($A23="","",CHOOSE(WEEKDAY($A23,2),"月","火","水","木","金","土","日"))</f>
        <v/>
      </c>
      <c r="C23" s="15" t="n">
        <v>1000</v>
      </c>
      <c r="D23" s="15" t="n">
        <v>1600</v>
      </c>
      <c r="E23" s="15" t="n"/>
      <c r="F23" s="16">
        <f>IF(OR($N23="",$O23=""),"",MAX(0,MOD($O23-$N23,1)-IF($P23&lt;&gt;"",$P23,IF(MOD($O23-$N23,1)&gt;設定!$E$8,設定!$E$7,0))))</f>
        <v/>
      </c>
      <c r="G23" s="15" t="n"/>
      <c r="H23" s="15" t="n"/>
      <c r="I23" s="15" t="n"/>
      <c r="J23" s="15" t="n"/>
      <c r="K23" s="17">
        <f>IF($A23="","",IFERROR(VLOOKUP($A23,祝日リスト!$A$2:$C$40,3,0),""))</f>
        <v/>
      </c>
      <c r="L23" s="18" t="n"/>
      <c r="M23" s="19">
        <f>IF($A23="","",IF($K23&lt;&gt;"","祝",IF(WEEKDAY($A23,2)=6,"土",IF(WEEKDAY($A23,2)=7,"日","平"))))</f>
        <v/>
      </c>
      <c r="N23" s="19">
        <f>IF(NOT(ISNUMBER($C23)),"",IF($C23&lt;1,$C23,(INT($C23/100)*60+MOD($C23,100))/1440))</f>
        <v/>
      </c>
      <c r="O23" s="19">
        <f>IF(NOT(ISNUMBER($D23)),"",IF($D23&lt;1,$D23,(INT($D23/100)*60+MOD($D23,100))/1440))</f>
        <v/>
      </c>
      <c r="P23" s="19">
        <f>IF(NOT(ISNUMBER($E23)),"",IF($E23&lt;1,$E23,(INT($E23/100)*60+MOD($E23,100))/1440))</f>
        <v/>
      </c>
      <c r="Q23" s="19">
        <f>IF(NOT(ISNUMBER($G23)),"",IF($G23&lt;1,$G23,(INT($G23/100)*60+MOD($G23,100))/1440))</f>
        <v/>
      </c>
      <c r="R23" s="19">
        <f>IF(NOT(ISNUMBER($H23)),"",IF($H23&lt;1,$H23,(INT($H23/100)*60+MOD($H23,100))/1440))</f>
        <v/>
      </c>
      <c r="S23" s="19">
        <f>IF(NOT(ISNUMBER($I23)),"",IF($I23&lt;1,$I23,(INT($I23/100)*60+MOD($I23,100))/1440))</f>
        <v/>
      </c>
      <c r="T23" s="19">
        <f>IF(NOT(ISNUMBER($J23)),"",IF($J23&lt;1,$J23,(INT($J23/100)*60+MOD($J23,100))/1440))</f>
        <v/>
      </c>
    </row>
    <row r="24" ht="19" customHeight="1">
      <c r="A24" s="13">
        <f>IF(A23="","",IF(MONTH(A23+1)=$D$4,A23+1,""))</f>
        <v/>
      </c>
      <c r="B24" s="14">
        <f>IF($A24="","",CHOOSE(WEEKDAY($A24,2),"月","火","水","木","金","土","日"))</f>
        <v/>
      </c>
      <c r="C24" s="15" t="n">
        <v>1000</v>
      </c>
      <c r="D24" s="15" t="n">
        <v>1600</v>
      </c>
      <c r="E24" s="15" t="n"/>
      <c r="F24" s="16">
        <f>IF(OR($N24="",$O24=""),"",MAX(0,MOD($O24-$N24,1)-IF($P24&lt;&gt;"",$P24,IF(MOD($O24-$N24,1)&gt;設定!$E$8,設定!$E$7,0))))</f>
        <v/>
      </c>
      <c r="G24" s="15" t="n"/>
      <c r="H24" s="15" t="n"/>
      <c r="I24" s="15" t="n"/>
      <c r="J24" s="15" t="n"/>
      <c r="K24" s="17">
        <f>IF($A24="","",IFERROR(VLOOKUP($A24,祝日リスト!$A$2:$C$40,3,0),""))</f>
        <v/>
      </c>
      <c r="L24" s="18" t="n"/>
      <c r="M24" s="19">
        <f>IF($A24="","",IF($K24&lt;&gt;"","祝",IF(WEEKDAY($A24,2)=6,"土",IF(WEEKDAY($A24,2)=7,"日","平"))))</f>
        <v/>
      </c>
      <c r="N24" s="19">
        <f>IF(NOT(ISNUMBER($C24)),"",IF($C24&lt;1,$C24,(INT($C24/100)*60+MOD($C24,100))/1440))</f>
        <v/>
      </c>
      <c r="O24" s="19">
        <f>IF(NOT(ISNUMBER($D24)),"",IF($D24&lt;1,$D24,(INT($D24/100)*60+MOD($D24,100))/1440))</f>
        <v/>
      </c>
      <c r="P24" s="19">
        <f>IF(NOT(ISNUMBER($E24)),"",IF($E24&lt;1,$E24,(INT($E24/100)*60+MOD($E24,100))/1440))</f>
        <v/>
      </c>
      <c r="Q24" s="19">
        <f>IF(NOT(ISNUMBER($G24)),"",IF($G24&lt;1,$G24,(INT($G24/100)*60+MOD($G24,100))/1440))</f>
        <v/>
      </c>
      <c r="R24" s="19">
        <f>IF(NOT(ISNUMBER($H24)),"",IF($H24&lt;1,$H24,(INT($H24/100)*60+MOD($H24,100))/1440))</f>
        <v/>
      </c>
      <c r="S24" s="19">
        <f>IF(NOT(ISNUMBER($I24)),"",IF($I24&lt;1,$I24,(INT($I24/100)*60+MOD($I24,100))/1440))</f>
        <v/>
      </c>
      <c r="T24" s="19">
        <f>IF(NOT(ISNUMBER($J24)),"",IF($J24&lt;1,$J24,(INT($J24/100)*60+MOD($J24,100))/1440))</f>
        <v/>
      </c>
    </row>
    <row r="25" ht="19" customHeight="1">
      <c r="A25" s="13">
        <f>IF(A24="","",IF(MONTH(A24+1)=$D$4,A24+1,""))</f>
        <v/>
      </c>
      <c r="B25" s="14">
        <f>IF($A25="","",CHOOSE(WEEKDAY($A25,2),"月","火","水","木","金","土","日"))</f>
        <v/>
      </c>
      <c r="C25" s="15" t="n"/>
      <c r="D25" s="15" t="n"/>
      <c r="E25" s="15" t="n"/>
      <c r="F25" s="16">
        <f>IF(OR($N25="",$O25=""),"",MAX(0,MOD($O25-$N25,1)-IF($P25&lt;&gt;"",$P25,IF(MOD($O25-$N25,1)&gt;設定!$E$8,設定!$E$7,0))))</f>
        <v/>
      </c>
      <c r="G25" s="15" t="n"/>
      <c r="H25" s="15" t="n"/>
      <c r="I25" s="15" t="n"/>
      <c r="J25" s="15" t="n"/>
      <c r="K25" s="17">
        <f>IF($A25="","",IFERROR(VLOOKUP($A25,祝日リスト!$A$2:$C$40,3,0),""))</f>
        <v/>
      </c>
      <c r="L25" s="18" t="n"/>
      <c r="M25" s="19">
        <f>IF($A25="","",IF($K25&lt;&gt;"","祝",IF(WEEKDAY($A25,2)=6,"土",IF(WEEKDAY($A25,2)=7,"日","平"))))</f>
        <v/>
      </c>
      <c r="N25" s="19">
        <f>IF(NOT(ISNUMBER($C25)),"",IF($C25&lt;1,$C25,(INT($C25/100)*60+MOD($C25,100))/1440))</f>
        <v/>
      </c>
      <c r="O25" s="19">
        <f>IF(NOT(ISNUMBER($D25)),"",IF($D25&lt;1,$D25,(INT($D25/100)*60+MOD($D25,100))/1440))</f>
        <v/>
      </c>
      <c r="P25" s="19">
        <f>IF(NOT(ISNUMBER($E25)),"",IF($E25&lt;1,$E25,(INT($E25/100)*60+MOD($E25,100))/1440))</f>
        <v/>
      </c>
      <c r="Q25" s="19">
        <f>IF(NOT(ISNUMBER($G25)),"",IF($G25&lt;1,$G25,(INT($G25/100)*60+MOD($G25,100))/1440))</f>
        <v/>
      </c>
      <c r="R25" s="19">
        <f>IF(NOT(ISNUMBER($H25)),"",IF($H25&lt;1,$H25,(INT($H25/100)*60+MOD($H25,100))/1440))</f>
        <v/>
      </c>
      <c r="S25" s="19">
        <f>IF(NOT(ISNUMBER($I25)),"",IF($I25&lt;1,$I25,(INT($I25/100)*60+MOD($I25,100))/1440))</f>
        <v/>
      </c>
      <c r="T25" s="19">
        <f>IF(NOT(ISNUMBER($J25)),"",IF($J25&lt;1,$J25,(INT($J25/100)*60+MOD($J25,100))/1440))</f>
        <v/>
      </c>
    </row>
    <row r="26" ht="19" customHeight="1">
      <c r="A26" s="13">
        <f>IF(A25="","",IF(MONTH(A25+1)=$D$4,A25+1,""))</f>
        <v/>
      </c>
      <c r="B26" s="14">
        <f>IF($A26="","",CHOOSE(WEEKDAY($A26,2),"月","火","水","木","金","土","日"))</f>
        <v/>
      </c>
      <c r="C26" s="15" t="n">
        <v>1000</v>
      </c>
      <c r="D26" s="15" t="n">
        <v>1600</v>
      </c>
      <c r="E26" s="15" t="n"/>
      <c r="F26" s="16">
        <f>IF(OR($N26="",$O26=""),"",MAX(0,MOD($O26-$N26,1)-IF($P26&lt;&gt;"",$P26,IF(MOD($O26-$N26,1)&gt;設定!$E$8,設定!$E$7,0))))</f>
        <v/>
      </c>
      <c r="G26" s="15" t="n"/>
      <c r="H26" s="15" t="n"/>
      <c r="I26" s="15" t="n"/>
      <c r="J26" s="15" t="n"/>
      <c r="K26" s="17">
        <f>IF($A26="","",IFERROR(VLOOKUP($A26,祝日リスト!$A$2:$C$40,3,0),""))</f>
        <v/>
      </c>
      <c r="L26" s="18" t="n"/>
      <c r="M26" s="19">
        <f>IF($A26="","",IF($K26&lt;&gt;"","祝",IF(WEEKDAY($A26,2)=6,"土",IF(WEEKDAY($A26,2)=7,"日","平"))))</f>
        <v/>
      </c>
      <c r="N26" s="19">
        <f>IF(NOT(ISNUMBER($C26)),"",IF($C26&lt;1,$C26,(INT($C26/100)*60+MOD($C26,100))/1440))</f>
        <v/>
      </c>
      <c r="O26" s="19">
        <f>IF(NOT(ISNUMBER($D26)),"",IF($D26&lt;1,$D26,(INT($D26/100)*60+MOD($D26,100))/1440))</f>
        <v/>
      </c>
      <c r="P26" s="19">
        <f>IF(NOT(ISNUMBER($E26)),"",IF($E26&lt;1,$E26,(INT($E26/100)*60+MOD($E26,100))/1440))</f>
        <v/>
      </c>
      <c r="Q26" s="19">
        <f>IF(NOT(ISNUMBER($G26)),"",IF($G26&lt;1,$G26,(INT($G26/100)*60+MOD($G26,100))/1440))</f>
        <v/>
      </c>
      <c r="R26" s="19">
        <f>IF(NOT(ISNUMBER($H26)),"",IF($H26&lt;1,$H26,(INT($H26/100)*60+MOD($H26,100))/1440))</f>
        <v/>
      </c>
      <c r="S26" s="19">
        <f>IF(NOT(ISNUMBER($I26)),"",IF($I26&lt;1,$I26,(INT($I26/100)*60+MOD($I26,100))/1440))</f>
        <v/>
      </c>
      <c r="T26" s="19">
        <f>IF(NOT(ISNUMBER($J26)),"",IF($J26&lt;1,$J26,(INT($J26/100)*60+MOD($J26,100))/1440))</f>
        <v/>
      </c>
    </row>
    <row r="27" ht="19" customHeight="1">
      <c r="A27" s="13">
        <f>IF(A26="","",IF(MONTH(A26+1)=$D$4,A26+1,""))</f>
        <v/>
      </c>
      <c r="B27" s="14">
        <f>IF($A27="","",CHOOSE(WEEKDAY($A27,2),"月","火","水","木","金","土","日"))</f>
        <v/>
      </c>
      <c r="C27" s="15" t="n">
        <v>1000</v>
      </c>
      <c r="D27" s="15" t="n">
        <v>1600</v>
      </c>
      <c r="E27" s="15" t="n"/>
      <c r="F27" s="16">
        <f>IF(OR($N27="",$O27=""),"",MAX(0,MOD($O27-$N27,1)-IF($P27&lt;&gt;"",$P27,IF(MOD($O27-$N27,1)&gt;設定!$E$8,設定!$E$7,0))))</f>
        <v/>
      </c>
      <c r="G27" s="15" t="n"/>
      <c r="H27" s="15" t="n"/>
      <c r="I27" s="15" t="n"/>
      <c r="J27" s="15" t="n"/>
      <c r="K27" s="17">
        <f>IF($A27="","",IFERROR(VLOOKUP($A27,祝日リスト!$A$2:$C$40,3,0),""))</f>
        <v/>
      </c>
      <c r="L27" s="18" t="n"/>
      <c r="M27" s="19">
        <f>IF($A27="","",IF($K27&lt;&gt;"","祝",IF(WEEKDAY($A27,2)=6,"土",IF(WEEKDAY($A27,2)=7,"日","平"))))</f>
        <v/>
      </c>
      <c r="N27" s="19">
        <f>IF(NOT(ISNUMBER($C27)),"",IF($C27&lt;1,$C27,(INT($C27/100)*60+MOD($C27,100))/1440))</f>
        <v/>
      </c>
      <c r="O27" s="19">
        <f>IF(NOT(ISNUMBER($D27)),"",IF($D27&lt;1,$D27,(INT($D27/100)*60+MOD($D27,100))/1440))</f>
        <v/>
      </c>
      <c r="P27" s="19">
        <f>IF(NOT(ISNUMBER($E27)),"",IF($E27&lt;1,$E27,(INT($E27/100)*60+MOD($E27,100))/1440))</f>
        <v/>
      </c>
      <c r="Q27" s="19">
        <f>IF(NOT(ISNUMBER($G27)),"",IF($G27&lt;1,$G27,(INT($G27/100)*60+MOD($G27,100))/1440))</f>
        <v/>
      </c>
      <c r="R27" s="19">
        <f>IF(NOT(ISNUMBER($H27)),"",IF($H27&lt;1,$H27,(INT($H27/100)*60+MOD($H27,100))/1440))</f>
        <v/>
      </c>
      <c r="S27" s="19">
        <f>IF(NOT(ISNUMBER($I27)),"",IF($I27&lt;1,$I27,(INT($I27/100)*60+MOD($I27,100))/1440))</f>
        <v/>
      </c>
      <c r="T27" s="19">
        <f>IF(NOT(ISNUMBER($J27)),"",IF($J27&lt;1,$J27,(INT($J27/100)*60+MOD($J27,100))/1440))</f>
        <v/>
      </c>
    </row>
    <row r="28" ht="19" customHeight="1">
      <c r="A28" s="13">
        <f>IF(A27="","",IF(MONTH(A27+1)=$D$4,A27+1,""))</f>
        <v/>
      </c>
      <c r="B28" s="14">
        <f>IF($A28="","",CHOOSE(WEEKDAY($A28,2),"月","火","水","木","金","土","日"))</f>
        <v/>
      </c>
      <c r="C28" s="15" t="n"/>
      <c r="D28" s="15" t="n"/>
      <c r="E28" s="15" t="n"/>
      <c r="F28" s="16">
        <f>IF(OR($N28="",$O28=""),"",MAX(0,MOD($O28-$N28,1)-IF($P28&lt;&gt;"",$P28,IF(MOD($O28-$N28,1)&gt;設定!$E$8,設定!$E$7,0))))</f>
        <v/>
      </c>
      <c r="G28" s="15" t="n"/>
      <c r="H28" s="15" t="n"/>
      <c r="I28" s="15" t="n"/>
      <c r="J28" s="15" t="n"/>
      <c r="K28" s="17">
        <f>IF($A28="","",IFERROR(VLOOKUP($A28,祝日リスト!$A$2:$C$40,3,0),""))</f>
        <v/>
      </c>
      <c r="L28" s="18" t="n"/>
      <c r="M28" s="19">
        <f>IF($A28="","",IF($K28&lt;&gt;"","祝",IF(WEEKDAY($A28,2)=6,"土",IF(WEEKDAY($A28,2)=7,"日","平"))))</f>
        <v/>
      </c>
      <c r="N28" s="19">
        <f>IF(NOT(ISNUMBER($C28)),"",IF($C28&lt;1,$C28,(INT($C28/100)*60+MOD($C28,100))/1440))</f>
        <v/>
      </c>
      <c r="O28" s="19">
        <f>IF(NOT(ISNUMBER($D28)),"",IF($D28&lt;1,$D28,(INT($D28/100)*60+MOD($D28,100))/1440))</f>
        <v/>
      </c>
      <c r="P28" s="19">
        <f>IF(NOT(ISNUMBER($E28)),"",IF($E28&lt;1,$E28,(INT($E28/100)*60+MOD($E28,100))/1440))</f>
        <v/>
      </c>
      <c r="Q28" s="19">
        <f>IF(NOT(ISNUMBER($G28)),"",IF($G28&lt;1,$G28,(INT($G28/100)*60+MOD($G28,100))/1440))</f>
        <v/>
      </c>
      <c r="R28" s="19">
        <f>IF(NOT(ISNUMBER($H28)),"",IF($H28&lt;1,$H28,(INT($H28/100)*60+MOD($H28,100))/1440))</f>
        <v/>
      </c>
      <c r="S28" s="19">
        <f>IF(NOT(ISNUMBER($I28)),"",IF($I28&lt;1,$I28,(INT($I28/100)*60+MOD($I28,100))/1440))</f>
        <v/>
      </c>
      <c r="T28" s="19">
        <f>IF(NOT(ISNUMBER($J28)),"",IF($J28&lt;1,$J28,(INT($J28/100)*60+MOD($J28,100))/1440))</f>
        <v/>
      </c>
    </row>
    <row r="29" ht="19" customHeight="1">
      <c r="A29" s="13">
        <f>IF(A28="","",IF(MONTH(A28+1)=$D$4,A28+1,""))</f>
        <v/>
      </c>
      <c r="B29" s="14">
        <f>IF($A29="","",CHOOSE(WEEKDAY($A29,2),"月","火","水","木","金","土","日"))</f>
        <v/>
      </c>
      <c r="C29" s="15" t="n"/>
      <c r="D29" s="15" t="n"/>
      <c r="E29" s="15" t="n"/>
      <c r="F29" s="16">
        <f>IF(OR($N29="",$O29=""),"",MAX(0,MOD($O29-$N29,1)-IF($P29&lt;&gt;"",$P29,IF(MOD($O29-$N29,1)&gt;設定!$E$8,設定!$E$7,0))))</f>
        <v/>
      </c>
      <c r="G29" s="15" t="n"/>
      <c r="H29" s="15" t="n"/>
      <c r="I29" s="15" t="n"/>
      <c r="J29" s="15" t="n"/>
      <c r="K29" s="17">
        <f>IF($A29="","",IFERROR(VLOOKUP($A29,祝日リスト!$A$2:$C$40,3,0),""))</f>
        <v/>
      </c>
      <c r="L29" s="18" t="n"/>
      <c r="M29" s="19">
        <f>IF($A29="","",IF($K29&lt;&gt;"","祝",IF(WEEKDAY($A29,2)=6,"土",IF(WEEKDAY($A29,2)=7,"日","平"))))</f>
        <v/>
      </c>
      <c r="N29" s="19">
        <f>IF(NOT(ISNUMBER($C29)),"",IF($C29&lt;1,$C29,(INT($C29/100)*60+MOD($C29,100))/1440))</f>
        <v/>
      </c>
      <c r="O29" s="19">
        <f>IF(NOT(ISNUMBER($D29)),"",IF($D29&lt;1,$D29,(INT($D29/100)*60+MOD($D29,100))/1440))</f>
        <v/>
      </c>
      <c r="P29" s="19">
        <f>IF(NOT(ISNUMBER($E29)),"",IF($E29&lt;1,$E29,(INT($E29/100)*60+MOD($E29,100))/1440))</f>
        <v/>
      </c>
      <c r="Q29" s="19">
        <f>IF(NOT(ISNUMBER($G29)),"",IF($G29&lt;1,$G29,(INT($G29/100)*60+MOD($G29,100))/1440))</f>
        <v/>
      </c>
      <c r="R29" s="19">
        <f>IF(NOT(ISNUMBER($H29)),"",IF($H29&lt;1,$H29,(INT($H29/100)*60+MOD($H29,100))/1440))</f>
        <v/>
      </c>
      <c r="S29" s="19">
        <f>IF(NOT(ISNUMBER($I29)),"",IF($I29&lt;1,$I29,(INT($I29/100)*60+MOD($I29,100))/1440))</f>
        <v/>
      </c>
      <c r="T29" s="19">
        <f>IF(NOT(ISNUMBER($J29)),"",IF($J29&lt;1,$J29,(INT($J29/100)*60+MOD($J29,100))/1440))</f>
        <v/>
      </c>
    </row>
    <row r="30" ht="19" customHeight="1">
      <c r="A30" s="13">
        <f>IF(A29="","",IF(MONTH(A29+1)=$D$4,A29+1,""))</f>
        <v/>
      </c>
      <c r="B30" s="14">
        <f>IF($A30="","",CHOOSE(WEEKDAY($A30,2),"月","火","水","木","金","土","日"))</f>
        <v/>
      </c>
      <c r="C30" s="15" t="n">
        <v>1000</v>
      </c>
      <c r="D30" s="15" t="n">
        <v>1600</v>
      </c>
      <c r="E30" s="15" t="n"/>
      <c r="F30" s="16">
        <f>IF(OR($N30="",$O30=""),"",MAX(0,MOD($O30-$N30,1)-IF($P30&lt;&gt;"",$P30,IF(MOD($O30-$N30,1)&gt;設定!$E$8,設定!$E$7,0))))</f>
        <v/>
      </c>
      <c r="G30" s="15" t="n"/>
      <c r="H30" s="15" t="n"/>
      <c r="I30" s="15" t="n"/>
      <c r="J30" s="15" t="n"/>
      <c r="K30" s="17">
        <f>IF($A30="","",IFERROR(VLOOKUP($A30,祝日リスト!$A$2:$C$40,3,0),""))</f>
        <v/>
      </c>
      <c r="L30" s="18" t="n"/>
      <c r="M30" s="19">
        <f>IF($A30="","",IF($K30&lt;&gt;"","祝",IF(WEEKDAY($A30,2)=6,"土",IF(WEEKDAY($A30,2)=7,"日","平"))))</f>
        <v/>
      </c>
      <c r="N30" s="19">
        <f>IF(NOT(ISNUMBER($C30)),"",IF($C30&lt;1,$C30,(INT($C30/100)*60+MOD($C30,100))/1440))</f>
        <v/>
      </c>
      <c r="O30" s="19">
        <f>IF(NOT(ISNUMBER($D30)),"",IF($D30&lt;1,$D30,(INT($D30/100)*60+MOD($D30,100))/1440))</f>
        <v/>
      </c>
      <c r="P30" s="19">
        <f>IF(NOT(ISNUMBER($E30)),"",IF($E30&lt;1,$E30,(INT($E30/100)*60+MOD($E30,100))/1440))</f>
        <v/>
      </c>
      <c r="Q30" s="19">
        <f>IF(NOT(ISNUMBER($G30)),"",IF($G30&lt;1,$G30,(INT($G30/100)*60+MOD($G30,100))/1440))</f>
        <v/>
      </c>
      <c r="R30" s="19">
        <f>IF(NOT(ISNUMBER($H30)),"",IF($H30&lt;1,$H30,(INT($H30/100)*60+MOD($H30,100))/1440))</f>
        <v/>
      </c>
      <c r="S30" s="19">
        <f>IF(NOT(ISNUMBER($I30)),"",IF($I30&lt;1,$I30,(INT($I30/100)*60+MOD($I30,100))/1440))</f>
        <v/>
      </c>
      <c r="T30" s="19">
        <f>IF(NOT(ISNUMBER($J30)),"",IF($J30&lt;1,$J30,(INT($J30/100)*60+MOD($J30,100))/1440))</f>
        <v/>
      </c>
    </row>
    <row r="31" ht="19" customHeight="1">
      <c r="A31" s="13">
        <f>IF(A30="","",IF(MONTH(A30+1)=$D$4,A30+1,""))</f>
        <v/>
      </c>
      <c r="B31" s="14">
        <f>IF($A31="","",CHOOSE(WEEKDAY($A31,2),"月","火","水","木","金","土","日"))</f>
        <v/>
      </c>
      <c r="C31" s="15" t="n">
        <v>1000</v>
      </c>
      <c r="D31" s="15" t="n">
        <v>1600</v>
      </c>
      <c r="E31" s="15" t="n"/>
      <c r="F31" s="16">
        <f>IF(OR($N31="",$O31=""),"",MAX(0,MOD($O31-$N31,1)-IF($P31&lt;&gt;"",$P31,IF(MOD($O31-$N31,1)&gt;設定!$E$8,設定!$E$7,0))))</f>
        <v/>
      </c>
      <c r="G31" s="15" t="n"/>
      <c r="H31" s="15" t="n"/>
      <c r="I31" s="15" t="n"/>
      <c r="J31" s="15" t="n"/>
      <c r="K31" s="17">
        <f>IF($A31="","",IFERROR(VLOOKUP($A31,祝日リスト!$A$2:$C$40,3,0),""))</f>
        <v/>
      </c>
      <c r="L31" s="18" t="n"/>
      <c r="M31" s="19">
        <f>IF($A31="","",IF($K31&lt;&gt;"","祝",IF(WEEKDAY($A31,2)=6,"土",IF(WEEKDAY($A31,2)=7,"日","平"))))</f>
        <v/>
      </c>
      <c r="N31" s="19">
        <f>IF(NOT(ISNUMBER($C31)),"",IF($C31&lt;1,$C31,(INT($C31/100)*60+MOD($C31,100))/1440))</f>
        <v/>
      </c>
      <c r="O31" s="19">
        <f>IF(NOT(ISNUMBER($D31)),"",IF($D31&lt;1,$D31,(INT($D31/100)*60+MOD($D31,100))/1440))</f>
        <v/>
      </c>
      <c r="P31" s="19">
        <f>IF(NOT(ISNUMBER($E31)),"",IF($E31&lt;1,$E31,(INT($E31/100)*60+MOD($E31,100))/1440))</f>
        <v/>
      </c>
      <c r="Q31" s="19">
        <f>IF(NOT(ISNUMBER($G31)),"",IF($G31&lt;1,$G31,(INT($G31/100)*60+MOD($G31,100))/1440))</f>
        <v/>
      </c>
      <c r="R31" s="19">
        <f>IF(NOT(ISNUMBER($H31)),"",IF($H31&lt;1,$H31,(INT($H31/100)*60+MOD($H31,100))/1440))</f>
        <v/>
      </c>
      <c r="S31" s="19">
        <f>IF(NOT(ISNUMBER($I31)),"",IF($I31&lt;1,$I31,(INT($I31/100)*60+MOD($I31,100))/1440))</f>
        <v/>
      </c>
      <c r="T31" s="19">
        <f>IF(NOT(ISNUMBER($J31)),"",IF($J31&lt;1,$J31,(INT($J31/100)*60+MOD($J31,100))/1440))</f>
        <v/>
      </c>
    </row>
    <row r="32" ht="19" customHeight="1">
      <c r="A32" s="13">
        <f>IF(A31="","",IF(MONTH(A31+1)=$D$4,A31+1,""))</f>
        <v/>
      </c>
      <c r="B32" s="14">
        <f>IF($A32="","",CHOOSE(WEEKDAY($A32,2),"月","火","水","木","金","土","日"))</f>
        <v/>
      </c>
      <c r="C32" s="15" t="n"/>
      <c r="D32" s="15" t="n"/>
      <c r="E32" s="15" t="n"/>
      <c r="F32" s="16">
        <f>IF(OR($N32="",$O32=""),"",MAX(0,MOD($O32-$N32,1)-IF($P32&lt;&gt;"",$P32,IF(MOD($O32-$N32,1)&gt;設定!$E$8,設定!$E$7,0))))</f>
        <v/>
      </c>
      <c r="G32" s="15" t="n"/>
      <c r="H32" s="15" t="n"/>
      <c r="I32" s="15" t="n"/>
      <c r="J32" s="15" t="n"/>
      <c r="K32" s="17">
        <f>IF($A32="","",IFERROR(VLOOKUP($A32,祝日リスト!$A$2:$C$40,3,0),""))</f>
        <v/>
      </c>
      <c r="L32" s="18" t="n"/>
      <c r="M32" s="19">
        <f>IF($A32="","",IF($K32&lt;&gt;"","祝",IF(WEEKDAY($A32,2)=6,"土",IF(WEEKDAY($A32,2)=7,"日","平"))))</f>
        <v/>
      </c>
      <c r="N32" s="19">
        <f>IF(NOT(ISNUMBER($C32)),"",IF($C32&lt;1,$C32,(INT($C32/100)*60+MOD($C32,100))/1440))</f>
        <v/>
      </c>
      <c r="O32" s="19">
        <f>IF(NOT(ISNUMBER($D32)),"",IF($D32&lt;1,$D32,(INT($D32/100)*60+MOD($D32,100))/1440))</f>
        <v/>
      </c>
      <c r="P32" s="19">
        <f>IF(NOT(ISNUMBER($E32)),"",IF($E32&lt;1,$E32,(INT($E32/100)*60+MOD($E32,100))/1440))</f>
        <v/>
      </c>
      <c r="Q32" s="19">
        <f>IF(NOT(ISNUMBER($G32)),"",IF($G32&lt;1,$G32,(INT($G32/100)*60+MOD($G32,100))/1440))</f>
        <v/>
      </c>
      <c r="R32" s="19">
        <f>IF(NOT(ISNUMBER($H32)),"",IF($H32&lt;1,$H32,(INT($H32/100)*60+MOD($H32,100))/1440))</f>
        <v/>
      </c>
      <c r="S32" s="19">
        <f>IF(NOT(ISNUMBER($I32)),"",IF($I32&lt;1,$I32,(INT($I32/100)*60+MOD($I32,100))/1440))</f>
        <v/>
      </c>
      <c r="T32" s="19">
        <f>IF(NOT(ISNUMBER($J32)),"",IF($J32&lt;1,$J32,(INT($J32/100)*60+MOD($J32,100))/1440))</f>
        <v/>
      </c>
    </row>
    <row r="33" ht="19" customHeight="1">
      <c r="A33" s="13">
        <f>IF(A32="","",IF(MONTH(A32+1)=$D$4,A32+1,""))</f>
        <v/>
      </c>
      <c r="B33" s="14">
        <f>IF($A33="","",CHOOSE(WEEKDAY($A33,2),"月","火","水","木","金","土","日"))</f>
        <v/>
      </c>
      <c r="C33" s="15" t="n">
        <v>1000</v>
      </c>
      <c r="D33" s="15" t="n">
        <v>1600</v>
      </c>
      <c r="E33" s="15" t="n"/>
      <c r="F33" s="16">
        <f>IF(OR($N33="",$O33=""),"",MAX(0,MOD($O33-$N33,1)-IF($P33&lt;&gt;"",$P33,IF(MOD($O33-$N33,1)&gt;設定!$E$8,設定!$E$7,0))))</f>
        <v/>
      </c>
      <c r="G33" s="15" t="n"/>
      <c r="H33" s="15" t="n"/>
      <c r="I33" s="15" t="n"/>
      <c r="J33" s="15" t="n"/>
      <c r="K33" s="17">
        <f>IF($A33="","",IFERROR(VLOOKUP($A33,祝日リスト!$A$2:$C$40,3,0),""))</f>
        <v/>
      </c>
      <c r="L33" s="18" t="n"/>
      <c r="M33" s="19">
        <f>IF($A33="","",IF($K33&lt;&gt;"","祝",IF(WEEKDAY($A33,2)=6,"土",IF(WEEKDAY($A33,2)=7,"日","平"))))</f>
        <v/>
      </c>
      <c r="N33" s="19">
        <f>IF(NOT(ISNUMBER($C33)),"",IF($C33&lt;1,$C33,(INT($C33/100)*60+MOD($C33,100))/1440))</f>
        <v/>
      </c>
      <c r="O33" s="19">
        <f>IF(NOT(ISNUMBER($D33)),"",IF($D33&lt;1,$D33,(INT($D33/100)*60+MOD($D33,100))/1440))</f>
        <v/>
      </c>
      <c r="P33" s="19">
        <f>IF(NOT(ISNUMBER($E33)),"",IF($E33&lt;1,$E33,(INT($E33/100)*60+MOD($E33,100))/1440))</f>
        <v/>
      </c>
      <c r="Q33" s="19">
        <f>IF(NOT(ISNUMBER($G33)),"",IF($G33&lt;1,$G33,(INT($G33/100)*60+MOD($G33,100))/1440))</f>
        <v/>
      </c>
      <c r="R33" s="19">
        <f>IF(NOT(ISNUMBER($H33)),"",IF($H33&lt;1,$H33,(INT($H33/100)*60+MOD($H33,100))/1440))</f>
        <v/>
      </c>
      <c r="S33" s="19">
        <f>IF(NOT(ISNUMBER($I33)),"",IF($I33&lt;1,$I33,(INT($I33/100)*60+MOD($I33,100))/1440))</f>
        <v/>
      </c>
      <c r="T33" s="19">
        <f>IF(NOT(ISNUMBER($J33)),"",IF($J33&lt;1,$J33,(INT($J33/100)*60+MOD($J33,100))/1440))</f>
        <v/>
      </c>
    </row>
    <row r="34" ht="19" customHeight="1">
      <c r="A34" s="13">
        <f>IF(A33="","",IF(MONTH(A33+1)=$D$4,A33+1,""))</f>
        <v/>
      </c>
      <c r="B34" s="14">
        <f>IF($A34="","",CHOOSE(WEEKDAY($A34,2),"月","火","水","木","金","土","日"))</f>
        <v/>
      </c>
      <c r="C34" s="15" t="n">
        <v>1000</v>
      </c>
      <c r="D34" s="15" t="n">
        <v>1600</v>
      </c>
      <c r="E34" s="15" t="n"/>
      <c r="F34" s="16">
        <f>IF(OR($N34="",$O34=""),"",MAX(0,MOD($O34-$N34,1)-IF($P34&lt;&gt;"",$P34,IF(MOD($O34-$N34,1)&gt;設定!$E$8,設定!$E$7,0))))</f>
        <v/>
      </c>
      <c r="G34" s="15" t="n"/>
      <c r="H34" s="15" t="n"/>
      <c r="I34" s="15" t="n"/>
      <c r="J34" s="15" t="n"/>
      <c r="K34" s="17">
        <f>IF($A34="","",IFERROR(VLOOKUP($A34,祝日リスト!$A$2:$C$40,3,0),""))</f>
        <v/>
      </c>
      <c r="L34" s="18" t="n"/>
      <c r="M34" s="19">
        <f>IF($A34="","",IF($K34&lt;&gt;"","祝",IF(WEEKDAY($A34,2)=6,"土",IF(WEEKDAY($A34,2)=7,"日","平"))))</f>
        <v/>
      </c>
      <c r="N34" s="19">
        <f>IF(NOT(ISNUMBER($C34)),"",IF($C34&lt;1,$C34,(INT($C34/100)*60+MOD($C34,100))/1440))</f>
        <v/>
      </c>
      <c r="O34" s="19">
        <f>IF(NOT(ISNUMBER($D34)),"",IF($D34&lt;1,$D34,(INT($D34/100)*60+MOD($D34,100))/1440))</f>
        <v/>
      </c>
      <c r="P34" s="19">
        <f>IF(NOT(ISNUMBER($E34)),"",IF($E34&lt;1,$E34,(INT($E34/100)*60+MOD($E34,100))/1440))</f>
        <v/>
      </c>
      <c r="Q34" s="19">
        <f>IF(NOT(ISNUMBER($G34)),"",IF($G34&lt;1,$G34,(INT($G34/100)*60+MOD($G34,100))/1440))</f>
        <v/>
      </c>
      <c r="R34" s="19">
        <f>IF(NOT(ISNUMBER($H34)),"",IF($H34&lt;1,$H34,(INT($H34/100)*60+MOD($H34,100))/1440))</f>
        <v/>
      </c>
      <c r="S34" s="19">
        <f>IF(NOT(ISNUMBER($I34)),"",IF($I34&lt;1,$I34,(INT($I34/100)*60+MOD($I34,100))/1440))</f>
        <v/>
      </c>
      <c r="T34" s="19">
        <f>IF(NOT(ISNUMBER($J34)),"",IF($J34&lt;1,$J34,(INT($J34/100)*60+MOD($J34,100))/1440))</f>
        <v/>
      </c>
    </row>
    <row r="35" ht="19" customHeight="1">
      <c r="A35" s="13">
        <f>IF(A34="","",IF(MONTH(A34+1)=$D$4,A34+1,""))</f>
        <v/>
      </c>
      <c r="B35" s="14">
        <f>IF($A35="","",CHOOSE(WEEKDAY($A35,2),"月","火","水","木","金","土","日"))</f>
        <v/>
      </c>
      <c r="C35" s="15" t="n"/>
      <c r="D35" s="15" t="n"/>
      <c r="E35" s="15" t="n"/>
      <c r="F35" s="16">
        <f>IF(OR($N35="",$O35=""),"",MAX(0,MOD($O35-$N35,1)-IF($P35&lt;&gt;"",$P35,IF(MOD($O35-$N35,1)&gt;設定!$E$8,設定!$E$7,0))))</f>
        <v/>
      </c>
      <c r="G35" s="15" t="n"/>
      <c r="H35" s="15" t="n"/>
      <c r="I35" s="15" t="n"/>
      <c r="J35" s="15" t="n"/>
      <c r="K35" s="17">
        <f>IF($A35="","",IFERROR(VLOOKUP($A35,祝日リスト!$A$2:$C$40,3,0),""))</f>
        <v/>
      </c>
      <c r="L35" s="18" t="n"/>
      <c r="M35" s="19">
        <f>IF($A35="","",IF($K35&lt;&gt;"","祝",IF(WEEKDAY($A35,2)=6,"土",IF(WEEKDAY($A35,2)=7,"日","平"))))</f>
        <v/>
      </c>
      <c r="N35" s="19">
        <f>IF(NOT(ISNUMBER($C35)),"",IF($C35&lt;1,$C35,(INT($C35/100)*60+MOD($C35,100))/1440))</f>
        <v/>
      </c>
      <c r="O35" s="19">
        <f>IF(NOT(ISNUMBER($D35)),"",IF($D35&lt;1,$D35,(INT($D35/100)*60+MOD($D35,100))/1440))</f>
        <v/>
      </c>
      <c r="P35" s="19">
        <f>IF(NOT(ISNUMBER($E35)),"",IF($E35&lt;1,$E35,(INT($E35/100)*60+MOD($E35,100))/1440))</f>
        <v/>
      </c>
      <c r="Q35" s="19">
        <f>IF(NOT(ISNUMBER($G35)),"",IF($G35&lt;1,$G35,(INT($G35/100)*60+MOD($G35,100))/1440))</f>
        <v/>
      </c>
      <c r="R35" s="19">
        <f>IF(NOT(ISNUMBER($H35)),"",IF($H35&lt;1,$H35,(INT($H35/100)*60+MOD($H35,100))/1440))</f>
        <v/>
      </c>
      <c r="S35" s="19">
        <f>IF(NOT(ISNUMBER($I35)),"",IF($I35&lt;1,$I35,(INT($I35/100)*60+MOD($I35,100))/1440))</f>
        <v/>
      </c>
      <c r="T35" s="19">
        <f>IF(NOT(ISNUMBER($J35)),"",IF($J35&lt;1,$J35,(INT($J35/100)*60+MOD($J35,100))/1440))</f>
        <v/>
      </c>
    </row>
    <row r="36" ht="19" customHeight="1">
      <c r="A36" s="13">
        <f>IF(A35="","",IF(MONTH(A35+1)=$D$4,A35+1,""))</f>
        <v/>
      </c>
      <c r="B36" s="14">
        <f>IF($A36="","",CHOOSE(WEEKDAY($A36,2),"月","火","水","木","金","土","日"))</f>
        <v/>
      </c>
      <c r="C36" s="15" t="n"/>
      <c r="D36" s="15" t="n"/>
      <c r="E36" s="15" t="n"/>
      <c r="F36" s="16">
        <f>IF(OR($N36="",$O36=""),"",MAX(0,MOD($O36-$N36,1)-IF($P36&lt;&gt;"",$P36,IF(MOD($O36-$N36,1)&gt;設定!$E$8,設定!$E$7,0))))</f>
        <v/>
      </c>
      <c r="G36" s="15" t="n"/>
      <c r="H36" s="15" t="n"/>
      <c r="I36" s="15" t="n"/>
      <c r="J36" s="15" t="n"/>
      <c r="K36" s="17">
        <f>IF($A36="","",IFERROR(VLOOKUP($A36,祝日リスト!$A$2:$C$40,3,0),""))</f>
        <v/>
      </c>
      <c r="L36" s="18" t="n"/>
      <c r="M36" s="19">
        <f>IF($A36="","",IF($K36&lt;&gt;"","祝",IF(WEEKDAY($A36,2)=6,"土",IF(WEEKDAY($A36,2)=7,"日","平"))))</f>
        <v/>
      </c>
      <c r="N36" s="19">
        <f>IF(NOT(ISNUMBER($C36)),"",IF($C36&lt;1,$C36,(INT($C36/100)*60+MOD($C36,100))/1440))</f>
        <v/>
      </c>
      <c r="O36" s="19">
        <f>IF(NOT(ISNUMBER($D36)),"",IF($D36&lt;1,$D36,(INT($D36/100)*60+MOD($D36,100))/1440))</f>
        <v/>
      </c>
      <c r="P36" s="19">
        <f>IF(NOT(ISNUMBER($E36)),"",IF($E36&lt;1,$E36,(INT($E36/100)*60+MOD($E36,100))/1440))</f>
        <v/>
      </c>
      <c r="Q36" s="19">
        <f>IF(NOT(ISNUMBER($G36)),"",IF($G36&lt;1,$G36,(INT($G36/100)*60+MOD($G36,100))/1440))</f>
        <v/>
      </c>
      <c r="R36" s="19">
        <f>IF(NOT(ISNUMBER($H36)),"",IF($H36&lt;1,$H36,(INT($H36/100)*60+MOD($H36,100))/1440))</f>
        <v/>
      </c>
      <c r="S36" s="19">
        <f>IF(NOT(ISNUMBER($I36)),"",IF($I36&lt;1,$I36,(INT($I36/100)*60+MOD($I36,100))/1440))</f>
        <v/>
      </c>
      <c r="T36" s="19">
        <f>IF(NOT(ISNUMBER($J36)),"",IF($J36&lt;1,$J36,(INT($J36/100)*60+MOD($J36,100))/1440))</f>
        <v/>
      </c>
    </row>
    <row r="37" ht="19" customHeight="1">
      <c r="A37" s="13">
        <f>IF(A36="","",IF(MONTH(A36+1)=$D$4,A36+1,""))</f>
        <v/>
      </c>
      <c r="B37" s="14">
        <f>IF($A37="","",CHOOSE(WEEKDAY($A37,2),"月","火","水","木","金","土","日"))</f>
        <v/>
      </c>
      <c r="C37" s="15" t="n"/>
      <c r="D37" s="15" t="n"/>
      <c r="E37" s="15" t="n"/>
      <c r="F37" s="16">
        <f>IF(OR($N37="",$O37=""),"",MAX(0,MOD($O37-$N37,1)-IF($P37&lt;&gt;"",$P37,IF(MOD($O37-$N37,1)&gt;設定!$E$8,設定!$E$7,0))))</f>
        <v/>
      </c>
      <c r="G37" s="15" t="n"/>
      <c r="H37" s="15" t="n"/>
      <c r="I37" s="15" t="n"/>
      <c r="J37" s="15" t="n"/>
      <c r="K37" s="17">
        <f>IF($A37="","",IFERROR(VLOOKUP($A37,祝日リスト!$A$2:$C$40,3,0),""))</f>
        <v/>
      </c>
      <c r="L37" s="18" t="n"/>
      <c r="M37" s="19">
        <f>IF($A37="","",IF($K37&lt;&gt;"","祝",IF(WEEKDAY($A37,2)=6,"土",IF(WEEKDAY($A37,2)=7,"日","平"))))</f>
        <v/>
      </c>
      <c r="N37" s="19">
        <f>IF(NOT(ISNUMBER($C37)),"",IF($C37&lt;1,$C37,(INT($C37/100)*60+MOD($C37,100))/1440))</f>
        <v/>
      </c>
      <c r="O37" s="19">
        <f>IF(NOT(ISNUMBER($D37)),"",IF($D37&lt;1,$D37,(INT($D37/100)*60+MOD($D37,100))/1440))</f>
        <v/>
      </c>
      <c r="P37" s="19">
        <f>IF(NOT(ISNUMBER($E37)),"",IF($E37&lt;1,$E37,(INT($E37/100)*60+MOD($E37,100))/1440))</f>
        <v/>
      </c>
      <c r="Q37" s="19">
        <f>IF(NOT(ISNUMBER($G37)),"",IF($G37&lt;1,$G37,(INT($G37/100)*60+MOD($G37,100))/1440))</f>
        <v/>
      </c>
      <c r="R37" s="19">
        <f>IF(NOT(ISNUMBER($H37)),"",IF($H37&lt;1,$H37,(INT($H37/100)*60+MOD($H37,100))/1440))</f>
        <v/>
      </c>
      <c r="S37" s="19">
        <f>IF(NOT(ISNUMBER($I37)),"",IF($I37&lt;1,$I37,(INT($I37/100)*60+MOD($I37,100))/1440))</f>
        <v/>
      </c>
      <c r="T37" s="19">
        <f>IF(NOT(ISNUMBER($J37)),"",IF($J37&lt;1,$J37,(INT($J37/100)*60+MOD($J37,100))/1440))</f>
        <v/>
      </c>
    </row>
    <row r="38" ht="19" customHeight="1">
      <c r="A38" s="20">
        <f>IF(A37="","",IF(MONTH(A37+1)=$D$4,A37+1,""))</f>
        <v/>
      </c>
      <c r="B38" s="21">
        <f>IF($A38="","",CHOOSE(WEEKDAY($A38,2),"月","火","水","木","金","土","日"))</f>
        <v/>
      </c>
      <c r="C38" s="22" t="n"/>
      <c r="D38" s="22" t="n"/>
      <c r="E38" s="22" t="n"/>
      <c r="F38" s="23">
        <f>IF(OR($N38="",$O38=""),"",MAX(0,MOD($O38-$N38,1)-IF($P38&lt;&gt;"",$P38,IF(MOD($O38-$N38,1)&gt;設定!$E$8,設定!$E$7,0))))</f>
        <v/>
      </c>
      <c r="G38" s="22" t="n"/>
      <c r="H38" s="22" t="n"/>
      <c r="I38" s="22" t="n"/>
      <c r="J38" s="22" t="n"/>
      <c r="K38" s="24">
        <f>IF($A38="","",IFERROR(VLOOKUP($A38,祝日リスト!$A$2:$C$40,3,0),""))</f>
        <v/>
      </c>
      <c r="L38" s="25" t="n"/>
      <c r="M38" s="19">
        <f>IF($A38="","",IF($K38&lt;&gt;"","祝",IF(WEEKDAY($A38,2)=6,"土",IF(WEEKDAY($A38,2)=7,"日","平"))))</f>
        <v/>
      </c>
      <c r="N38" s="19">
        <f>IF(NOT(ISNUMBER($C38)),"",IF($C38&lt;1,$C38,(INT($C38/100)*60+MOD($C38,100))/1440))</f>
        <v/>
      </c>
      <c r="O38" s="19">
        <f>IF(NOT(ISNUMBER($D38)),"",IF($D38&lt;1,$D38,(INT($D38/100)*60+MOD($D38,100))/1440))</f>
        <v/>
      </c>
      <c r="P38" s="19">
        <f>IF(NOT(ISNUMBER($E38)),"",IF($E38&lt;1,$E38,(INT($E38/100)*60+MOD($E38,100))/1440))</f>
        <v/>
      </c>
      <c r="Q38" s="19">
        <f>IF(NOT(ISNUMBER($G38)),"",IF($G38&lt;1,$G38,(INT($G38/100)*60+MOD($G38,100))/1440))</f>
        <v/>
      </c>
      <c r="R38" s="19">
        <f>IF(NOT(ISNUMBER($H38)),"",IF($H38&lt;1,$H38,(INT($H38/100)*60+MOD($H38,100))/1440))</f>
        <v/>
      </c>
      <c r="S38" s="19">
        <f>IF(NOT(ISNUMBER($I38)),"",IF($I38&lt;1,$I38,(INT($I38/100)*60+MOD($I38,100))/1440))</f>
        <v/>
      </c>
      <c r="T38" s="19">
        <f>IF(NOT(ISNUMBER($J38)),"",IF($J38&lt;1,$J38,(INT($J38/100)*60+MOD($J38,100))/1440))</f>
        <v/>
      </c>
    </row>
    <row r="40" ht="20" customHeight="1">
      <c r="A40" s="26" t="inlineStr">
        <is>
          <t>月次集計</t>
        </is>
      </c>
    </row>
    <row r="41" ht="18" customHeight="1">
      <c r="A41" s="27" t="inlineStr">
        <is>
          <t>出勤日数</t>
        </is>
      </c>
      <c r="D41" s="28">
        <f>COUNT($N$8:$N$38)</f>
        <v/>
      </c>
      <c r="E41" s="29" t="inlineStr">
        <is>
          <t>日</t>
        </is>
      </c>
      <c r="G41" s="27" t="inlineStr">
        <is>
          <t>通常残業</t>
        </is>
      </c>
      <c r="K41" s="30">
        <f>SUM($Q$8:$Q$38)</f>
        <v/>
      </c>
    </row>
    <row r="42" ht="18" customHeight="1">
      <c r="A42" s="27" t="inlineStr">
        <is>
          <t>実働時間 合計</t>
        </is>
      </c>
      <c r="D42" s="30">
        <f>SUM($F$8:$F$38)</f>
        <v/>
      </c>
      <c r="G42" s="27" t="inlineStr">
        <is>
          <t>深夜残業</t>
        </is>
      </c>
      <c r="K42" s="30">
        <f>SUM($R$8:$R$38)</f>
        <v/>
      </c>
    </row>
    <row r="43" ht="18" customHeight="1">
      <c r="A43" s="31" t="inlineStr">
        <is>
          <t xml:space="preserve">　うち 平日</t>
        </is>
      </c>
      <c r="D43" s="30">
        <f>SUMIF($M$8:$M$38,"平",$F$8:$F$38)</f>
        <v/>
      </c>
      <c r="G43" s="27" t="inlineStr">
        <is>
          <t>早朝残業</t>
        </is>
      </c>
      <c r="K43" s="30">
        <f>SUM($S$8:$S$38)</f>
        <v/>
      </c>
    </row>
    <row r="44" ht="18" customHeight="1">
      <c r="A44" s="31" t="inlineStr">
        <is>
          <t xml:space="preserve">　うち 土曜</t>
        </is>
      </c>
      <c r="D44" s="30">
        <f>SUMIF($M$8:$M$38,"土",$F$8:$F$38)</f>
        <v/>
      </c>
      <c r="G44" s="27" t="inlineStr">
        <is>
          <t>遅刻・早退</t>
        </is>
      </c>
      <c r="K44" s="30">
        <f>SUM($T$8:$T$38)</f>
        <v/>
      </c>
    </row>
    <row r="45" ht="18" customHeight="1">
      <c r="A45" s="31" t="inlineStr">
        <is>
          <t xml:space="preserve">　うち 日曜・祝日</t>
        </is>
      </c>
      <c r="D45" s="30">
        <f>SUMIF($M$8:$M$38,"日",$F$8:$F$38)+SUMIF($M$8:$M$38,"祝",$F$8:$F$38)</f>
        <v/>
      </c>
      <c r="G45" s="27" t="inlineStr">
        <is>
          <t>所定超過(実働-所定×出勤日数)</t>
        </is>
      </c>
      <c r="K45" s="30">
        <f>MAX(0,SUM($F$8:$F$38)-設定!$E$6*COUNT($N$8:$N$38))</f>
        <v/>
      </c>
    </row>
    <row r="47">
      <c r="A47" s="11" t="inlineStr">
        <is>
          <t>※ 残業欄は実働時間の内数です。実働は「退勤－出勤－休憩」で自動計算されます。</t>
        </is>
      </c>
    </row>
    <row r="49" ht="30" customHeight="1">
      <c r="G49" s="9" t="inlineStr">
        <is>
          <t>承認</t>
        </is>
      </c>
      <c r="H49" s="32" t="n"/>
      <c r="J49" s="32" t="n"/>
    </row>
    <row r="50">
      <c r="H50" s="33" t="inlineStr">
        <is>
          <t>本人</t>
        </is>
      </c>
      <c r="J50" s="33" t="inlineStr">
        <is>
          <t>上長</t>
        </is>
      </c>
    </row>
  </sheetData>
  <mergeCells count="15">
    <mergeCell ref="G44:J44"/>
    <mergeCell ref="A42:C42"/>
    <mergeCell ref="A41:C41"/>
    <mergeCell ref="A44:C44"/>
    <mergeCell ref="A45:C45"/>
    <mergeCell ref="G43:J43"/>
    <mergeCell ref="H49:I49"/>
    <mergeCell ref="J49:K49"/>
    <mergeCell ref="A40:L40"/>
    <mergeCell ref="J4:L4"/>
    <mergeCell ref="A2:D2"/>
    <mergeCell ref="G41:J41"/>
    <mergeCell ref="A43:C43"/>
    <mergeCell ref="G45:J45"/>
    <mergeCell ref="G42:J42"/>
  </mergeCells>
  <conditionalFormatting sqref="A8:L38">
    <cfRule type="expression" priority="1" dxfId="0" stopIfTrue="1">
      <formula>$A8=""</formula>
    </cfRule>
    <cfRule type="expression" priority="2" dxfId="1">
      <formula>OR($M8="祝",$M8="日")</formula>
    </cfRule>
    <cfRule type="expression" priority="3" dxfId="2">
      <formula>$M8="土"</formula>
    </cfRule>
  </conditionalFormatting>
  <conditionalFormatting sqref="D8:D38">
    <cfRule type="expression" priority="4" dxfId="3">
      <formula>AND($N8&lt;&gt;"",$O8="")</formula>
    </cfRule>
  </conditionalFormatting>
  <conditionalFormatting sqref="C8:C38">
    <cfRule type="expression" priority="5" dxfId="3">
      <formula>AND($O8&lt;&gt;"",$N8="")</formula>
    </cfRule>
  </conditionalFormatting>
  <dataValidations count="2">
    <dataValidation sqref="L8:L38" showDropDown="0" showInputMessage="1" showErrorMessage="0" allowBlank="1" promptTitle="備考" prompt="選択、または自由入力できます" type="list">
      <formula1>"有給,半休,欠勤,遅刻,早退,休日出勤,振替休日,直行,直帰,出張,特別休暇"</formula1>
    </dataValidation>
    <dataValidation sqref="C8:C38 D8:D38 E8:E38 G8:G38 H8:H38 I8:I38 J8:J38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=OR(AND(C8&gt;=0,C8&lt;1),AND(C8=INT(C8),C8&lt;=2359,MOD(C8,100)&lt;60))</formula1>
    </dataValidation>
  </dataValidations>
  <pageMargins left="0.3" right="0.3" top="0.4" bottom="0.4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tabColor rgb="FF4472C4"/>
    <outlinePr summaryBelow="1" summaryRight="1"/>
    <pageSetUpPr fitToPage="1"/>
  </sheetPr>
  <dimension ref="A2:T5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.5" customWidth="1" min="1" max="1"/>
    <col width="4.5" customWidth="1" min="2" max="2"/>
    <col width="8.5" customWidth="1" min="3" max="3"/>
    <col width="8.5" customWidth="1" min="4" max="4"/>
    <col width="8" customWidth="1" min="5" max="5"/>
    <col width="8.5" customWidth="1" min="6" max="6"/>
    <col width="9" customWidth="1" min="7" max="7"/>
    <col width="9" customWidth="1" min="8" max="8"/>
    <col width="9" customWidth="1" min="9" max="9"/>
    <col width="10" customWidth="1" min="10" max="10"/>
    <col width="14" customWidth="1" min="11" max="11"/>
    <col width="26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2" ht="24" customHeight="1">
      <c r="A2" s="8">
        <f>設定!$B$4&amp;"　"&amp;設定!$B$3&amp;"年"&amp;3&amp;"月度 出勤簿"</f>
        <v/>
      </c>
    </row>
    <row r="4">
      <c r="A4" s="9" t="inlineStr">
        <is>
          <t>年</t>
        </is>
      </c>
      <c r="B4" s="10">
        <f>設定!$B$3</f>
        <v/>
      </c>
      <c r="C4" s="9" t="inlineStr">
        <is>
          <t>月</t>
        </is>
      </c>
      <c r="D4" s="10" t="n">
        <v>3</v>
      </c>
      <c r="G4" s="9" t="inlineStr">
        <is>
          <t>所属</t>
        </is>
      </c>
      <c r="H4" s="10">
        <f>設定!$B$5</f>
        <v/>
      </c>
      <c r="I4" s="9" t="inlineStr">
        <is>
          <t>氏名</t>
        </is>
      </c>
      <c r="J4" s="10">
        <f>設定!$B$4</f>
        <v/>
      </c>
    </row>
    <row r="5">
      <c r="A5" s="11" t="inlineStr">
        <is>
          <t>黄色のセルに入力してください（灰色は自動計算）。時刻は 930 のようにコロンなしで入力できます。</t>
        </is>
      </c>
    </row>
    <row r="7" ht="26" customHeight="1">
      <c r="A7" s="12" t="inlineStr">
        <is>
          <t>日</t>
        </is>
      </c>
      <c r="B7" s="12" t="inlineStr">
        <is>
          <t>曜</t>
        </is>
      </c>
      <c r="C7" s="12" t="inlineStr">
        <is>
          <t>出勤</t>
        </is>
      </c>
      <c r="D7" s="12" t="inlineStr">
        <is>
          <t>退勤</t>
        </is>
      </c>
      <c r="E7" s="12" t="inlineStr">
        <is>
          <t>休憩</t>
        </is>
      </c>
      <c r="F7" s="12" t="inlineStr">
        <is>
          <t>実働</t>
        </is>
      </c>
      <c r="G7" s="12" t="inlineStr">
        <is>
          <t>通常残業</t>
        </is>
      </c>
      <c r="H7" s="12" t="inlineStr">
        <is>
          <t>深夜残業</t>
        </is>
      </c>
      <c r="I7" s="12" t="inlineStr">
        <is>
          <t>早朝残業</t>
        </is>
      </c>
      <c r="J7" s="12" t="inlineStr">
        <is>
          <t>遅刻・早退</t>
        </is>
      </c>
      <c r="K7" s="12" t="inlineStr">
        <is>
          <t>祝日</t>
        </is>
      </c>
      <c r="L7" s="12" t="inlineStr">
        <is>
          <t>備考・理由</t>
        </is>
      </c>
    </row>
    <row r="8" ht="19" customHeight="1">
      <c r="A8" s="13">
        <f>DATE($B$4,$D$4,1)</f>
        <v/>
      </c>
      <c r="B8" s="14">
        <f>IF($A8="","",CHOOSE(WEEKDAY($A8,2),"月","火","水","木","金","土","日"))</f>
        <v/>
      </c>
      <c r="C8" s="15" t="n"/>
      <c r="D8" s="15" t="n"/>
      <c r="E8" s="15" t="n"/>
      <c r="F8" s="16">
        <f>IF(OR($N8="",$O8=""),"",MAX(0,MOD($O8-$N8,1)-IF($P8&lt;&gt;"",$P8,IF(MOD($O8-$N8,1)&gt;設定!$E$8,設定!$E$7,0))))</f>
        <v/>
      </c>
      <c r="G8" s="15" t="n"/>
      <c r="H8" s="15" t="n"/>
      <c r="I8" s="15" t="n"/>
      <c r="J8" s="15" t="n"/>
      <c r="K8" s="17">
        <f>IF($A8="","",IFERROR(VLOOKUP($A8,祝日リスト!$A$2:$C$40,3,0),""))</f>
        <v/>
      </c>
      <c r="L8" s="18" t="n"/>
      <c r="M8" s="19">
        <f>IF($A8="","",IF($K8&lt;&gt;"","祝",IF(WEEKDAY($A8,2)=6,"土",IF(WEEKDAY($A8,2)=7,"日","平"))))</f>
        <v/>
      </c>
      <c r="N8" s="19">
        <f>IF(NOT(ISNUMBER($C8)),"",IF($C8&lt;1,$C8,(INT($C8/100)*60+MOD($C8,100))/1440))</f>
        <v/>
      </c>
      <c r="O8" s="19">
        <f>IF(NOT(ISNUMBER($D8)),"",IF($D8&lt;1,$D8,(INT($D8/100)*60+MOD($D8,100))/1440))</f>
        <v/>
      </c>
      <c r="P8" s="19">
        <f>IF(NOT(ISNUMBER($E8)),"",IF($E8&lt;1,$E8,(INT($E8/100)*60+MOD($E8,100))/1440))</f>
        <v/>
      </c>
      <c r="Q8" s="19">
        <f>IF(NOT(ISNUMBER($G8)),"",IF($G8&lt;1,$G8,(INT($G8/100)*60+MOD($G8,100))/1440))</f>
        <v/>
      </c>
      <c r="R8" s="19">
        <f>IF(NOT(ISNUMBER($H8)),"",IF($H8&lt;1,$H8,(INT($H8/100)*60+MOD($H8,100))/1440))</f>
        <v/>
      </c>
      <c r="S8" s="19">
        <f>IF(NOT(ISNUMBER($I8)),"",IF($I8&lt;1,$I8,(INT($I8/100)*60+MOD($I8,100))/1440))</f>
        <v/>
      </c>
      <c r="T8" s="19">
        <f>IF(NOT(ISNUMBER($J8)),"",IF($J8&lt;1,$J8,(INT($J8/100)*60+MOD($J8,100))/1440))</f>
        <v/>
      </c>
    </row>
    <row r="9" ht="19" customHeight="1">
      <c r="A9" s="13">
        <f>IF(A8="","",IF(MONTH(A8+1)=$D$4,A8+1,""))</f>
        <v/>
      </c>
      <c r="B9" s="14">
        <f>IF($A9="","",CHOOSE(WEEKDAY($A9,2),"月","火","水","木","金","土","日"))</f>
        <v/>
      </c>
      <c r="C9" s="15" t="n"/>
      <c r="D9" s="15" t="n">
        <v>1600</v>
      </c>
      <c r="E9" s="15" t="n"/>
      <c r="F9" s="16">
        <f>IF(OR($N9="",$O9=""),"",MAX(0,MOD($O9-$N9,1)-IF($P9&lt;&gt;"",$P9,IF(MOD($O9-$N9,1)&gt;設定!$E$8,設定!$E$7,0))))</f>
        <v/>
      </c>
      <c r="G9" s="15" t="n"/>
      <c r="H9" s="15" t="n"/>
      <c r="I9" s="15" t="n"/>
      <c r="J9" s="15" t="n"/>
      <c r="K9" s="17">
        <f>IF($A9="","",IFERROR(VLOOKUP($A9,祝日リスト!$A$2:$C$40,3,0),""))</f>
        <v/>
      </c>
      <c r="L9" s="18" t="inlineStr">
        <is>
          <t>要確認: 出勤「10::00」</t>
        </is>
      </c>
      <c r="M9" s="19">
        <f>IF($A9="","",IF($K9&lt;&gt;"","祝",IF(WEEKDAY($A9,2)=6,"土",IF(WEEKDAY($A9,2)=7,"日","平"))))</f>
        <v/>
      </c>
      <c r="N9" s="19">
        <f>IF(NOT(ISNUMBER($C9)),"",IF($C9&lt;1,$C9,(INT($C9/100)*60+MOD($C9,100))/1440))</f>
        <v/>
      </c>
      <c r="O9" s="19">
        <f>IF(NOT(ISNUMBER($D9)),"",IF($D9&lt;1,$D9,(INT($D9/100)*60+MOD($D9,100))/1440))</f>
        <v/>
      </c>
      <c r="P9" s="19">
        <f>IF(NOT(ISNUMBER($E9)),"",IF($E9&lt;1,$E9,(INT($E9/100)*60+MOD($E9,100))/1440))</f>
        <v/>
      </c>
      <c r="Q9" s="19">
        <f>IF(NOT(ISNUMBER($G9)),"",IF($G9&lt;1,$G9,(INT($G9/100)*60+MOD($G9,100))/1440))</f>
        <v/>
      </c>
      <c r="R9" s="19">
        <f>IF(NOT(ISNUMBER($H9)),"",IF($H9&lt;1,$H9,(INT($H9/100)*60+MOD($H9,100))/1440))</f>
        <v/>
      </c>
      <c r="S9" s="19">
        <f>IF(NOT(ISNUMBER($I9)),"",IF($I9&lt;1,$I9,(INT($I9/100)*60+MOD($I9,100))/1440))</f>
        <v/>
      </c>
      <c r="T9" s="19">
        <f>IF(NOT(ISNUMBER($J9)),"",IF($J9&lt;1,$J9,(INT($J9/100)*60+MOD($J9,100))/1440))</f>
        <v/>
      </c>
    </row>
    <row r="10" ht="19" customHeight="1">
      <c r="A10" s="13">
        <f>IF(A9="","",IF(MONTH(A9+1)=$D$4,A9+1,""))</f>
        <v/>
      </c>
      <c r="B10" s="14">
        <f>IF($A10="","",CHOOSE(WEEKDAY($A10,2),"月","火","水","木","金","土","日"))</f>
        <v/>
      </c>
      <c r="C10" s="15" t="n">
        <v>1000</v>
      </c>
      <c r="D10" s="15" t="n">
        <v>1600</v>
      </c>
      <c r="E10" s="15" t="n"/>
      <c r="F10" s="16">
        <f>IF(OR($N10="",$O10=""),"",MAX(0,MOD($O10-$N10,1)-IF($P10&lt;&gt;"",$P10,IF(MOD($O10-$N10,1)&gt;設定!$E$8,設定!$E$7,0))))</f>
        <v/>
      </c>
      <c r="G10" s="15" t="n"/>
      <c r="H10" s="15" t="n"/>
      <c r="I10" s="15" t="n"/>
      <c r="J10" s="15" t="n"/>
      <c r="K10" s="17">
        <f>IF($A10="","",IFERROR(VLOOKUP($A10,祝日リスト!$A$2:$C$40,3,0),""))</f>
        <v/>
      </c>
      <c r="L10" s="18" t="n"/>
      <c r="M10" s="19">
        <f>IF($A10="","",IF($K10&lt;&gt;"","祝",IF(WEEKDAY($A10,2)=6,"土",IF(WEEKDAY($A10,2)=7,"日","平"))))</f>
        <v/>
      </c>
      <c r="N10" s="19">
        <f>IF(NOT(ISNUMBER($C10)),"",IF($C10&lt;1,$C10,(INT($C10/100)*60+MOD($C10,100))/1440))</f>
        <v/>
      </c>
      <c r="O10" s="19">
        <f>IF(NOT(ISNUMBER($D10)),"",IF($D10&lt;1,$D10,(INT($D10/100)*60+MOD($D10,100))/1440))</f>
        <v/>
      </c>
      <c r="P10" s="19">
        <f>IF(NOT(ISNUMBER($E10)),"",IF($E10&lt;1,$E10,(INT($E10/100)*60+MOD($E10,100))/1440))</f>
        <v/>
      </c>
      <c r="Q10" s="19">
        <f>IF(NOT(ISNUMBER($G10)),"",IF($G10&lt;1,$G10,(INT($G10/100)*60+MOD($G10,100))/1440))</f>
        <v/>
      </c>
      <c r="R10" s="19">
        <f>IF(NOT(ISNUMBER($H10)),"",IF($H10&lt;1,$H10,(INT($H10/100)*60+MOD($H10,100))/1440))</f>
        <v/>
      </c>
      <c r="S10" s="19">
        <f>IF(NOT(ISNUMBER($I10)),"",IF($I10&lt;1,$I10,(INT($I10/100)*60+MOD($I10,100))/1440))</f>
        <v/>
      </c>
      <c r="T10" s="19">
        <f>IF(NOT(ISNUMBER($J10)),"",IF($J10&lt;1,$J10,(INT($J10/100)*60+MOD($J10,100))/1440))</f>
        <v/>
      </c>
    </row>
    <row r="11" ht="19" customHeight="1">
      <c r="A11" s="13">
        <f>IF(A10="","",IF(MONTH(A10+1)=$D$4,A10+1,""))</f>
        <v/>
      </c>
      <c r="B11" s="14">
        <f>IF($A11="","",CHOOSE(WEEKDAY($A11,2),"月","火","水","木","金","土","日"))</f>
        <v/>
      </c>
      <c r="C11" s="15" t="n"/>
      <c r="D11" s="15" t="n"/>
      <c r="E11" s="15" t="n"/>
      <c r="F11" s="16">
        <f>IF(OR($N11="",$O11=""),"",MAX(0,MOD($O11-$N11,1)-IF($P11&lt;&gt;"",$P11,IF(MOD($O11-$N11,1)&gt;設定!$E$8,設定!$E$7,0))))</f>
        <v/>
      </c>
      <c r="G11" s="15" t="n"/>
      <c r="H11" s="15" t="n"/>
      <c r="I11" s="15" t="n"/>
      <c r="J11" s="15" t="n"/>
      <c r="K11" s="17">
        <f>IF($A11="","",IFERROR(VLOOKUP($A11,祝日リスト!$A$2:$C$40,3,0),""))</f>
        <v/>
      </c>
      <c r="L11" s="18" t="n"/>
      <c r="M11" s="19">
        <f>IF($A11="","",IF($K11&lt;&gt;"","祝",IF(WEEKDAY($A11,2)=6,"土",IF(WEEKDAY($A11,2)=7,"日","平"))))</f>
        <v/>
      </c>
      <c r="N11" s="19">
        <f>IF(NOT(ISNUMBER($C11)),"",IF($C11&lt;1,$C11,(INT($C11/100)*60+MOD($C11,100))/1440))</f>
        <v/>
      </c>
      <c r="O11" s="19">
        <f>IF(NOT(ISNUMBER($D11)),"",IF($D11&lt;1,$D11,(INT($D11/100)*60+MOD($D11,100))/1440))</f>
        <v/>
      </c>
      <c r="P11" s="19">
        <f>IF(NOT(ISNUMBER($E11)),"",IF($E11&lt;1,$E11,(INT($E11/100)*60+MOD($E11,100))/1440))</f>
        <v/>
      </c>
      <c r="Q11" s="19">
        <f>IF(NOT(ISNUMBER($G11)),"",IF($G11&lt;1,$G11,(INT($G11/100)*60+MOD($G11,100))/1440))</f>
        <v/>
      </c>
      <c r="R11" s="19">
        <f>IF(NOT(ISNUMBER($H11)),"",IF($H11&lt;1,$H11,(INT($H11/100)*60+MOD($H11,100))/1440))</f>
        <v/>
      </c>
      <c r="S11" s="19">
        <f>IF(NOT(ISNUMBER($I11)),"",IF($I11&lt;1,$I11,(INT($I11/100)*60+MOD($I11,100))/1440))</f>
        <v/>
      </c>
      <c r="T11" s="19">
        <f>IF(NOT(ISNUMBER($J11)),"",IF($J11&lt;1,$J11,(INT($J11/100)*60+MOD($J11,100))/1440))</f>
        <v/>
      </c>
    </row>
    <row r="12" ht="19" customHeight="1">
      <c r="A12" s="13">
        <f>IF(A11="","",IF(MONTH(A11+1)=$D$4,A11+1,""))</f>
        <v/>
      </c>
      <c r="B12" s="14">
        <f>IF($A12="","",CHOOSE(WEEKDAY($A12,2),"月","火","水","木","金","土","日"))</f>
        <v/>
      </c>
      <c r="C12" s="15" t="n">
        <v>1000</v>
      </c>
      <c r="D12" s="15" t="n">
        <v>1600</v>
      </c>
      <c r="E12" s="15" t="n"/>
      <c r="F12" s="16">
        <f>IF(OR($N12="",$O12=""),"",MAX(0,MOD($O12-$N12,1)-IF($P12&lt;&gt;"",$P12,IF(MOD($O12-$N12,1)&gt;設定!$E$8,設定!$E$7,0))))</f>
        <v/>
      </c>
      <c r="G12" s="15" t="n"/>
      <c r="H12" s="15" t="n"/>
      <c r="I12" s="15" t="n"/>
      <c r="J12" s="15" t="n"/>
      <c r="K12" s="17">
        <f>IF($A12="","",IFERROR(VLOOKUP($A12,祝日リスト!$A$2:$C$40,3,0),""))</f>
        <v/>
      </c>
      <c r="L12" s="18" t="n"/>
      <c r="M12" s="19">
        <f>IF($A12="","",IF($K12&lt;&gt;"","祝",IF(WEEKDAY($A12,2)=6,"土",IF(WEEKDAY($A12,2)=7,"日","平"))))</f>
        <v/>
      </c>
      <c r="N12" s="19">
        <f>IF(NOT(ISNUMBER($C12)),"",IF($C12&lt;1,$C12,(INT($C12/100)*60+MOD($C12,100))/1440))</f>
        <v/>
      </c>
      <c r="O12" s="19">
        <f>IF(NOT(ISNUMBER($D12)),"",IF($D12&lt;1,$D12,(INT($D12/100)*60+MOD($D12,100))/1440))</f>
        <v/>
      </c>
      <c r="P12" s="19">
        <f>IF(NOT(ISNUMBER($E12)),"",IF($E12&lt;1,$E12,(INT($E12/100)*60+MOD($E12,100))/1440))</f>
        <v/>
      </c>
      <c r="Q12" s="19">
        <f>IF(NOT(ISNUMBER($G12)),"",IF($G12&lt;1,$G12,(INT($G12/100)*60+MOD($G12,100))/1440))</f>
        <v/>
      </c>
      <c r="R12" s="19">
        <f>IF(NOT(ISNUMBER($H12)),"",IF($H12&lt;1,$H12,(INT($H12/100)*60+MOD($H12,100))/1440))</f>
        <v/>
      </c>
      <c r="S12" s="19">
        <f>IF(NOT(ISNUMBER($I12)),"",IF($I12&lt;1,$I12,(INT($I12/100)*60+MOD($I12,100))/1440))</f>
        <v/>
      </c>
      <c r="T12" s="19">
        <f>IF(NOT(ISNUMBER($J12)),"",IF($J12&lt;1,$J12,(INT($J12/100)*60+MOD($J12,100))/1440))</f>
        <v/>
      </c>
    </row>
    <row r="13" ht="19" customHeight="1">
      <c r="A13" s="13">
        <f>IF(A12="","",IF(MONTH(A12+1)=$D$4,A12+1,""))</f>
        <v/>
      </c>
      <c r="B13" s="14">
        <f>IF($A13="","",CHOOSE(WEEKDAY($A13,2),"月","火","水","木","金","土","日"))</f>
        <v/>
      </c>
      <c r="C13" s="15" t="n">
        <v>1000</v>
      </c>
      <c r="D13" s="15" t="n">
        <v>1600</v>
      </c>
      <c r="E13" s="15" t="n"/>
      <c r="F13" s="16">
        <f>IF(OR($N13="",$O13=""),"",MAX(0,MOD($O13-$N13,1)-IF($P13&lt;&gt;"",$P13,IF(MOD($O13-$N13,1)&gt;設定!$E$8,設定!$E$7,0))))</f>
        <v/>
      </c>
      <c r="G13" s="15" t="n"/>
      <c r="H13" s="15" t="n"/>
      <c r="I13" s="15" t="n"/>
      <c r="J13" s="15" t="n"/>
      <c r="K13" s="17">
        <f>IF($A13="","",IFERROR(VLOOKUP($A13,祝日リスト!$A$2:$C$40,3,0),""))</f>
        <v/>
      </c>
      <c r="L13" s="18" t="n"/>
      <c r="M13" s="19">
        <f>IF($A13="","",IF($K13&lt;&gt;"","祝",IF(WEEKDAY($A13,2)=6,"土",IF(WEEKDAY($A13,2)=7,"日","平"))))</f>
        <v/>
      </c>
      <c r="N13" s="19">
        <f>IF(NOT(ISNUMBER($C13)),"",IF($C13&lt;1,$C13,(INT($C13/100)*60+MOD($C13,100))/1440))</f>
        <v/>
      </c>
      <c r="O13" s="19">
        <f>IF(NOT(ISNUMBER($D13)),"",IF($D13&lt;1,$D13,(INT($D13/100)*60+MOD($D13,100))/1440))</f>
        <v/>
      </c>
      <c r="P13" s="19">
        <f>IF(NOT(ISNUMBER($E13)),"",IF($E13&lt;1,$E13,(INT($E13/100)*60+MOD($E13,100))/1440))</f>
        <v/>
      </c>
      <c r="Q13" s="19">
        <f>IF(NOT(ISNUMBER($G13)),"",IF($G13&lt;1,$G13,(INT($G13/100)*60+MOD($G13,100))/1440))</f>
        <v/>
      </c>
      <c r="R13" s="19">
        <f>IF(NOT(ISNUMBER($H13)),"",IF($H13&lt;1,$H13,(INT($H13/100)*60+MOD($H13,100))/1440))</f>
        <v/>
      </c>
      <c r="S13" s="19">
        <f>IF(NOT(ISNUMBER($I13)),"",IF($I13&lt;1,$I13,(INT($I13/100)*60+MOD($I13,100))/1440))</f>
        <v/>
      </c>
      <c r="T13" s="19">
        <f>IF(NOT(ISNUMBER($J13)),"",IF($J13&lt;1,$J13,(INT($J13/100)*60+MOD($J13,100))/1440))</f>
        <v/>
      </c>
    </row>
    <row r="14" ht="19" customHeight="1">
      <c r="A14" s="13">
        <f>IF(A13="","",IF(MONTH(A13+1)=$D$4,A13+1,""))</f>
        <v/>
      </c>
      <c r="B14" s="14">
        <f>IF($A14="","",CHOOSE(WEEKDAY($A14,2),"月","火","水","木","金","土","日"))</f>
        <v/>
      </c>
      <c r="C14" s="15" t="n"/>
      <c r="D14" s="15" t="n"/>
      <c r="E14" s="15" t="n"/>
      <c r="F14" s="16">
        <f>IF(OR($N14="",$O14=""),"",MAX(0,MOD($O14-$N14,1)-IF($P14&lt;&gt;"",$P14,IF(MOD($O14-$N14,1)&gt;設定!$E$8,設定!$E$7,0))))</f>
        <v/>
      </c>
      <c r="G14" s="15" t="n"/>
      <c r="H14" s="15" t="n"/>
      <c r="I14" s="15" t="n"/>
      <c r="J14" s="15" t="n"/>
      <c r="K14" s="17">
        <f>IF($A14="","",IFERROR(VLOOKUP($A14,祝日リスト!$A$2:$C$40,3,0),""))</f>
        <v/>
      </c>
      <c r="L14" s="18" t="n"/>
      <c r="M14" s="19">
        <f>IF($A14="","",IF($K14&lt;&gt;"","祝",IF(WEEKDAY($A14,2)=6,"土",IF(WEEKDAY($A14,2)=7,"日","平"))))</f>
        <v/>
      </c>
      <c r="N14" s="19">
        <f>IF(NOT(ISNUMBER($C14)),"",IF($C14&lt;1,$C14,(INT($C14/100)*60+MOD($C14,100))/1440))</f>
        <v/>
      </c>
      <c r="O14" s="19">
        <f>IF(NOT(ISNUMBER($D14)),"",IF($D14&lt;1,$D14,(INT($D14/100)*60+MOD($D14,100))/1440))</f>
        <v/>
      </c>
      <c r="P14" s="19">
        <f>IF(NOT(ISNUMBER($E14)),"",IF($E14&lt;1,$E14,(INT($E14/100)*60+MOD($E14,100))/1440))</f>
        <v/>
      </c>
      <c r="Q14" s="19">
        <f>IF(NOT(ISNUMBER($G14)),"",IF($G14&lt;1,$G14,(INT($G14/100)*60+MOD($G14,100))/1440))</f>
        <v/>
      </c>
      <c r="R14" s="19">
        <f>IF(NOT(ISNUMBER($H14)),"",IF($H14&lt;1,$H14,(INT($H14/100)*60+MOD($H14,100))/1440))</f>
        <v/>
      </c>
      <c r="S14" s="19">
        <f>IF(NOT(ISNUMBER($I14)),"",IF($I14&lt;1,$I14,(INT($I14/100)*60+MOD($I14,100))/1440))</f>
        <v/>
      </c>
      <c r="T14" s="19">
        <f>IF(NOT(ISNUMBER($J14)),"",IF($J14&lt;1,$J14,(INT($J14/100)*60+MOD($J14,100))/1440))</f>
        <v/>
      </c>
    </row>
    <row r="15" ht="19" customHeight="1">
      <c r="A15" s="13">
        <f>IF(A14="","",IF(MONTH(A14+1)=$D$4,A14+1,""))</f>
        <v/>
      </c>
      <c r="B15" s="14">
        <f>IF($A15="","",CHOOSE(WEEKDAY($A15,2),"月","火","水","木","金","土","日"))</f>
        <v/>
      </c>
      <c r="C15" s="15" t="n"/>
      <c r="D15" s="15" t="n"/>
      <c r="E15" s="15" t="n"/>
      <c r="F15" s="16">
        <f>IF(OR($N15="",$O15=""),"",MAX(0,MOD($O15-$N15,1)-IF($P15&lt;&gt;"",$P15,IF(MOD($O15-$N15,1)&gt;設定!$E$8,設定!$E$7,0))))</f>
        <v/>
      </c>
      <c r="G15" s="15" t="n"/>
      <c r="H15" s="15" t="n"/>
      <c r="I15" s="15" t="n"/>
      <c r="J15" s="15" t="n"/>
      <c r="K15" s="17">
        <f>IF($A15="","",IFERROR(VLOOKUP($A15,祝日リスト!$A$2:$C$40,3,0),""))</f>
        <v/>
      </c>
      <c r="L15" s="18" t="n"/>
      <c r="M15" s="19">
        <f>IF($A15="","",IF($K15&lt;&gt;"","祝",IF(WEEKDAY($A15,2)=6,"土",IF(WEEKDAY($A15,2)=7,"日","平"))))</f>
        <v/>
      </c>
      <c r="N15" s="19">
        <f>IF(NOT(ISNUMBER($C15)),"",IF($C15&lt;1,$C15,(INT($C15/100)*60+MOD($C15,100))/1440))</f>
        <v/>
      </c>
      <c r="O15" s="19">
        <f>IF(NOT(ISNUMBER($D15)),"",IF($D15&lt;1,$D15,(INT($D15/100)*60+MOD($D15,100))/1440))</f>
        <v/>
      </c>
      <c r="P15" s="19">
        <f>IF(NOT(ISNUMBER($E15)),"",IF($E15&lt;1,$E15,(INT($E15/100)*60+MOD($E15,100))/1440))</f>
        <v/>
      </c>
      <c r="Q15" s="19">
        <f>IF(NOT(ISNUMBER($G15)),"",IF($G15&lt;1,$G15,(INT($G15/100)*60+MOD($G15,100))/1440))</f>
        <v/>
      </c>
      <c r="R15" s="19">
        <f>IF(NOT(ISNUMBER($H15)),"",IF($H15&lt;1,$H15,(INT($H15/100)*60+MOD($H15,100))/1440))</f>
        <v/>
      </c>
      <c r="S15" s="19">
        <f>IF(NOT(ISNUMBER($I15)),"",IF($I15&lt;1,$I15,(INT($I15/100)*60+MOD($I15,100))/1440))</f>
        <v/>
      </c>
      <c r="T15" s="19">
        <f>IF(NOT(ISNUMBER($J15)),"",IF($J15&lt;1,$J15,(INT($J15/100)*60+MOD($J15,100))/1440))</f>
        <v/>
      </c>
    </row>
    <row r="16" ht="19" customHeight="1">
      <c r="A16" s="13">
        <f>IF(A15="","",IF(MONTH(A15+1)=$D$4,A15+1,""))</f>
        <v/>
      </c>
      <c r="B16" s="14">
        <f>IF($A16="","",CHOOSE(WEEKDAY($A16,2),"月","火","水","木","金","土","日"))</f>
        <v/>
      </c>
      <c r="C16" s="15" t="n">
        <v>1000</v>
      </c>
      <c r="D16" s="15" t="n">
        <v>1600</v>
      </c>
      <c r="E16" s="15" t="n"/>
      <c r="F16" s="16">
        <f>IF(OR($N16="",$O16=""),"",MAX(0,MOD($O16-$N16,1)-IF($P16&lt;&gt;"",$P16,IF(MOD($O16-$N16,1)&gt;設定!$E$8,設定!$E$7,0))))</f>
        <v/>
      </c>
      <c r="G16" s="15" t="n"/>
      <c r="H16" s="15" t="n"/>
      <c r="I16" s="15" t="n"/>
      <c r="J16" s="15" t="n"/>
      <c r="K16" s="17">
        <f>IF($A16="","",IFERROR(VLOOKUP($A16,祝日リスト!$A$2:$C$40,3,0),""))</f>
        <v/>
      </c>
      <c r="L16" s="18" t="n"/>
      <c r="M16" s="19">
        <f>IF($A16="","",IF($K16&lt;&gt;"","祝",IF(WEEKDAY($A16,2)=6,"土",IF(WEEKDAY($A16,2)=7,"日","平"))))</f>
        <v/>
      </c>
      <c r="N16" s="19">
        <f>IF(NOT(ISNUMBER($C16)),"",IF($C16&lt;1,$C16,(INT($C16/100)*60+MOD($C16,100))/1440))</f>
        <v/>
      </c>
      <c r="O16" s="19">
        <f>IF(NOT(ISNUMBER($D16)),"",IF($D16&lt;1,$D16,(INT($D16/100)*60+MOD($D16,100))/1440))</f>
        <v/>
      </c>
      <c r="P16" s="19">
        <f>IF(NOT(ISNUMBER($E16)),"",IF($E16&lt;1,$E16,(INT($E16/100)*60+MOD($E16,100))/1440))</f>
        <v/>
      </c>
      <c r="Q16" s="19">
        <f>IF(NOT(ISNUMBER($G16)),"",IF($G16&lt;1,$G16,(INT($G16/100)*60+MOD($G16,100))/1440))</f>
        <v/>
      </c>
      <c r="R16" s="19">
        <f>IF(NOT(ISNUMBER($H16)),"",IF($H16&lt;1,$H16,(INT($H16/100)*60+MOD($H16,100))/1440))</f>
        <v/>
      </c>
      <c r="S16" s="19">
        <f>IF(NOT(ISNUMBER($I16)),"",IF($I16&lt;1,$I16,(INT($I16/100)*60+MOD($I16,100))/1440))</f>
        <v/>
      </c>
      <c r="T16" s="19">
        <f>IF(NOT(ISNUMBER($J16)),"",IF($J16&lt;1,$J16,(INT($J16/100)*60+MOD($J16,100))/1440))</f>
        <v/>
      </c>
    </row>
    <row r="17" ht="19" customHeight="1">
      <c r="A17" s="13">
        <f>IF(A16="","",IF(MONTH(A16+1)=$D$4,A16+1,""))</f>
        <v/>
      </c>
      <c r="B17" s="14">
        <f>IF($A17="","",CHOOSE(WEEKDAY($A17,2),"月","火","水","木","金","土","日"))</f>
        <v/>
      </c>
      <c r="C17" s="15" t="n">
        <v>1000</v>
      </c>
      <c r="D17" s="15" t="n">
        <v>1600</v>
      </c>
      <c r="E17" s="15" t="n"/>
      <c r="F17" s="16">
        <f>IF(OR($N17="",$O17=""),"",MAX(0,MOD($O17-$N17,1)-IF($P17&lt;&gt;"",$P17,IF(MOD($O17-$N17,1)&gt;設定!$E$8,設定!$E$7,0))))</f>
        <v/>
      </c>
      <c r="G17" s="15" t="n"/>
      <c r="H17" s="15" t="n"/>
      <c r="I17" s="15" t="n"/>
      <c r="J17" s="15" t="n"/>
      <c r="K17" s="17">
        <f>IF($A17="","",IFERROR(VLOOKUP($A17,祝日リスト!$A$2:$C$40,3,0),""))</f>
        <v/>
      </c>
      <c r="L17" s="18" t="n"/>
      <c r="M17" s="19">
        <f>IF($A17="","",IF($K17&lt;&gt;"","祝",IF(WEEKDAY($A17,2)=6,"土",IF(WEEKDAY($A17,2)=7,"日","平"))))</f>
        <v/>
      </c>
      <c r="N17" s="19">
        <f>IF(NOT(ISNUMBER($C17)),"",IF($C17&lt;1,$C17,(INT($C17/100)*60+MOD($C17,100))/1440))</f>
        <v/>
      </c>
      <c r="O17" s="19">
        <f>IF(NOT(ISNUMBER($D17)),"",IF($D17&lt;1,$D17,(INT($D17/100)*60+MOD($D17,100))/1440))</f>
        <v/>
      </c>
      <c r="P17" s="19">
        <f>IF(NOT(ISNUMBER($E17)),"",IF($E17&lt;1,$E17,(INT($E17/100)*60+MOD($E17,100))/1440))</f>
        <v/>
      </c>
      <c r="Q17" s="19">
        <f>IF(NOT(ISNUMBER($G17)),"",IF($G17&lt;1,$G17,(INT($G17/100)*60+MOD($G17,100))/1440))</f>
        <v/>
      </c>
      <c r="R17" s="19">
        <f>IF(NOT(ISNUMBER($H17)),"",IF($H17&lt;1,$H17,(INT($H17/100)*60+MOD($H17,100))/1440))</f>
        <v/>
      </c>
      <c r="S17" s="19">
        <f>IF(NOT(ISNUMBER($I17)),"",IF($I17&lt;1,$I17,(INT($I17/100)*60+MOD($I17,100))/1440))</f>
        <v/>
      </c>
      <c r="T17" s="19">
        <f>IF(NOT(ISNUMBER($J17)),"",IF($J17&lt;1,$J17,(INT($J17/100)*60+MOD($J17,100))/1440))</f>
        <v/>
      </c>
    </row>
    <row r="18" ht="19" customHeight="1">
      <c r="A18" s="13">
        <f>IF(A17="","",IF(MONTH(A17+1)=$D$4,A17+1,""))</f>
        <v/>
      </c>
      <c r="B18" s="14">
        <f>IF($A18="","",CHOOSE(WEEKDAY($A18,2),"月","火","水","木","金","土","日"))</f>
        <v/>
      </c>
      <c r="C18" s="15" t="n"/>
      <c r="D18" s="15" t="n"/>
      <c r="E18" s="15" t="n"/>
      <c r="F18" s="16">
        <f>IF(OR($N18="",$O18=""),"",MAX(0,MOD($O18-$N18,1)-IF($P18&lt;&gt;"",$P18,IF(MOD($O18-$N18,1)&gt;設定!$E$8,設定!$E$7,0))))</f>
        <v/>
      </c>
      <c r="G18" s="15" t="n"/>
      <c r="H18" s="15" t="n"/>
      <c r="I18" s="15" t="n"/>
      <c r="J18" s="15" t="n"/>
      <c r="K18" s="17">
        <f>IF($A18="","",IFERROR(VLOOKUP($A18,祝日リスト!$A$2:$C$40,3,0),""))</f>
        <v/>
      </c>
      <c r="L18" s="18" t="n"/>
      <c r="M18" s="19">
        <f>IF($A18="","",IF($K18&lt;&gt;"","祝",IF(WEEKDAY($A18,2)=6,"土",IF(WEEKDAY($A18,2)=7,"日","平"))))</f>
        <v/>
      </c>
      <c r="N18" s="19">
        <f>IF(NOT(ISNUMBER($C18)),"",IF($C18&lt;1,$C18,(INT($C18/100)*60+MOD($C18,100))/1440))</f>
        <v/>
      </c>
      <c r="O18" s="19">
        <f>IF(NOT(ISNUMBER($D18)),"",IF($D18&lt;1,$D18,(INT($D18/100)*60+MOD($D18,100))/1440))</f>
        <v/>
      </c>
      <c r="P18" s="19">
        <f>IF(NOT(ISNUMBER($E18)),"",IF($E18&lt;1,$E18,(INT($E18/100)*60+MOD($E18,100))/1440))</f>
        <v/>
      </c>
      <c r="Q18" s="19">
        <f>IF(NOT(ISNUMBER($G18)),"",IF($G18&lt;1,$G18,(INT($G18/100)*60+MOD($G18,100))/1440))</f>
        <v/>
      </c>
      <c r="R18" s="19">
        <f>IF(NOT(ISNUMBER($H18)),"",IF($H18&lt;1,$H18,(INT($H18/100)*60+MOD($H18,100))/1440))</f>
        <v/>
      </c>
      <c r="S18" s="19">
        <f>IF(NOT(ISNUMBER($I18)),"",IF($I18&lt;1,$I18,(INT($I18/100)*60+MOD($I18,100))/1440))</f>
        <v/>
      </c>
      <c r="T18" s="19">
        <f>IF(NOT(ISNUMBER($J18)),"",IF($J18&lt;1,$J18,(INT($J18/100)*60+MOD($J18,100))/1440))</f>
        <v/>
      </c>
    </row>
    <row r="19" ht="19" customHeight="1">
      <c r="A19" s="13">
        <f>IF(A18="","",IF(MONTH(A18+1)=$D$4,A18+1,""))</f>
        <v/>
      </c>
      <c r="B19" s="14">
        <f>IF($A19="","",CHOOSE(WEEKDAY($A19,2),"月","火","水","木","金","土","日"))</f>
        <v/>
      </c>
      <c r="C19" s="15" t="n">
        <v>1000</v>
      </c>
      <c r="D19" s="15" t="n">
        <v>1600</v>
      </c>
      <c r="E19" s="15" t="n"/>
      <c r="F19" s="16">
        <f>IF(OR($N19="",$O19=""),"",MAX(0,MOD($O19-$N19,1)-IF($P19&lt;&gt;"",$P19,IF(MOD($O19-$N19,1)&gt;設定!$E$8,設定!$E$7,0))))</f>
        <v/>
      </c>
      <c r="G19" s="15" t="n"/>
      <c r="H19" s="15" t="n"/>
      <c r="I19" s="15" t="n"/>
      <c r="J19" s="15" t="n"/>
      <c r="K19" s="17">
        <f>IF($A19="","",IFERROR(VLOOKUP($A19,祝日リスト!$A$2:$C$40,3,0),""))</f>
        <v/>
      </c>
      <c r="L19" s="18" t="n"/>
      <c r="M19" s="19">
        <f>IF($A19="","",IF($K19&lt;&gt;"","祝",IF(WEEKDAY($A19,2)=6,"土",IF(WEEKDAY($A19,2)=7,"日","平"))))</f>
        <v/>
      </c>
      <c r="N19" s="19">
        <f>IF(NOT(ISNUMBER($C19)),"",IF($C19&lt;1,$C19,(INT($C19/100)*60+MOD($C19,100))/1440))</f>
        <v/>
      </c>
      <c r="O19" s="19">
        <f>IF(NOT(ISNUMBER($D19)),"",IF($D19&lt;1,$D19,(INT($D19/100)*60+MOD($D19,100))/1440))</f>
        <v/>
      </c>
      <c r="P19" s="19">
        <f>IF(NOT(ISNUMBER($E19)),"",IF($E19&lt;1,$E19,(INT($E19/100)*60+MOD($E19,100))/1440))</f>
        <v/>
      </c>
      <c r="Q19" s="19">
        <f>IF(NOT(ISNUMBER($G19)),"",IF($G19&lt;1,$G19,(INT($G19/100)*60+MOD($G19,100))/1440))</f>
        <v/>
      </c>
      <c r="R19" s="19">
        <f>IF(NOT(ISNUMBER($H19)),"",IF($H19&lt;1,$H19,(INT($H19/100)*60+MOD($H19,100))/1440))</f>
        <v/>
      </c>
      <c r="S19" s="19">
        <f>IF(NOT(ISNUMBER($I19)),"",IF($I19&lt;1,$I19,(INT($I19/100)*60+MOD($I19,100))/1440))</f>
        <v/>
      </c>
      <c r="T19" s="19">
        <f>IF(NOT(ISNUMBER($J19)),"",IF($J19&lt;1,$J19,(INT($J19/100)*60+MOD($J19,100))/1440))</f>
        <v/>
      </c>
    </row>
    <row r="20" ht="19" customHeight="1">
      <c r="A20" s="13">
        <f>IF(A19="","",IF(MONTH(A19+1)=$D$4,A19+1,""))</f>
        <v/>
      </c>
      <c r="B20" s="14">
        <f>IF($A20="","",CHOOSE(WEEKDAY($A20,2),"月","火","水","木","金","土","日"))</f>
        <v/>
      </c>
      <c r="C20" s="15" t="n">
        <v>1000</v>
      </c>
      <c r="D20" s="15" t="n">
        <v>1600</v>
      </c>
      <c r="E20" s="15" t="n"/>
      <c r="F20" s="16">
        <f>IF(OR($N20="",$O20=""),"",MAX(0,MOD($O20-$N20,1)-IF($P20&lt;&gt;"",$P20,IF(MOD($O20-$N20,1)&gt;設定!$E$8,設定!$E$7,0))))</f>
        <v/>
      </c>
      <c r="G20" s="15" t="n"/>
      <c r="H20" s="15" t="n"/>
      <c r="I20" s="15" t="n"/>
      <c r="J20" s="15" t="n"/>
      <c r="K20" s="17">
        <f>IF($A20="","",IFERROR(VLOOKUP($A20,祝日リスト!$A$2:$C$40,3,0),""))</f>
        <v/>
      </c>
      <c r="L20" s="18" t="n"/>
      <c r="M20" s="19">
        <f>IF($A20="","",IF($K20&lt;&gt;"","祝",IF(WEEKDAY($A20,2)=6,"土",IF(WEEKDAY($A20,2)=7,"日","平"))))</f>
        <v/>
      </c>
      <c r="N20" s="19">
        <f>IF(NOT(ISNUMBER($C20)),"",IF($C20&lt;1,$C20,(INT($C20/100)*60+MOD($C20,100))/1440))</f>
        <v/>
      </c>
      <c r="O20" s="19">
        <f>IF(NOT(ISNUMBER($D20)),"",IF($D20&lt;1,$D20,(INT($D20/100)*60+MOD($D20,100))/1440))</f>
        <v/>
      </c>
      <c r="P20" s="19">
        <f>IF(NOT(ISNUMBER($E20)),"",IF($E20&lt;1,$E20,(INT($E20/100)*60+MOD($E20,100))/1440))</f>
        <v/>
      </c>
      <c r="Q20" s="19">
        <f>IF(NOT(ISNUMBER($G20)),"",IF($G20&lt;1,$G20,(INT($G20/100)*60+MOD($G20,100))/1440))</f>
        <v/>
      </c>
      <c r="R20" s="19">
        <f>IF(NOT(ISNUMBER($H20)),"",IF($H20&lt;1,$H20,(INT($H20/100)*60+MOD($H20,100))/1440))</f>
        <v/>
      </c>
      <c r="S20" s="19">
        <f>IF(NOT(ISNUMBER($I20)),"",IF($I20&lt;1,$I20,(INT($I20/100)*60+MOD($I20,100))/1440))</f>
        <v/>
      </c>
      <c r="T20" s="19">
        <f>IF(NOT(ISNUMBER($J20)),"",IF($J20&lt;1,$J20,(INT($J20/100)*60+MOD($J20,100))/1440))</f>
        <v/>
      </c>
    </row>
    <row r="21" ht="19" customHeight="1">
      <c r="A21" s="13">
        <f>IF(A20="","",IF(MONTH(A20+1)=$D$4,A20+1,""))</f>
        <v/>
      </c>
      <c r="B21" s="14">
        <f>IF($A21="","",CHOOSE(WEEKDAY($A21,2),"月","火","水","木","金","土","日"))</f>
        <v/>
      </c>
      <c r="C21" s="15" t="n"/>
      <c r="D21" s="15" t="n"/>
      <c r="E21" s="15" t="n"/>
      <c r="F21" s="16">
        <f>IF(OR($N21="",$O21=""),"",MAX(0,MOD($O21-$N21,1)-IF($P21&lt;&gt;"",$P21,IF(MOD($O21-$N21,1)&gt;設定!$E$8,設定!$E$7,0))))</f>
        <v/>
      </c>
      <c r="G21" s="15" t="n"/>
      <c r="H21" s="15" t="n"/>
      <c r="I21" s="15" t="n"/>
      <c r="J21" s="15" t="n"/>
      <c r="K21" s="17">
        <f>IF($A21="","",IFERROR(VLOOKUP($A21,祝日リスト!$A$2:$C$40,3,0),""))</f>
        <v/>
      </c>
      <c r="L21" s="18" t="n"/>
      <c r="M21" s="19">
        <f>IF($A21="","",IF($K21&lt;&gt;"","祝",IF(WEEKDAY($A21,2)=6,"土",IF(WEEKDAY($A21,2)=7,"日","平"))))</f>
        <v/>
      </c>
      <c r="N21" s="19">
        <f>IF(NOT(ISNUMBER($C21)),"",IF($C21&lt;1,$C21,(INT($C21/100)*60+MOD($C21,100))/1440))</f>
        <v/>
      </c>
      <c r="O21" s="19">
        <f>IF(NOT(ISNUMBER($D21)),"",IF($D21&lt;1,$D21,(INT($D21/100)*60+MOD($D21,100))/1440))</f>
        <v/>
      </c>
      <c r="P21" s="19">
        <f>IF(NOT(ISNUMBER($E21)),"",IF($E21&lt;1,$E21,(INT($E21/100)*60+MOD($E21,100))/1440))</f>
        <v/>
      </c>
      <c r="Q21" s="19">
        <f>IF(NOT(ISNUMBER($G21)),"",IF($G21&lt;1,$G21,(INT($G21/100)*60+MOD($G21,100))/1440))</f>
        <v/>
      </c>
      <c r="R21" s="19">
        <f>IF(NOT(ISNUMBER($H21)),"",IF($H21&lt;1,$H21,(INT($H21/100)*60+MOD($H21,100))/1440))</f>
        <v/>
      </c>
      <c r="S21" s="19">
        <f>IF(NOT(ISNUMBER($I21)),"",IF($I21&lt;1,$I21,(INT($I21/100)*60+MOD($I21,100))/1440))</f>
        <v/>
      </c>
      <c r="T21" s="19">
        <f>IF(NOT(ISNUMBER($J21)),"",IF($J21&lt;1,$J21,(INT($J21/100)*60+MOD($J21,100))/1440))</f>
        <v/>
      </c>
    </row>
    <row r="22" ht="19" customHeight="1">
      <c r="A22" s="13">
        <f>IF(A21="","",IF(MONTH(A21+1)=$D$4,A21+1,""))</f>
        <v/>
      </c>
      <c r="B22" s="14">
        <f>IF($A22="","",CHOOSE(WEEKDAY($A22,2),"月","火","水","木","金","土","日"))</f>
        <v/>
      </c>
      <c r="C22" s="15" t="n"/>
      <c r="D22" s="15" t="n"/>
      <c r="E22" s="15" t="n"/>
      <c r="F22" s="16">
        <f>IF(OR($N22="",$O22=""),"",MAX(0,MOD($O22-$N22,1)-IF($P22&lt;&gt;"",$P22,IF(MOD($O22-$N22,1)&gt;設定!$E$8,設定!$E$7,0))))</f>
        <v/>
      </c>
      <c r="G22" s="15" t="n"/>
      <c r="H22" s="15" t="n"/>
      <c r="I22" s="15" t="n"/>
      <c r="J22" s="15" t="n"/>
      <c r="K22" s="17">
        <f>IF($A22="","",IFERROR(VLOOKUP($A22,祝日リスト!$A$2:$C$40,3,0),""))</f>
        <v/>
      </c>
      <c r="L22" s="18" t="n"/>
      <c r="M22" s="19">
        <f>IF($A22="","",IF($K22&lt;&gt;"","祝",IF(WEEKDAY($A22,2)=6,"土",IF(WEEKDAY($A22,2)=7,"日","平"))))</f>
        <v/>
      </c>
      <c r="N22" s="19">
        <f>IF(NOT(ISNUMBER($C22)),"",IF($C22&lt;1,$C22,(INT($C22/100)*60+MOD($C22,100))/1440))</f>
        <v/>
      </c>
      <c r="O22" s="19">
        <f>IF(NOT(ISNUMBER($D22)),"",IF($D22&lt;1,$D22,(INT($D22/100)*60+MOD($D22,100))/1440))</f>
        <v/>
      </c>
      <c r="P22" s="19">
        <f>IF(NOT(ISNUMBER($E22)),"",IF($E22&lt;1,$E22,(INT($E22/100)*60+MOD($E22,100))/1440))</f>
        <v/>
      </c>
      <c r="Q22" s="19">
        <f>IF(NOT(ISNUMBER($G22)),"",IF($G22&lt;1,$G22,(INT($G22/100)*60+MOD($G22,100))/1440))</f>
        <v/>
      </c>
      <c r="R22" s="19">
        <f>IF(NOT(ISNUMBER($H22)),"",IF($H22&lt;1,$H22,(INT($H22/100)*60+MOD($H22,100))/1440))</f>
        <v/>
      </c>
      <c r="S22" s="19">
        <f>IF(NOT(ISNUMBER($I22)),"",IF($I22&lt;1,$I22,(INT($I22/100)*60+MOD($I22,100))/1440))</f>
        <v/>
      </c>
      <c r="T22" s="19">
        <f>IF(NOT(ISNUMBER($J22)),"",IF($J22&lt;1,$J22,(INT($J22/100)*60+MOD($J22,100))/1440))</f>
        <v/>
      </c>
    </row>
    <row r="23" ht="19" customHeight="1">
      <c r="A23" s="13">
        <f>IF(A22="","",IF(MONTH(A22+1)=$D$4,A22+1,""))</f>
        <v/>
      </c>
      <c r="B23" s="14">
        <f>IF($A23="","",CHOOSE(WEEKDAY($A23,2),"月","火","水","木","金","土","日"))</f>
        <v/>
      </c>
      <c r="C23" s="15" t="n">
        <v>1000</v>
      </c>
      <c r="D23" s="15" t="n">
        <v>1600</v>
      </c>
      <c r="E23" s="15" t="n"/>
      <c r="F23" s="16">
        <f>IF(OR($N23="",$O23=""),"",MAX(0,MOD($O23-$N23,1)-IF($P23&lt;&gt;"",$P23,IF(MOD($O23-$N23,1)&gt;設定!$E$8,設定!$E$7,0))))</f>
        <v/>
      </c>
      <c r="G23" s="15" t="n"/>
      <c r="H23" s="15" t="n"/>
      <c r="I23" s="15" t="n"/>
      <c r="J23" s="15" t="n"/>
      <c r="K23" s="17">
        <f>IF($A23="","",IFERROR(VLOOKUP($A23,祝日リスト!$A$2:$C$40,3,0),""))</f>
        <v/>
      </c>
      <c r="L23" s="18" t="n"/>
      <c r="M23" s="19">
        <f>IF($A23="","",IF($K23&lt;&gt;"","祝",IF(WEEKDAY($A23,2)=6,"土",IF(WEEKDAY($A23,2)=7,"日","平"))))</f>
        <v/>
      </c>
      <c r="N23" s="19">
        <f>IF(NOT(ISNUMBER($C23)),"",IF($C23&lt;1,$C23,(INT($C23/100)*60+MOD($C23,100))/1440))</f>
        <v/>
      </c>
      <c r="O23" s="19">
        <f>IF(NOT(ISNUMBER($D23)),"",IF($D23&lt;1,$D23,(INT($D23/100)*60+MOD($D23,100))/1440))</f>
        <v/>
      </c>
      <c r="P23" s="19">
        <f>IF(NOT(ISNUMBER($E23)),"",IF($E23&lt;1,$E23,(INT($E23/100)*60+MOD($E23,100))/1440))</f>
        <v/>
      </c>
      <c r="Q23" s="19">
        <f>IF(NOT(ISNUMBER($G23)),"",IF($G23&lt;1,$G23,(INT($G23/100)*60+MOD($G23,100))/1440))</f>
        <v/>
      </c>
      <c r="R23" s="19">
        <f>IF(NOT(ISNUMBER($H23)),"",IF($H23&lt;1,$H23,(INT($H23/100)*60+MOD($H23,100))/1440))</f>
        <v/>
      </c>
      <c r="S23" s="19">
        <f>IF(NOT(ISNUMBER($I23)),"",IF($I23&lt;1,$I23,(INT($I23/100)*60+MOD($I23,100))/1440))</f>
        <v/>
      </c>
      <c r="T23" s="19">
        <f>IF(NOT(ISNUMBER($J23)),"",IF($J23&lt;1,$J23,(INT($J23/100)*60+MOD($J23,100))/1440))</f>
        <v/>
      </c>
    </row>
    <row r="24" ht="19" customHeight="1">
      <c r="A24" s="13">
        <f>IF(A23="","",IF(MONTH(A23+1)=$D$4,A23+1,""))</f>
        <v/>
      </c>
      <c r="B24" s="14">
        <f>IF($A24="","",CHOOSE(WEEKDAY($A24,2),"月","火","水","木","金","土","日"))</f>
        <v/>
      </c>
      <c r="C24" s="15" t="n">
        <v>1000</v>
      </c>
      <c r="D24" s="15" t="n">
        <v>1600</v>
      </c>
      <c r="E24" s="15" t="n"/>
      <c r="F24" s="16">
        <f>IF(OR($N24="",$O24=""),"",MAX(0,MOD($O24-$N24,1)-IF($P24&lt;&gt;"",$P24,IF(MOD($O24-$N24,1)&gt;設定!$E$8,設定!$E$7,0))))</f>
        <v/>
      </c>
      <c r="G24" s="15" t="n"/>
      <c r="H24" s="15" t="n"/>
      <c r="I24" s="15" t="n"/>
      <c r="J24" s="15" t="n"/>
      <c r="K24" s="17">
        <f>IF($A24="","",IFERROR(VLOOKUP($A24,祝日リスト!$A$2:$C$40,3,0),""))</f>
        <v/>
      </c>
      <c r="L24" s="18" t="n"/>
      <c r="M24" s="19">
        <f>IF($A24="","",IF($K24&lt;&gt;"","祝",IF(WEEKDAY($A24,2)=6,"土",IF(WEEKDAY($A24,2)=7,"日","平"))))</f>
        <v/>
      </c>
      <c r="N24" s="19">
        <f>IF(NOT(ISNUMBER($C24)),"",IF($C24&lt;1,$C24,(INT($C24/100)*60+MOD($C24,100))/1440))</f>
        <v/>
      </c>
      <c r="O24" s="19">
        <f>IF(NOT(ISNUMBER($D24)),"",IF($D24&lt;1,$D24,(INT($D24/100)*60+MOD($D24,100))/1440))</f>
        <v/>
      </c>
      <c r="P24" s="19">
        <f>IF(NOT(ISNUMBER($E24)),"",IF($E24&lt;1,$E24,(INT($E24/100)*60+MOD($E24,100))/1440))</f>
        <v/>
      </c>
      <c r="Q24" s="19">
        <f>IF(NOT(ISNUMBER($G24)),"",IF($G24&lt;1,$G24,(INT($G24/100)*60+MOD($G24,100))/1440))</f>
        <v/>
      </c>
      <c r="R24" s="19">
        <f>IF(NOT(ISNUMBER($H24)),"",IF($H24&lt;1,$H24,(INT($H24/100)*60+MOD($H24,100))/1440))</f>
        <v/>
      </c>
      <c r="S24" s="19">
        <f>IF(NOT(ISNUMBER($I24)),"",IF($I24&lt;1,$I24,(INT($I24/100)*60+MOD($I24,100))/1440))</f>
        <v/>
      </c>
      <c r="T24" s="19">
        <f>IF(NOT(ISNUMBER($J24)),"",IF($J24&lt;1,$J24,(INT($J24/100)*60+MOD($J24,100))/1440))</f>
        <v/>
      </c>
    </row>
    <row r="25" ht="19" customHeight="1">
      <c r="A25" s="13">
        <f>IF(A24="","",IF(MONTH(A24+1)=$D$4,A24+1,""))</f>
        <v/>
      </c>
      <c r="B25" s="14">
        <f>IF($A25="","",CHOOSE(WEEKDAY($A25,2),"月","火","水","木","金","土","日"))</f>
        <v/>
      </c>
      <c r="C25" s="15" t="n"/>
      <c r="D25" s="15" t="n"/>
      <c r="E25" s="15" t="n"/>
      <c r="F25" s="16">
        <f>IF(OR($N25="",$O25=""),"",MAX(0,MOD($O25-$N25,1)-IF($P25&lt;&gt;"",$P25,IF(MOD($O25-$N25,1)&gt;設定!$E$8,設定!$E$7,0))))</f>
        <v/>
      </c>
      <c r="G25" s="15" t="n"/>
      <c r="H25" s="15" t="n"/>
      <c r="I25" s="15" t="n"/>
      <c r="J25" s="15" t="n"/>
      <c r="K25" s="17">
        <f>IF($A25="","",IFERROR(VLOOKUP($A25,祝日リスト!$A$2:$C$40,3,0),""))</f>
        <v/>
      </c>
      <c r="L25" s="18" t="n"/>
      <c r="M25" s="19">
        <f>IF($A25="","",IF($K25&lt;&gt;"","祝",IF(WEEKDAY($A25,2)=6,"土",IF(WEEKDAY($A25,2)=7,"日","平"))))</f>
        <v/>
      </c>
      <c r="N25" s="19">
        <f>IF(NOT(ISNUMBER($C25)),"",IF($C25&lt;1,$C25,(INT($C25/100)*60+MOD($C25,100))/1440))</f>
        <v/>
      </c>
      <c r="O25" s="19">
        <f>IF(NOT(ISNUMBER($D25)),"",IF($D25&lt;1,$D25,(INT($D25/100)*60+MOD($D25,100))/1440))</f>
        <v/>
      </c>
      <c r="P25" s="19">
        <f>IF(NOT(ISNUMBER($E25)),"",IF($E25&lt;1,$E25,(INT($E25/100)*60+MOD($E25,100))/1440))</f>
        <v/>
      </c>
      <c r="Q25" s="19">
        <f>IF(NOT(ISNUMBER($G25)),"",IF($G25&lt;1,$G25,(INT($G25/100)*60+MOD($G25,100))/1440))</f>
        <v/>
      </c>
      <c r="R25" s="19">
        <f>IF(NOT(ISNUMBER($H25)),"",IF($H25&lt;1,$H25,(INT($H25/100)*60+MOD($H25,100))/1440))</f>
        <v/>
      </c>
      <c r="S25" s="19">
        <f>IF(NOT(ISNUMBER($I25)),"",IF($I25&lt;1,$I25,(INT($I25/100)*60+MOD($I25,100))/1440))</f>
        <v/>
      </c>
      <c r="T25" s="19">
        <f>IF(NOT(ISNUMBER($J25)),"",IF($J25&lt;1,$J25,(INT($J25/100)*60+MOD($J25,100))/1440))</f>
        <v/>
      </c>
    </row>
    <row r="26" ht="19" customHeight="1">
      <c r="A26" s="13">
        <f>IF(A25="","",IF(MONTH(A25+1)=$D$4,A25+1,""))</f>
        <v/>
      </c>
      <c r="B26" s="14">
        <f>IF($A26="","",CHOOSE(WEEKDAY($A26,2),"月","火","水","木","金","土","日"))</f>
        <v/>
      </c>
      <c r="C26" s="15" t="n">
        <v>1000</v>
      </c>
      <c r="D26" s="15" t="n">
        <v>1600</v>
      </c>
      <c r="E26" s="15" t="n"/>
      <c r="F26" s="16">
        <f>IF(OR($N26="",$O26=""),"",MAX(0,MOD($O26-$N26,1)-IF($P26&lt;&gt;"",$P26,IF(MOD($O26-$N26,1)&gt;設定!$E$8,設定!$E$7,0))))</f>
        <v/>
      </c>
      <c r="G26" s="15" t="n"/>
      <c r="H26" s="15" t="n"/>
      <c r="I26" s="15" t="n"/>
      <c r="J26" s="15" t="n"/>
      <c r="K26" s="17">
        <f>IF($A26="","",IFERROR(VLOOKUP($A26,祝日リスト!$A$2:$C$40,3,0),""))</f>
        <v/>
      </c>
      <c r="L26" s="18" t="n"/>
      <c r="M26" s="19">
        <f>IF($A26="","",IF($K26&lt;&gt;"","祝",IF(WEEKDAY($A26,2)=6,"土",IF(WEEKDAY($A26,2)=7,"日","平"))))</f>
        <v/>
      </c>
      <c r="N26" s="19">
        <f>IF(NOT(ISNUMBER($C26)),"",IF($C26&lt;1,$C26,(INT($C26/100)*60+MOD($C26,100))/1440))</f>
        <v/>
      </c>
      <c r="O26" s="19">
        <f>IF(NOT(ISNUMBER($D26)),"",IF($D26&lt;1,$D26,(INT($D26/100)*60+MOD($D26,100))/1440))</f>
        <v/>
      </c>
      <c r="P26" s="19">
        <f>IF(NOT(ISNUMBER($E26)),"",IF($E26&lt;1,$E26,(INT($E26/100)*60+MOD($E26,100))/1440))</f>
        <v/>
      </c>
      <c r="Q26" s="19">
        <f>IF(NOT(ISNUMBER($G26)),"",IF($G26&lt;1,$G26,(INT($G26/100)*60+MOD($G26,100))/1440))</f>
        <v/>
      </c>
      <c r="R26" s="19">
        <f>IF(NOT(ISNUMBER($H26)),"",IF($H26&lt;1,$H26,(INT($H26/100)*60+MOD($H26,100))/1440))</f>
        <v/>
      </c>
      <c r="S26" s="19">
        <f>IF(NOT(ISNUMBER($I26)),"",IF($I26&lt;1,$I26,(INT($I26/100)*60+MOD($I26,100))/1440))</f>
        <v/>
      </c>
      <c r="T26" s="19">
        <f>IF(NOT(ISNUMBER($J26)),"",IF($J26&lt;1,$J26,(INT($J26/100)*60+MOD($J26,100))/1440))</f>
        <v/>
      </c>
    </row>
    <row r="27" ht="19" customHeight="1">
      <c r="A27" s="13">
        <f>IF(A26="","",IF(MONTH(A26+1)=$D$4,A26+1,""))</f>
        <v/>
      </c>
      <c r="B27" s="14">
        <f>IF($A27="","",CHOOSE(WEEKDAY($A27,2),"月","火","水","木","金","土","日"))</f>
        <v/>
      </c>
      <c r="C27" s="15" t="n"/>
      <c r="D27" s="15" t="n"/>
      <c r="E27" s="15" t="n"/>
      <c r="F27" s="16">
        <f>IF(OR($N27="",$O27=""),"",MAX(0,MOD($O27-$N27,1)-IF($P27&lt;&gt;"",$P27,IF(MOD($O27-$N27,1)&gt;設定!$E$8,設定!$E$7,0))))</f>
        <v/>
      </c>
      <c r="G27" s="15" t="n"/>
      <c r="H27" s="15" t="n"/>
      <c r="I27" s="15" t="n"/>
      <c r="J27" s="15" t="n"/>
      <c r="K27" s="17">
        <f>IF($A27="","",IFERROR(VLOOKUP($A27,祝日リスト!$A$2:$C$40,3,0),""))</f>
        <v/>
      </c>
      <c r="L27" s="18" t="n"/>
      <c r="M27" s="19">
        <f>IF($A27="","",IF($K27&lt;&gt;"","祝",IF(WEEKDAY($A27,2)=6,"土",IF(WEEKDAY($A27,2)=7,"日","平"))))</f>
        <v/>
      </c>
      <c r="N27" s="19">
        <f>IF(NOT(ISNUMBER($C27)),"",IF($C27&lt;1,$C27,(INT($C27/100)*60+MOD($C27,100))/1440))</f>
        <v/>
      </c>
      <c r="O27" s="19">
        <f>IF(NOT(ISNUMBER($D27)),"",IF($D27&lt;1,$D27,(INT($D27/100)*60+MOD($D27,100))/1440))</f>
        <v/>
      </c>
      <c r="P27" s="19">
        <f>IF(NOT(ISNUMBER($E27)),"",IF($E27&lt;1,$E27,(INT($E27/100)*60+MOD($E27,100))/1440))</f>
        <v/>
      </c>
      <c r="Q27" s="19">
        <f>IF(NOT(ISNUMBER($G27)),"",IF($G27&lt;1,$G27,(INT($G27/100)*60+MOD($G27,100))/1440))</f>
        <v/>
      </c>
      <c r="R27" s="19">
        <f>IF(NOT(ISNUMBER($H27)),"",IF($H27&lt;1,$H27,(INT($H27/100)*60+MOD($H27,100))/1440))</f>
        <v/>
      </c>
      <c r="S27" s="19">
        <f>IF(NOT(ISNUMBER($I27)),"",IF($I27&lt;1,$I27,(INT($I27/100)*60+MOD($I27,100))/1440))</f>
        <v/>
      </c>
      <c r="T27" s="19">
        <f>IF(NOT(ISNUMBER($J27)),"",IF($J27&lt;1,$J27,(INT($J27/100)*60+MOD($J27,100))/1440))</f>
        <v/>
      </c>
    </row>
    <row r="28" ht="19" customHeight="1">
      <c r="A28" s="13">
        <f>IF(A27="","",IF(MONTH(A27+1)=$D$4,A27+1,""))</f>
        <v/>
      </c>
      <c r="B28" s="14">
        <f>IF($A28="","",CHOOSE(WEEKDAY($A28,2),"月","火","水","木","金","土","日"))</f>
        <v/>
      </c>
      <c r="C28" s="15" t="n"/>
      <c r="D28" s="15" t="n"/>
      <c r="E28" s="15" t="n"/>
      <c r="F28" s="16">
        <f>IF(OR($N28="",$O28=""),"",MAX(0,MOD($O28-$N28,1)-IF($P28&lt;&gt;"",$P28,IF(MOD($O28-$N28,1)&gt;設定!$E$8,設定!$E$7,0))))</f>
        <v/>
      </c>
      <c r="G28" s="15" t="n"/>
      <c r="H28" s="15" t="n"/>
      <c r="I28" s="15" t="n"/>
      <c r="J28" s="15" t="n"/>
      <c r="K28" s="17">
        <f>IF($A28="","",IFERROR(VLOOKUP($A28,祝日リスト!$A$2:$C$40,3,0),""))</f>
        <v/>
      </c>
      <c r="L28" s="18" t="n"/>
      <c r="M28" s="19">
        <f>IF($A28="","",IF($K28&lt;&gt;"","祝",IF(WEEKDAY($A28,2)=6,"土",IF(WEEKDAY($A28,2)=7,"日","平"))))</f>
        <v/>
      </c>
      <c r="N28" s="19">
        <f>IF(NOT(ISNUMBER($C28)),"",IF($C28&lt;1,$C28,(INT($C28/100)*60+MOD($C28,100))/1440))</f>
        <v/>
      </c>
      <c r="O28" s="19">
        <f>IF(NOT(ISNUMBER($D28)),"",IF($D28&lt;1,$D28,(INT($D28/100)*60+MOD($D28,100))/1440))</f>
        <v/>
      </c>
      <c r="P28" s="19">
        <f>IF(NOT(ISNUMBER($E28)),"",IF($E28&lt;1,$E28,(INT($E28/100)*60+MOD($E28,100))/1440))</f>
        <v/>
      </c>
      <c r="Q28" s="19">
        <f>IF(NOT(ISNUMBER($G28)),"",IF($G28&lt;1,$G28,(INT($G28/100)*60+MOD($G28,100))/1440))</f>
        <v/>
      </c>
      <c r="R28" s="19">
        <f>IF(NOT(ISNUMBER($H28)),"",IF($H28&lt;1,$H28,(INT($H28/100)*60+MOD($H28,100))/1440))</f>
        <v/>
      </c>
      <c r="S28" s="19">
        <f>IF(NOT(ISNUMBER($I28)),"",IF($I28&lt;1,$I28,(INT($I28/100)*60+MOD($I28,100))/1440))</f>
        <v/>
      </c>
      <c r="T28" s="19">
        <f>IF(NOT(ISNUMBER($J28)),"",IF($J28&lt;1,$J28,(INT($J28/100)*60+MOD($J28,100))/1440))</f>
        <v/>
      </c>
    </row>
    <row r="29" ht="19" customHeight="1">
      <c r="A29" s="13">
        <f>IF(A28="","",IF(MONTH(A28+1)=$D$4,A28+1,""))</f>
        <v/>
      </c>
      <c r="B29" s="14">
        <f>IF($A29="","",CHOOSE(WEEKDAY($A29,2),"月","火","水","木","金","土","日"))</f>
        <v/>
      </c>
      <c r="C29" s="15" t="n"/>
      <c r="D29" s="15" t="n"/>
      <c r="E29" s="15" t="n"/>
      <c r="F29" s="16">
        <f>IF(OR($N29="",$O29=""),"",MAX(0,MOD($O29-$N29,1)-IF($P29&lt;&gt;"",$P29,IF(MOD($O29-$N29,1)&gt;設定!$E$8,設定!$E$7,0))))</f>
        <v/>
      </c>
      <c r="G29" s="15" t="n"/>
      <c r="H29" s="15" t="n"/>
      <c r="I29" s="15" t="n"/>
      <c r="J29" s="15" t="n"/>
      <c r="K29" s="17">
        <f>IF($A29="","",IFERROR(VLOOKUP($A29,祝日リスト!$A$2:$C$40,3,0),""))</f>
        <v/>
      </c>
      <c r="L29" s="18" t="n"/>
      <c r="M29" s="19">
        <f>IF($A29="","",IF($K29&lt;&gt;"","祝",IF(WEEKDAY($A29,2)=6,"土",IF(WEEKDAY($A29,2)=7,"日","平"))))</f>
        <v/>
      </c>
      <c r="N29" s="19">
        <f>IF(NOT(ISNUMBER($C29)),"",IF($C29&lt;1,$C29,(INT($C29/100)*60+MOD($C29,100))/1440))</f>
        <v/>
      </c>
      <c r="O29" s="19">
        <f>IF(NOT(ISNUMBER($D29)),"",IF($D29&lt;1,$D29,(INT($D29/100)*60+MOD($D29,100))/1440))</f>
        <v/>
      </c>
      <c r="P29" s="19">
        <f>IF(NOT(ISNUMBER($E29)),"",IF($E29&lt;1,$E29,(INT($E29/100)*60+MOD($E29,100))/1440))</f>
        <v/>
      </c>
      <c r="Q29" s="19">
        <f>IF(NOT(ISNUMBER($G29)),"",IF($G29&lt;1,$G29,(INT($G29/100)*60+MOD($G29,100))/1440))</f>
        <v/>
      </c>
      <c r="R29" s="19">
        <f>IF(NOT(ISNUMBER($H29)),"",IF($H29&lt;1,$H29,(INT($H29/100)*60+MOD($H29,100))/1440))</f>
        <v/>
      </c>
      <c r="S29" s="19">
        <f>IF(NOT(ISNUMBER($I29)),"",IF($I29&lt;1,$I29,(INT($I29/100)*60+MOD($I29,100))/1440))</f>
        <v/>
      </c>
      <c r="T29" s="19">
        <f>IF(NOT(ISNUMBER($J29)),"",IF($J29&lt;1,$J29,(INT($J29/100)*60+MOD($J29,100))/1440))</f>
        <v/>
      </c>
    </row>
    <row r="30" ht="19" customHeight="1">
      <c r="A30" s="13">
        <f>IF(A29="","",IF(MONTH(A29+1)=$D$4,A29+1,""))</f>
        <v/>
      </c>
      <c r="B30" s="14">
        <f>IF($A30="","",CHOOSE(WEEKDAY($A30,2),"月","火","水","木","金","土","日"))</f>
        <v/>
      </c>
      <c r="C30" s="15" t="n">
        <v>1000</v>
      </c>
      <c r="D30" s="15" t="n">
        <v>1600</v>
      </c>
      <c r="E30" s="15" t="n"/>
      <c r="F30" s="16">
        <f>IF(OR($N30="",$O30=""),"",MAX(0,MOD($O30-$N30,1)-IF($P30&lt;&gt;"",$P30,IF(MOD($O30-$N30,1)&gt;設定!$E$8,設定!$E$7,0))))</f>
        <v/>
      </c>
      <c r="G30" s="15" t="n"/>
      <c r="H30" s="15" t="n"/>
      <c r="I30" s="15" t="n"/>
      <c r="J30" s="15" t="n"/>
      <c r="K30" s="17">
        <f>IF($A30="","",IFERROR(VLOOKUP($A30,祝日リスト!$A$2:$C$40,3,0),""))</f>
        <v/>
      </c>
      <c r="L30" s="18" t="n"/>
      <c r="M30" s="19">
        <f>IF($A30="","",IF($K30&lt;&gt;"","祝",IF(WEEKDAY($A30,2)=6,"土",IF(WEEKDAY($A30,2)=7,"日","平"))))</f>
        <v/>
      </c>
      <c r="N30" s="19">
        <f>IF(NOT(ISNUMBER($C30)),"",IF($C30&lt;1,$C30,(INT($C30/100)*60+MOD($C30,100))/1440))</f>
        <v/>
      </c>
      <c r="O30" s="19">
        <f>IF(NOT(ISNUMBER($D30)),"",IF($D30&lt;1,$D30,(INT($D30/100)*60+MOD($D30,100))/1440))</f>
        <v/>
      </c>
      <c r="P30" s="19">
        <f>IF(NOT(ISNUMBER($E30)),"",IF($E30&lt;1,$E30,(INT($E30/100)*60+MOD($E30,100))/1440))</f>
        <v/>
      </c>
      <c r="Q30" s="19">
        <f>IF(NOT(ISNUMBER($G30)),"",IF($G30&lt;1,$G30,(INT($G30/100)*60+MOD($G30,100))/1440))</f>
        <v/>
      </c>
      <c r="R30" s="19">
        <f>IF(NOT(ISNUMBER($H30)),"",IF($H30&lt;1,$H30,(INT($H30/100)*60+MOD($H30,100))/1440))</f>
        <v/>
      </c>
      <c r="S30" s="19">
        <f>IF(NOT(ISNUMBER($I30)),"",IF($I30&lt;1,$I30,(INT($I30/100)*60+MOD($I30,100))/1440))</f>
        <v/>
      </c>
      <c r="T30" s="19">
        <f>IF(NOT(ISNUMBER($J30)),"",IF($J30&lt;1,$J30,(INT($J30/100)*60+MOD($J30,100))/1440))</f>
        <v/>
      </c>
    </row>
    <row r="31" ht="19" customHeight="1">
      <c r="A31" s="13">
        <f>IF(A30="","",IF(MONTH(A30+1)=$D$4,A30+1,""))</f>
        <v/>
      </c>
      <c r="B31" s="14">
        <f>IF($A31="","",CHOOSE(WEEKDAY($A31,2),"月","火","水","木","金","土","日"))</f>
        <v/>
      </c>
      <c r="C31" s="15" t="n">
        <v>1000</v>
      </c>
      <c r="D31" s="15" t="n">
        <v>1600</v>
      </c>
      <c r="E31" s="15" t="n"/>
      <c r="F31" s="16">
        <f>IF(OR($N31="",$O31=""),"",MAX(0,MOD($O31-$N31,1)-IF($P31&lt;&gt;"",$P31,IF(MOD($O31-$N31,1)&gt;設定!$E$8,設定!$E$7,0))))</f>
        <v/>
      </c>
      <c r="G31" s="15" t="n"/>
      <c r="H31" s="15" t="n"/>
      <c r="I31" s="15" t="n"/>
      <c r="J31" s="15" t="n"/>
      <c r="K31" s="17">
        <f>IF($A31="","",IFERROR(VLOOKUP($A31,祝日リスト!$A$2:$C$40,3,0),""))</f>
        <v/>
      </c>
      <c r="L31" s="18" t="n"/>
      <c r="M31" s="19">
        <f>IF($A31="","",IF($K31&lt;&gt;"","祝",IF(WEEKDAY($A31,2)=6,"土",IF(WEEKDAY($A31,2)=7,"日","平"))))</f>
        <v/>
      </c>
      <c r="N31" s="19">
        <f>IF(NOT(ISNUMBER($C31)),"",IF($C31&lt;1,$C31,(INT($C31/100)*60+MOD($C31,100))/1440))</f>
        <v/>
      </c>
      <c r="O31" s="19">
        <f>IF(NOT(ISNUMBER($D31)),"",IF($D31&lt;1,$D31,(INT($D31/100)*60+MOD($D31,100))/1440))</f>
        <v/>
      </c>
      <c r="P31" s="19">
        <f>IF(NOT(ISNUMBER($E31)),"",IF($E31&lt;1,$E31,(INT($E31/100)*60+MOD($E31,100))/1440))</f>
        <v/>
      </c>
      <c r="Q31" s="19">
        <f>IF(NOT(ISNUMBER($G31)),"",IF($G31&lt;1,$G31,(INT($G31/100)*60+MOD($G31,100))/1440))</f>
        <v/>
      </c>
      <c r="R31" s="19">
        <f>IF(NOT(ISNUMBER($H31)),"",IF($H31&lt;1,$H31,(INT($H31/100)*60+MOD($H31,100))/1440))</f>
        <v/>
      </c>
      <c r="S31" s="19">
        <f>IF(NOT(ISNUMBER($I31)),"",IF($I31&lt;1,$I31,(INT($I31/100)*60+MOD($I31,100))/1440))</f>
        <v/>
      </c>
      <c r="T31" s="19">
        <f>IF(NOT(ISNUMBER($J31)),"",IF($J31&lt;1,$J31,(INT($J31/100)*60+MOD($J31,100))/1440))</f>
        <v/>
      </c>
    </row>
    <row r="32" ht="19" customHeight="1">
      <c r="A32" s="13">
        <f>IF(A31="","",IF(MONTH(A31+1)=$D$4,A31+1,""))</f>
        <v/>
      </c>
      <c r="B32" s="14">
        <f>IF($A32="","",CHOOSE(WEEKDAY($A32,2),"月","火","水","木","金","土","日"))</f>
        <v/>
      </c>
      <c r="C32" s="15" t="n"/>
      <c r="D32" s="15" t="n"/>
      <c r="E32" s="15" t="n"/>
      <c r="F32" s="16">
        <f>IF(OR($N32="",$O32=""),"",MAX(0,MOD($O32-$N32,1)-IF($P32&lt;&gt;"",$P32,IF(MOD($O32-$N32,1)&gt;設定!$E$8,設定!$E$7,0))))</f>
        <v/>
      </c>
      <c r="G32" s="15" t="n"/>
      <c r="H32" s="15" t="n"/>
      <c r="I32" s="15" t="n"/>
      <c r="J32" s="15" t="n"/>
      <c r="K32" s="17">
        <f>IF($A32="","",IFERROR(VLOOKUP($A32,祝日リスト!$A$2:$C$40,3,0),""))</f>
        <v/>
      </c>
      <c r="L32" s="18" t="n"/>
      <c r="M32" s="19">
        <f>IF($A32="","",IF($K32&lt;&gt;"","祝",IF(WEEKDAY($A32,2)=6,"土",IF(WEEKDAY($A32,2)=7,"日","平"))))</f>
        <v/>
      </c>
      <c r="N32" s="19">
        <f>IF(NOT(ISNUMBER($C32)),"",IF($C32&lt;1,$C32,(INT($C32/100)*60+MOD($C32,100))/1440))</f>
        <v/>
      </c>
      <c r="O32" s="19">
        <f>IF(NOT(ISNUMBER($D32)),"",IF($D32&lt;1,$D32,(INT($D32/100)*60+MOD($D32,100))/1440))</f>
        <v/>
      </c>
      <c r="P32" s="19">
        <f>IF(NOT(ISNUMBER($E32)),"",IF($E32&lt;1,$E32,(INT($E32/100)*60+MOD($E32,100))/1440))</f>
        <v/>
      </c>
      <c r="Q32" s="19">
        <f>IF(NOT(ISNUMBER($G32)),"",IF($G32&lt;1,$G32,(INT($G32/100)*60+MOD($G32,100))/1440))</f>
        <v/>
      </c>
      <c r="R32" s="19">
        <f>IF(NOT(ISNUMBER($H32)),"",IF($H32&lt;1,$H32,(INT($H32/100)*60+MOD($H32,100))/1440))</f>
        <v/>
      </c>
      <c r="S32" s="19">
        <f>IF(NOT(ISNUMBER($I32)),"",IF($I32&lt;1,$I32,(INT($I32/100)*60+MOD($I32,100))/1440))</f>
        <v/>
      </c>
      <c r="T32" s="19">
        <f>IF(NOT(ISNUMBER($J32)),"",IF($J32&lt;1,$J32,(INT($J32/100)*60+MOD($J32,100))/1440))</f>
        <v/>
      </c>
    </row>
    <row r="33" ht="19" customHeight="1">
      <c r="A33" s="13">
        <f>IF(A32="","",IF(MONTH(A32+1)=$D$4,A32+1,""))</f>
        <v/>
      </c>
      <c r="B33" s="14">
        <f>IF($A33="","",CHOOSE(WEEKDAY($A33,2),"月","火","水","木","金","土","日"))</f>
        <v/>
      </c>
      <c r="C33" s="15" t="n">
        <v>1000</v>
      </c>
      <c r="D33" s="15" t="n">
        <v>1600</v>
      </c>
      <c r="E33" s="15" t="n"/>
      <c r="F33" s="16">
        <f>IF(OR($N33="",$O33=""),"",MAX(0,MOD($O33-$N33,1)-IF($P33&lt;&gt;"",$P33,IF(MOD($O33-$N33,1)&gt;設定!$E$8,設定!$E$7,0))))</f>
        <v/>
      </c>
      <c r="G33" s="15" t="n"/>
      <c r="H33" s="15" t="n"/>
      <c r="I33" s="15" t="n"/>
      <c r="J33" s="15" t="n"/>
      <c r="K33" s="17">
        <f>IF($A33="","",IFERROR(VLOOKUP($A33,祝日リスト!$A$2:$C$40,3,0),""))</f>
        <v/>
      </c>
      <c r="L33" s="18" t="n"/>
      <c r="M33" s="19">
        <f>IF($A33="","",IF($K33&lt;&gt;"","祝",IF(WEEKDAY($A33,2)=6,"土",IF(WEEKDAY($A33,2)=7,"日","平"))))</f>
        <v/>
      </c>
      <c r="N33" s="19">
        <f>IF(NOT(ISNUMBER($C33)),"",IF($C33&lt;1,$C33,(INT($C33/100)*60+MOD($C33,100))/1440))</f>
        <v/>
      </c>
      <c r="O33" s="19">
        <f>IF(NOT(ISNUMBER($D33)),"",IF($D33&lt;1,$D33,(INT($D33/100)*60+MOD($D33,100))/1440))</f>
        <v/>
      </c>
      <c r="P33" s="19">
        <f>IF(NOT(ISNUMBER($E33)),"",IF($E33&lt;1,$E33,(INT($E33/100)*60+MOD($E33,100))/1440))</f>
        <v/>
      </c>
      <c r="Q33" s="19">
        <f>IF(NOT(ISNUMBER($G33)),"",IF($G33&lt;1,$G33,(INT($G33/100)*60+MOD($G33,100))/1440))</f>
        <v/>
      </c>
      <c r="R33" s="19">
        <f>IF(NOT(ISNUMBER($H33)),"",IF($H33&lt;1,$H33,(INT($H33/100)*60+MOD($H33,100))/1440))</f>
        <v/>
      </c>
      <c r="S33" s="19">
        <f>IF(NOT(ISNUMBER($I33)),"",IF($I33&lt;1,$I33,(INT($I33/100)*60+MOD($I33,100))/1440))</f>
        <v/>
      </c>
      <c r="T33" s="19">
        <f>IF(NOT(ISNUMBER($J33)),"",IF($J33&lt;1,$J33,(INT($J33/100)*60+MOD($J33,100))/1440))</f>
        <v/>
      </c>
    </row>
    <row r="34" ht="19" customHeight="1">
      <c r="A34" s="13">
        <f>IF(A33="","",IF(MONTH(A33+1)=$D$4,A33+1,""))</f>
        <v/>
      </c>
      <c r="B34" s="14">
        <f>IF($A34="","",CHOOSE(WEEKDAY($A34,2),"月","火","水","木","金","土","日"))</f>
        <v/>
      </c>
      <c r="C34" s="15" t="n">
        <v>1000</v>
      </c>
      <c r="D34" s="15" t="n">
        <v>1600</v>
      </c>
      <c r="E34" s="15" t="n"/>
      <c r="F34" s="16">
        <f>IF(OR($N34="",$O34=""),"",MAX(0,MOD($O34-$N34,1)-IF($P34&lt;&gt;"",$P34,IF(MOD($O34-$N34,1)&gt;設定!$E$8,設定!$E$7,0))))</f>
        <v/>
      </c>
      <c r="G34" s="15" t="n"/>
      <c r="H34" s="15" t="n"/>
      <c r="I34" s="15" t="n"/>
      <c r="J34" s="15" t="n"/>
      <c r="K34" s="17">
        <f>IF($A34="","",IFERROR(VLOOKUP($A34,祝日リスト!$A$2:$C$40,3,0),""))</f>
        <v/>
      </c>
      <c r="L34" s="18" t="n"/>
      <c r="M34" s="19">
        <f>IF($A34="","",IF($K34&lt;&gt;"","祝",IF(WEEKDAY($A34,2)=6,"土",IF(WEEKDAY($A34,2)=7,"日","平"))))</f>
        <v/>
      </c>
      <c r="N34" s="19">
        <f>IF(NOT(ISNUMBER($C34)),"",IF($C34&lt;1,$C34,(INT($C34/100)*60+MOD($C34,100))/1440))</f>
        <v/>
      </c>
      <c r="O34" s="19">
        <f>IF(NOT(ISNUMBER($D34)),"",IF($D34&lt;1,$D34,(INT($D34/100)*60+MOD($D34,100))/1440))</f>
        <v/>
      </c>
      <c r="P34" s="19">
        <f>IF(NOT(ISNUMBER($E34)),"",IF($E34&lt;1,$E34,(INT($E34/100)*60+MOD($E34,100))/1440))</f>
        <v/>
      </c>
      <c r="Q34" s="19">
        <f>IF(NOT(ISNUMBER($G34)),"",IF($G34&lt;1,$G34,(INT($G34/100)*60+MOD($G34,100))/1440))</f>
        <v/>
      </c>
      <c r="R34" s="19">
        <f>IF(NOT(ISNUMBER($H34)),"",IF($H34&lt;1,$H34,(INT($H34/100)*60+MOD($H34,100))/1440))</f>
        <v/>
      </c>
      <c r="S34" s="19">
        <f>IF(NOT(ISNUMBER($I34)),"",IF($I34&lt;1,$I34,(INT($I34/100)*60+MOD($I34,100))/1440))</f>
        <v/>
      </c>
      <c r="T34" s="19">
        <f>IF(NOT(ISNUMBER($J34)),"",IF($J34&lt;1,$J34,(INT($J34/100)*60+MOD($J34,100))/1440))</f>
        <v/>
      </c>
    </row>
    <row r="35" ht="19" customHeight="1">
      <c r="A35" s="13">
        <f>IF(A34="","",IF(MONTH(A34+1)=$D$4,A34+1,""))</f>
        <v/>
      </c>
      <c r="B35" s="14">
        <f>IF($A35="","",CHOOSE(WEEKDAY($A35,2),"月","火","水","木","金","土","日"))</f>
        <v/>
      </c>
      <c r="C35" s="15" t="n"/>
      <c r="D35" s="15" t="n"/>
      <c r="E35" s="15" t="n"/>
      <c r="F35" s="16">
        <f>IF(OR($N35="",$O35=""),"",MAX(0,MOD($O35-$N35,1)-IF($P35&lt;&gt;"",$P35,IF(MOD($O35-$N35,1)&gt;設定!$E$8,設定!$E$7,0))))</f>
        <v/>
      </c>
      <c r="G35" s="15" t="n"/>
      <c r="H35" s="15" t="n"/>
      <c r="I35" s="15" t="n"/>
      <c r="J35" s="15" t="n"/>
      <c r="K35" s="17">
        <f>IF($A35="","",IFERROR(VLOOKUP($A35,祝日リスト!$A$2:$C$40,3,0),""))</f>
        <v/>
      </c>
      <c r="L35" s="18" t="n"/>
      <c r="M35" s="19">
        <f>IF($A35="","",IF($K35&lt;&gt;"","祝",IF(WEEKDAY($A35,2)=6,"土",IF(WEEKDAY($A35,2)=7,"日","平"))))</f>
        <v/>
      </c>
      <c r="N35" s="19">
        <f>IF(NOT(ISNUMBER($C35)),"",IF($C35&lt;1,$C35,(INT($C35/100)*60+MOD($C35,100))/1440))</f>
        <v/>
      </c>
      <c r="O35" s="19">
        <f>IF(NOT(ISNUMBER($D35)),"",IF($D35&lt;1,$D35,(INT($D35/100)*60+MOD($D35,100))/1440))</f>
        <v/>
      </c>
      <c r="P35" s="19">
        <f>IF(NOT(ISNUMBER($E35)),"",IF($E35&lt;1,$E35,(INT($E35/100)*60+MOD($E35,100))/1440))</f>
        <v/>
      </c>
      <c r="Q35" s="19">
        <f>IF(NOT(ISNUMBER($G35)),"",IF($G35&lt;1,$G35,(INT($G35/100)*60+MOD($G35,100))/1440))</f>
        <v/>
      </c>
      <c r="R35" s="19">
        <f>IF(NOT(ISNUMBER($H35)),"",IF($H35&lt;1,$H35,(INT($H35/100)*60+MOD($H35,100))/1440))</f>
        <v/>
      </c>
      <c r="S35" s="19">
        <f>IF(NOT(ISNUMBER($I35)),"",IF($I35&lt;1,$I35,(INT($I35/100)*60+MOD($I35,100))/1440))</f>
        <v/>
      </c>
      <c r="T35" s="19">
        <f>IF(NOT(ISNUMBER($J35)),"",IF($J35&lt;1,$J35,(INT($J35/100)*60+MOD($J35,100))/1440))</f>
        <v/>
      </c>
    </row>
    <row r="36" ht="19" customHeight="1">
      <c r="A36" s="13">
        <f>IF(A35="","",IF(MONTH(A35+1)=$D$4,A35+1,""))</f>
        <v/>
      </c>
      <c r="B36" s="14">
        <f>IF($A36="","",CHOOSE(WEEKDAY($A36,2),"月","火","水","木","金","土","日"))</f>
        <v/>
      </c>
      <c r="C36" s="15" t="n"/>
      <c r="D36" s="15" t="n"/>
      <c r="E36" s="15" t="n"/>
      <c r="F36" s="16">
        <f>IF(OR($N36="",$O36=""),"",MAX(0,MOD($O36-$N36,1)-IF($P36&lt;&gt;"",$P36,IF(MOD($O36-$N36,1)&gt;設定!$E$8,設定!$E$7,0))))</f>
        <v/>
      </c>
      <c r="G36" s="15" t="n"/>
      <c r="H36" s="15" t="n"/>
      <c r="I36" s="15" t="n"/>
      <c r="J36" s="15" t="n"/>
      <c r="K36" s="17">
        <f>IF($A36="","",IFERROR(VLOOKUP($A36,祝日リスト!$A$2:$C$40,3,0),""))</f>
        <v/>
      </c>
      <c r="L36" s="18" t="n"/>
      <c r="M36" s="19">
        <f>IF($A36="","",IF($K36&lt;&gt;"","祝",IF(WEEKDAY($A36,2)=6,"土",IF(WEEKDAY($A36,2)=7,"日","平"))))</f>
        <v/>
      </c>
      <c r="N36" s="19">
        <f>IF(NOT(ISNUMBER($C36)),"",IF($C36&lt;1,$C36,(INT($C36/100)*60+MOD($C36,100))/1440))</f>
        <v/>
      </c>
      <c r="O36" s="19">
        <f>IF(NOT(ISNUMBER($D36)),"",IF($D36&lt;1,$D36,(INT($D36/100)*60+MOD($D36,100))/1440))</f>
        <v/>
      </c>
      <c r="P36" s="19">
        <f>IF(NOT(ISNUMBER($E36)),"",IF($E36&lt;1,$E36,(INT($E36/100)*60+MOD($E36,100))/1440))</f>
        <v/>
      </c>
      <c r="Q36" s="19">
        <f>IF(NOT(ISNUMBER($G36)),"",IF($G36&lt;1,$G36,(INT($G36/100)*60+MOD($G36,100))/1440))</f>
        <v/>
      </c>
      <c r="R36" s="19">
        <f>IF(NOT(ISNUMBER($H36)),"",IF($H36&lt;1,$H36,(INT($H36/100)*60+MOD($H36,100))/1440))</f>
        <v/>
      </c>
      <c r="S36" s="19">
        <f>IF(NOT(ISNUMBER($I36)),"",IF($I36&lt;1,$I36,(INT($I36/100)*60+MOD($I36,100))/1440))</f>
        <v/>
      </c>
      <c r="T36" s="19">
        <f>IF(NOT(ISNUMBER($J36)),"",IF($J36&lt;1,$J36,(INT($J36/100)*60+MOD($J36,100))/1440))</f>
        <v/>
      </c>
    </row>
    <row r="37" ht="19" customHeight="1">
      <c r="A37" s="13">
        <f>IF(A36="","",IF(MONTH(A36+1)=$D$4,A36+1,""))</f>
        <v/>
      </c>
      <c r="B37" s="14">
        <f>IF($A37="","",CHOOSE(WEEKDAY($A37,2),"月","火","水","木","金","土","日"))</f>
        <v/>
      </c>
      <c r="C37" s="15" t="n">
        <v>1000</v>
      </c>
      <c r="D37" s="15" t="n">
        <v>1600</v>
      </c>
      <c r="E37" s="15" t="n"/>
      <c r="F37" s="16">
        <f>IF(OR($N37="",$O37=""),"",MAX(0,MOD($O37-$N37,1)-IF($P37&lt;&gt;"",$P37,IF(MOD($O37-$N37,1)&gt;設定!$E$8,設定!$E$7,0))))</f>
        <v/>
      </c>
      <c r="G37" s="15" t="n"/>
      <c r="H37" s="15" t="n"/>
      <c r="I37" s="15" t="n"/>
      <c r="J37" s="15" t="n"/>
      <c r="K37" s="17">
        <f>IF($A37="","",IFERROR(VLOOKUP($A37,祝日リスト!$A$2:$C$40,3,0),""))</f>
        <v/>
      </c>
      <c r="L37" s="18" t="n"/>
      <c r="M37" s="19">
        <f>IF($A37="","",IF($K37&lt;&gt;"","祝",IF(WEEKDAY($A37,2)=6,"土",IF(WEEKDAY($A37,2)=7,"日","平"))))</f>
        <v/>
      </c>
      <c r="N37" s="19">
        <f>IF(NOT(ISNUMBER($C37)),"",IF($C37&lt;1,$C37,(INT($C37/100)*60+MOD($C37,100))/1440))</f>
        <v/>
      </c>
      <c r="O37" s="19">
        <f>IF(NOT(ISNUMBER($D37)),"",IF($D37&lt;1,$D37,(INT($D37/100)*60+MOD($D37,100))/1440))</f>
        <v/>
      </c>
      <c r="P37" s="19">
        <f>IF(NOT(ISNUMBER($E37)),"",IF($E37&lt;1,$E37,(INT($E37/100)*60+MOD($E37,100))/1440))</f>
        <v/>
      </c>
      <c r="Q37" s="19">
        <f>IF(NOT(ISNUMBER($G37)),"",IF($G37&lt;1,$G37,(INT($G37/100)*60+MOD($G37,100))/1440))</f>
        <v/>
      </c>
      <c r="R37" s="19">
        <f>IF(NOT(ISNUMBER($H37)),"",IF($H37&lt;1,$H37,(INT($H37/100)*60+MOD($H37,100))/1440))</f>
        <v/>
      </c>
      <c r="S37" s="19">
        <f>IF(NOT(ISNUMBER($I37)),"",IF($I37&lt;1,$I37,(INT($I37/100)*60+MOD($I37,100))/1440))</f>
        <v/>
      </c>
      <c r="T37" s="19">
        <f>IF(NOT(ISNUMBER($J37)),"",IF($J37&lt;1,$J37,(INT($J37/100)*60+MOD($J37,100))/1440))</f>
        <v/>
      </c>
    </row>
    <row r="38" ht="19" customHeight="1">
      <c r="A38" s="20">
        <f>IF(A37="","",IF(MONTH(A37+1)=$D$4,A37+1,""))</f>
        <v/>
      </c>
      <c r="B38" s="21">
        <f>IF($A38="","",CHOOSE(WEEKDAY($A38,2),"月","火","水","木","金","土","日"))</f>
        <v/>
      </c>
      <c r="C38" s="22" t="n">
        <v>1000</v>
      </c>
      <c r="D38" s="22" t="n">
        <v>1600</v>
      </c>
      <c r="E38" s="22" t="n"/>
      <c r="F38" s="23">
        <f>IF(OR($N38="",$O38=""),"",MAX(0,MOD($O38-$N38,1)-IF($P38&lt;&gt;"",$P38,IF(MOD($O38-$N38,1)&gt;設定!$E$8,設定!$E$7,0))))</f>
        <v/>
      </c>
      <c r="G38" s="22" t="n"/>
      <c r="H38" s="22" t="n"/>
      <c r="I38" s="22" t="n"/>
      <c r="J38" s="22" t="n"/>
      <c r="K38" s="24">
        <f>IF($A38="","",IFERROR(VLOOKUP($A38,祝日リスト!$A$2:$C$40,3,0),""))</f>
        <v/>
      </c>
      <c r="L38" s="25" t="n"/>
      <c r="M38" s="19">
        <f>IF($A38="","",IF($K38&lt;&gt;"","祝",IF(WEEKDAY($A38,2)=6,"土",IF(WEEKDAY($A38,2)=7,"日","平"))))</f>
        <v/>
      </c>
      <c r="N38" s="19">
        <f>IF(NOT(ISNUMBER($C38)),"",IF($C38&lt;1,$C38,(INT($C38/100)*60+MOD($C38,100))/1440))</f>
        <v/>
      </c>
      <c r="O38" s="19">
        <f>IF(NOT(ISNUMBER($D38)),"",IF($D38&lt;1,$D38,(INT($D38/100)*60+MOD($D38,100))/1440))</f>
        <v/>
      </c>
      <c r="P38" s="19">
        <f>IF(NOT(ISNUMBER($E38)),"",IF($E38&lt;1,$E38,(INT($E38/100)*60+MOD($E38,100))/1440))</f>
        <v/>
      </c>
      <c r="Q38" s="19">
        <f>IF(NOT(ISNUMBER($G38)),"",IF($G38&lt;1,$G38,(INT($G38/100)*60+MOD($G38,100))/1440))</f>
        <v/>
      </c>
      <c r="R38" s="19">
        <f>IF(NOT(ISNUMBER($H38)),"",IF($H38&lt;1,$H38,(INT($H38/100)*60+MOD($H38,100))/1440))</f>
        <v/>
      </c>
      <c r="S38" s="19">
        <f>IF(NOT(ISNUMBER($I38)),"",IF($I38&lt;1,$I38,(INT($I38/100)*60+MOD($I38,100))/1440))</f>
        <v/>
      </c>
      <c r="T38" s="19">
        <f>IF(NOT(ISNUMBER($J38)),"",IF($J38&lt;1,$J38,(INT($J38/100)*60+MOD($J38,100))/1440))</f>
        <v/>
      </c>
    </row>
    <row r="40" ht="20" customHeight="1">
      <c r="A40" s="26" t="inlineStr">
        <is>
          <t>月次集計</t>
        </is>
      </c>
    </row>
    <row r="41" ht="18" customHeight="1">
      <c r="A41" s="27" t="inlineStr">
        <is>
          <t>出勤日数</t>
        </is>
      </c>
      <c r="D41" s="28">
        <f>COUNT($N$8:$N$38)</f>
        <v/>
      </c>
      <c r="E41" s="29" t="inlineStr">
        <is>
          <t>日</t>
        </is>
      </c>
      <c r="G41" s="27" t="inlineStr">
        <is>
          <t>通常残業</t>
        </is>
      </c>
      <c r="K41" s="30">
        <f>SUM($Q$8:$Q$38)</f>
        <v/>
      </c>
    </row>
    <row r="42" ht="18" customHeight="1">
      <c r="A42" s="27" t="inlineStr">
        <is>
          <t>実働時間 合計</t>
        </is>
      </c>
      <c r="D42" s="30">
        <f>SUM($F$8:$F$38)</f>
        <v/>
      </c>
      <c r="G42" s="27" t="inlineStr">
        <is>
          <t>深夜残業</t>
        </is>
      </c>
      <c r="K42" s="30">
        <f>SUM($R$8:$R$38)</f>
        <v/>
      </c>
    </row>
    <row r="43" ht="18" customHeight="1">
      <c r="A43" s="31" t="inlineStr">
        <is>
          <t xml:space="preserve">　うち 平日</t>
        </is>
      </c>
      <c r="D43" s="30">
        <f>SUMIF($M$8:$M$38,"平",$F$8:$F$38)</f>
        <v/>
      </c>
      <c r="G43" s="27" t="inlineStr">
        <is>
          <t>早朝残業</t>
        </is>
      </c>
      <c r="K43" s="30">
        <f>SUM($S$8:$S$38)</f>
        <v/>
      </c>
    </row>
    <row r="44" ht="18" customHeight="1">
      <c r="A44" s="31" t="inlineStr">
        <is>
          <t xml:space="preserve">　うち 土曜</t>
        </is>
      </c>
      <c r="D44" s="30">
        <f>SUMIF($M$8:$M$38,"土",$F$8:$F$38)</f>
        <v/>
      </c>
      <c r="G44" s="27" t="inlineStr">
        <is>
          <t>遅刻・早退</t>
        </is>
      </c>
      <c r="K44" s="30">
        <f>SUM($T$8:$T$38)</f>
        <v/>
      </c>
    </row>
    <row r="45" ht="18" customHeight="1">
      <c r="A45" s="31" t="inlineStr">
        <is>
          <t xml:space="preserve">　うち 日曜・祝日</t>
        </is>
      </c>
      <c r="D45" s="30">
        <f>SUMIF($M$8:$M$38,"日",$F$8:$F$38)+SUMIF($M$8:$M$38,"祝",$F$8:$F$38)</f>
        <v/>
      </c>
      <c r="G45" s="27" t="inlineStr">
        <is>
          <t>所定超過(実働-所定×出勤日数)</t>
        </is>
      </c>
      <c r="K45" s="30">
        <f>MAX(0,SUM($F$8:$F$38)-設定!$E$6*COUNT($N$8:$N$38))</f>
        <v/>
      </c>
    </row>
    <row r="47">
      <c r="A47" s="11" t="inlineStr">
        <is>
          <t>※ 残業欄は実働時間の内数です。実働は「退勤－出勤－休憩」で自動計算されます。</t>
        </is>
      </c>
    </row>
    <row r="49" ht="30" customHeight="1">
      <c r="G49" s="9" t="inlineStr">
        <is>
          <t>承認</t>
        </is>
      </c>
      <c r="H49" s="32" t="n"/>
      <c r="J49" s="32" t="n"/>
    </row>
    <row r="50">
      <c r="H50" s="33" t="inlineStr">
        <is>
          <t>本人</t>
        </is>
      </c>
      <c r="J50" s="33" t="inlineStr">
        <is>
          <t>上長</t>
        </is>
      </c>
    </row>
  </sheetData>
  <mergeCells count="15">
    <mergeCell ref="G44:J44"/>
    <mergeCell ref="A42:C42"/>
    <mergeCell ref="A41:C41"/>
    <mergeCell ref="A44:C44"/>
    <mergeCell ref="A45:C45"/>
    <mergeCell ref="G43:J43"/>
    <mergeCell ref="H49:I49"/>
    <mergeCell ref="J49:K49"/>
    <mergeCell ref="A40:L40"/>
    <mergeCell ref="J4:L4"/>
    <mergeCell ref="A2:D2"/>
    <mergeCell ref="G41:J41"/>
    <mergeCell ref="A43:C43"/>
    <mergeCell ref="G45:J45"/>
    <mergeCell ref="G42:J42"/>
  </mergeCells>
  <conditionalFormatting sqref="A8:L38">
    <cfRule type="expression" priority="1" dxfId="0" stopIfTrue="1">
      <formula>$A8=""</formula>
    </cfRule>
    <cfRule type="expression" priority="2" dxfId="1">
      <formula>OR($M8="祝",$M8="日")</formula>
    </cfRule>
    <cfRule type="expression" priority="3" dxfId="2">
      <formula>$M8="土"</formula>
    </cfRule>
  </conditionalFormatting>
  <conditionalFormatting sqref="D8:D38">
    <cfRule type="expression" priority="4" dxfId="3">
      <formula>AND($N8&lt;&gt;"",$O8="")</formula>
    </cfRule>
  </conditionalFormatting>
  <conditionalFormatting sqref="C8:C38">
    <cfRule type="expression" priority="5" dxfId="3">
      <formula>AND($O8&lt;&gt;"",$N8="")</formula>
    </cfRule>
  </conditionalFormatting>
  <dataValidations count="2">
    <dataValidation sqref="L8:L38" showDropDown="0" showInputMessage="1" showErrorMessage="0" allowBlank="1" promptTitle="備考" prompt="選択、または自由入力できます" type="list">
      <formula1>"有給,半休,欠勤,遅刻,早退,休日出勤,振替休日,直行,直帰,出張,特別休暇"</formula1>
    </dataValidation>
    <dataValidation sqref="C8:C38 D8:D38 E8:E38 G8:G38 H8:H38 I8:I38 J8:J38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=OR(AND(C8&gt;=0,C8&lt;1),AND(C8=INT(C8),C8&lt;=2359,MOD(C8,100)&lt;60))</formula1>
    </dataValidation>
  </dataValidations>
  <pageMargins left="0.3" right="0.3" top="0.4" bottom="0.4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FF8FAADC"/>
    <outlinePr summaryBelow="1" summaryRight="1"/>
    <pageSetUpPr fitToPage="1"/>
  </sheetPr>
  <dimension ref="A2:T5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.5" customWidth="1" min="1" max="1"/>
    <col width="4.5" customWidth="1" min="2" max="2"/>
    <col width="8.5" customWidth="1" min="3" max="3"/>
    <col width="8.5" customWidth="1" min="4" max="4"/>
    <col width="8" customWidth="1" min="5" max="5"/>
    <col width="8.5" customWidth="1" min="6" max="6"/>
    <col width="9" customWidth="1" min="7" max="7"/>
    <col width="9" customWidth="1" min="8" max="8"/>
    <col width="9" customWidth="1" min="9" max="9"/>
    <col width="10" customWidth="1" min="10" max="10"/>
    <col width="14" customWidth="1" min="11" max="11"/>
    <col width="26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2" ht="24" customHeight="1">
      <c r="A2" s="8">
        <f>設定!$B$4&amp;"　"&amp;設定!$B$3&amp;"年"&amp;4&amp;"月度 出勤簿"</f>
        <v/>
      </c>
    </row>
    <row r="4">
      <c r="A4" s="9" t="inlineStr">
        <is>
          <t>年</t>
        </is>
      </c>
      <c r="B4" s="10">
        <f>設定!$B$3</f>
        <v/>
      </c>
      <c r="C4" s="9" t="inlineStr">
        <is>
          <t>月</t>
        </is>
      </c>
      <c r="D4" s="10" t="n">
        <v>4</v>
      </c>
      <c r="G4" s="9" t="inlineStr">
        <is>
          <t>所属</t>
        </is>
      </c>
      <c r="H4" s="10">
        <f>設定!$B$5</f>
        <v/>
      </c>
      <c r="I4" s="9" t="inlineStr">
        <is>
          <t>氏名</t>
        </is>
      </c>
      <c r="J4" s="10">
        <f>設定!$B$4</f>
        <v/>
      </c>
    </row>
    <row r="5">
      <c r="A5" s="11" t="inlineStr">
        <is>
          <t>黄色のセルに入力してください（灰色は自動計算）。時刻は 930 のようにコロンなしで入力できます。</t>
        </is>
      </c>
    </row>
    <row r="7" ht="26" customHeight="1">
      <c r="A7" s="12" t="inlineStr">
        <is>
          <t>日</t>
        </is>
      </c>
      <c r="B7" s="12" t="inlineStr">
        <is>
          <t>曜</t>
        </is>
      </c>
      <c r="C7" s="12" t="inlineStr">
        <is>
          <t>出勤</t>
        </is>
      </c>
      <c r="D7" s="12" t="inlineStr">
        <is>
          <t>退勤</t>
        </is>
      </c>
      <c r="E7" s="12" t="inlineStr">
        <is>
          <t>休憩</t>
        </is>
      </c>
      <c r="F7" s="12" t="inlineStr">
        <is>
          <t>実働</t>
        </is>
      </c>
      <c r="G7" s="12" t="inlineStr">
        <is>
          <t>通常残業</t>
        </is>
      </c>
      <c r="H7" s="12" t="inlineStr">
        <is>
          <t>深夜残業</t>
        </is>
      </c>
      <c r="I7" s="12" t="inlineStr">
        <is>
          <t>早朝残業</t>
        </is>
      </c>
      <c r="J7" s="12" t="inlineStr">
        <is>
          <t>遅刻・早退</t>
        </is>
      </c>
      <c r="K7" s="12" t="inlineStr">
        <is>
          <t>祝日</t>
        </is>
      </c>
      <c r="L7" s="12" t="inlineStr">
        <is>
          <t>備考・理由</t>
        </is>
      </c>
    </row>
    <row r="8" ht="19" customHeight="1">
      <c r="A8" s="13">
        <f>DATE($B$4,$D$4,1)</f>
        <v/>
      </c>
      <c r="B8" s="14">
        <f>IF($A8="","",CHOOSE(WEEKDAY($A8,2),"月","火","水","木","金","土","日"))</f>
        <v/>
      </c>
      <c r="C8" s="15" t="n"/>
      <c r="D8" s="15" t="n"/>
      <c r="E8" s="15" t="n"/>
      <c r="F8" s="16">
        <f>IF(OR($N8="",$O8=""),"",MAX(0,MOD($O8-$N8,1)-IF($P8&lt;&gt;"",$P8,IF(MOD($O8-$N8,1)&gt;設定!$E$8,設定!$E$7,0))))</f>
        <v/>
      </c>
      <c r="G8" s="15" t="n"/>
      <c r="H8" s="15" t="n"/>
      <c r="I8" s="15" t="n"/>
      <c r="J8" s="15" t="n"/>
      <c r="K8" s="17">
        <f>IF($A8="","",IFERROR(VLOOKUP($A8,祝日リスト!$A$2:$C$40,3,0),""))</f>
        <v/>
      </c>
      <c r="L8" s="18" t="n"/>
      <c r="M8" s="19">
        <f>IF($A8="","",IF($K8&lt;&gt;"","祝",IF(WEEKDAY($A8,2)=6,"土",IF(WEEKDAY($A8,2)=7,"日","平"))))</f>
        <v/>
      </c>
      <c r="N8" s="19">
        <f>IF(NOT(ISNUMBER($C8)),"",IF($C8&lt;1,$C8,(INT($C8/100)*60+MOD($C8,100))/1440))</f>
        <v/>
      </c>
      <c r="O8" s="19">
        <f>IF(NOT(ISNUMBER($D8)),"",IF($D8&lt;1,$D8,(INT($D8/100)*60+MOD($D8,100))/1440))</f>
        <v/>
      </c>
      <c r="P8" s="19">
        <f>IF(NOT(ISNUMBER($E8)),"",IF($E8&lt;1,$E8,(INT($E8/100)*60+MOD($E8,100))/1440))</f>
        <v/>
      </c>
      <c r="Q8" s="19">
        <f>IF(NOT(ISNUMBER($G8)),"",IF($G8&lt;1,$G8,(INT($G8/100)*60+MOD($G8,100))/1440))</f>
        <v/>
      </c>
      <c r="R8" s="19">
        <f>IF(NOT(ISNUMBER($H8)),"",IF($H8&lt;1,$H8,(INT($H8/100)*60+MOD($H8,100))/1440))</f>
        <v/>
      </c>
      <c r="S8" s="19">
        <f>IF(NOT(ISNUMBER($I8)),"",IF($I8&lt;1,$I8,(INT($I8/100)*60+MOD($I8,100))/1440))</f>
        <v/>
      </c>
      <c r="T8" s="19">
        <f>IF(NOT(ISNUMBER($J8)),"",IF($J8&lt;1,$J8,(INT($J8/100)*60+MOD($J8,100))/1440))</f>
        <v/>
      </c>
    </row>
    <row r="9" ht="19" customHeight="1">
      <c r="A9" s="13">
        <f>IF(A8="","",IF(MONTH(A8+1)=$D$4,A8+1,""))</f>
        <v/>
      </c>
      <c r="B9" s="14">
        <f>IF($A9="","",CHOOSE(WEEKDAY($A9,2),"月","火","水","木","金","土","日"))</f>
        <v/>
      </c>
      <c r="C9" s="15" t="n"/>
      <c r="D9" s="15" t="n"/>
      <c r="E9" s="15" t="n"/>
      <c r="F9" s="16">
        <f>IF(OR($N9="",$O9=""),"",MAX(0,MOD($O9-$N9,1)-IF($P9&lt;&gt;"",$P9,IF(MOD($O9-$N9,1)&gt;設定!$E$8,設定!$E$7,0))))</f>
        <v/>
      </c>
      <c r="G9" s="15" t="n"/>
      <c r="H9" s="15" t="n"/>
      <c r="I9" s="15" t="n"/>
      <c r="J9" s="15" t="n"/>
      <c r="K9" s="17">
        <f>IF($A9="","",IFERROR(VLOOKUP($A9,祝日リスト!$A$2:$C$40,3,0),""))</f>
        <v/>
      </c>
      <c r="L9" s="18" t="n"/>
      <c r="M9" s="19">
        <f>IF($A9="","",IF($K9&lt;&gt;"","祝",IF(WEEKDAY($A9,2)=6,"土",IF(WEEKDAY($A9,2)=7,"日","平"))))</f>
        <v/>
      </c>
      <c r="N9" s="19">
        <f>IF(NOT(ISNUMBER($C9)),"",IF($C9&lt;1,$C9,(INT($C9/100)*60+MOD($C9,100))/1440))</f>
        <v/>
      </c>
      <c r="O9" s="19">
        <f>IF(NOT(ISNUMBER($D9)),"",IF($D9&lt;1,$D9,(INT($D9/100)*60+MOD($D9,100))/1440))</f>
        <v/>
      </c>
      <c r="P9" s="19">
        <f>IF(NOT(ISNUMBER($E9)),"",IF($E9&lt;1,$E9,(INT($E9/100)*60+MOD($E9,100))/1440))</f>
        <v/>
      </c>
      <c r="Q9" s="19">
        <f>IF(NOT(ISNUMBER($G9)),"",IF($G9&lt;1,$G9,(INT($G9/100)*60+MOD($G9,100))/1440))</f>
        <v/>
      </c>
      <c r="R9" s="19">
        <f>IF(NOT(ISNUMBER($H9)),"",IF($H9&lt;1,$H9,(INT($H9/100)*60+MOD($H9,100))/1440))</f>
        <v/>
      </c>
      <c r="S9" s="19">
        <f>IF(NOT(ISNUMBER($I9)),"",IF($I9&lt;1,$I9,(INT($I9/100)*60+MOD($I9,100))/1440))</f>
        <v/>
      </c>
      <c r="T9" s="19">
        <f>IF(NOT(ISNUMBER($J9)),"",IF($J9&lt;1,$J9,(INT($J9/100)*60+MOD($J9,100))/1440))</f>
        <v/>
      </c>
    </row>
    <row r="10" ht="19" customHeight="1">
      <c r="A10" s="13">
        <f>IF(A9="","",IF(MONTH(A9+1)=$D$4,A9+1,""))</f>
        <v/>
      </c>
      <c r="B10" s="14">
        <f>IF($A10="","",CHOOSE(WEEKDAY($A10,2),"月","火","水","木","金","土","日"))</f>
        <v/>
      </c>
      <c r="C10" s="15" t="n"/>
      <c r="D10" s="15" t="n"/>
      <c r="E10" s="15" t="n"/>
      <c r="F10" s="16">
        <f>IF(OR($N10="",$O10=""),"",MAX(0,MOD($O10-$N10,1)-IF($P10&lt;&gt;"",$P10,IF(MOD($O10-$N10,1)&gt;設定!$E$8,設定!$E$7,0))))</f>
        <v/>
      </c>
      <c r="G10" s="15" t="n"/>
      <c r="H10" s="15" t="n"/>
      <c r="I10" s="15" t="n"/>
      <c r="J10" s="15" t="n"/>
      <c r="K10" s="17">
        <f>IF($A10="","",IFERROR(VLOOKUP($A10,祝日リスト!$A$2:$C$40,3,0),""))</f>
        <v/>
      </c>
      <c r="L10" s="18" t="n"/>
      <c r="M10" s="19">
        <f>IF($A10="","",IF($K10&lt;&gt;"","祝",IF(WEEKDAY($A10,2)=6,"土",IF(WEEKDAY($A10,2)=7,"日","平"))))</f>
        <v/>
      </c>
      <c r="N10" s="19">
        <f>IF(NOT(ISNUMBER($C10)),"",IF($C10&lt;1,$C10,(INT($C10/100)*60+MOD($C10,100))/1440))</f>
        <v/>
      </c>
      <c r="O10" s="19">
        <f>IF(NOT(ISNUMBER($D10)),"",IF($D10&lt;1,$D10,(INT($D10/100)*60+MOD($D10,100))/1440))</f>
        <v/>
      </c>
      <c r="P10" s="19">
        <f>IF(NOT(ISNUMBER($E10)),"",IF($E10&lt;1,$E10,(INT($E10/100)*60+MOD($E10,100))/1440))</f>
        <v/>
      </c>
      <c r="Q10" s="19">
        <f>IF(NOT(ISNUMBER($G10)),"",IF($G10&lt;1,$G10,(INT($G10/100)*60+MOD($G10,100))/1440))</f>
        <v/>
      </c>
      <c r="R10" s="19">
        <f>IF(NOT(ISNUMBER($H10)),"",IF($H10&lt;1,$H10,(INT($H10/100)*60+MOD($H10,100))/1440))</f>
        <v/>
      </c>
      <c r="S10" s="19">
        <f>IF(NOT(ISNUMBER($I10)),"",IF($I10&lt;1,$I10,(INT($I10/100)*60+MOD($I10,100))/1440))</f>
        <v/>
      </c>
      <c r="T10" s="19">
        <f>IF(NOT(ISNUMBER($J10)),"",IF($J10&lt;1,$J10,(INT($J10/100)*60+MOD($J10,100))/1440))</f>
        <v/>
      </c>
    </row>
    <row r="11" ht="19" customHeight="1">
      <c r="A11" s="13">
        <f>IF(A10="","",IF(MONTH(A10+1)=$D$4,A10+1,""))</f>
        <v/>
      </c>
      <c r="B11" s="14">
        <f>IF($A11="","",CHOOSE(WEEKDAY($A11,2),"月","火","水","木","金","土","日"))</f>
        <v/>
      </c>
      <c r="C11" s="15" t="n"/>
      <c r="D11" s="15" t="n"/>
      <c r="E11" s="15" t="n"/>
      <c r="F11" s="16">
        <f>IF(OR($N11="",$O11=""),"",MAX(0,MOD($O11-$N11,1)-IF($P11&lt;&gt;"",$P11,IF(MOD($O11-$N11,1)&gt;設定!$E$8,設定!$E$7,0))))</f>
        <v/>
      </c>
      <c r="G11" s="15" t="n"/>
      <c r="H11" s="15" t="n"/>
      <c r="I11" s="15" t="n"/>
      <c r="J11" s="15" t="n"/>
      <c r="K11" s="17">
        <f>IF($A11="","",IFERROR(VLOOKUP($A11,祝日リスト!$A$2:$C$40,3,0),""))</f>
        <v/>
      </c>
      <c r="L11" s="18" t="n"/>
      <c r="M11" s="19">
        <f>IF($A11="","",IF($K11&lt;&gt;"","祝",IF(WEEKDAY($A11,2)=6,"土",IF(WEEKDAY($A11,2)=7,"日","平"))))</f>
        <v/>
      </c>
      <c r="N11" s="19">
        <f>IF(NOT(ISNUMBER($C11)),"",IF($C11&lt;1,$C11,(INT($C11/100)*60+MOD($C11,100))/1440))</f>
        <v/>
      </c>
      <c r="O11" s="19">
        <f>IF(NOT(ISNUMBER($D11)),"",IF($D11&lt;1,$D11,(INT($D11/100)*60+MOD($D11,100))/1440))</f>
        <v/>
      </c>
      <c r="P11" s="19">
        <f>IF(NOT(ISNUMBER($E11)),"",IF($E11&lt;1,$E11,(INT($E11/100)*60+MOD($E11,100))/1440))</f>
        <v/>
      </c>
      <c r="Q11" s="19">
        <f>IF(NOT(ISNUMBER($G11)),"",IF($G11&lt;1,$G11,(INT($G11/100)*60+MOD($G11,100))/1440))</f>
        <v/>
      </c>
      <c r="R11" s="19">
        <f>IF(NOT(ISNUMBER($H11)),"",IF($H11&lt;1,$H11,(INT($H11/100)*60+MOD($H11,100))/1440))</f>
        <v/>
      </c>
      <c r="S11" s="19">
        <f>IF(NOT(ISNUMBER($I11)),"",IF($I11&lt;1,$I11,(INT($I11/100)*60+MOD($I11,100))/1440))</f>
        <v/>
      </c>
      <c r="T11" s="19">
        <f>IF(NOT(ISNUMBER($J11)),"",IF($J11&lt;1,$J11,(INT($J11/100)*60+MOD($J11,100))/1440))</f>
        <v/>
      </c>
    </row>
    <row r="12" ht="19" customHeight="1">
      <c r="A12" s="13">
        <f>IF(A11="","",IF(MONTH(A11+1)=$D$4,A11+1,""))</f>
        <v/>
      </c>
      <c r="B12" s="14">
        <f>IF($A12="","",CHOOSE(WEEKDAY($A12,2),"月","火","水","木","金","土","日"))</f>
        <v/>
      </c>
      <c r="C12" s="15" t="n"/>
      <c r="D12" s="15" t="n"/>
      <c r="E12" s="15" t="n"/>
      <c r="F12" s="16">
        <f>IF(OR($N12="",$O12=""),"",MAX(0,MOD($O12-$N12,1)-IF($P12&lt;&gt;"",$P12,IF(MOD($O12-$N12,1)&gt;設定!$E$8,設定!$E$7,0))))</f>
        <v/>
      </c>
      <c r="G12" s="15" t="n"/>
      <c r="H12" s="15" t="n"/>
      <c r="I12" s="15" t="n"/>
      <c r="J12" s="15" t="n"/>
      <c r="K12" s="17">
        <f>IF($A12="","",IFERROR(VLOOKUP($A12,祝日リスト!$A$2:$C$40,3,0),""))</f>
        <v/>
      </c>
      <c r="L12" s="18" t="n"/>
      <c r="M12" s="19">
        <f>IF($A12="","",IF($K12&lt;&gt;"","祝",IF(WEEKDAY($A12,2)=6,"土",IF(WEEKDAY($A12,2)=7,"日","平"))))</f>
        <v/>
      </c>
      <c r="N12" s="19">
        <f>IF(NOT(ISNUMBER($C12)),"",IF($C12&lt;1,$C12,(INT($C12/100)*60+MOD($C12,100))/1440))</f>
        <v/>
      </c>
      <c r="O12" s="19">
        <f>IF(NOT(ISNUMBER($D12)),"",IF($D12&lt;1,$D12,(INT($D12/100)*60+MOD($D12,100))/1440))</f>
        <v/>
      </c>
      <c r="P12" s="19">
        <f>IF(NOT(ISNUMBER($E12)),"",IF($E12&lt;1,$E12,(INT($E12/100)*60+MOD($E12,100))/1440))</f>
        <v/>
      </c>
      <c r="Q12" s="19">
        <f>IF(NOT(ISNUMBER($G12)),"",IF($G12&lt;1,$G12,(INT($G12/100)*60+MOD($G12,100))/1440))</f>
        <v/>
      </c>
      <c r="R12" s="19">
        <f>IF(NOT(ISNUMBER($H12)),"",IF($H12&lt;1,$H12,(INT($H12/100)*60+MOD($H12,100))/1440))</f>
        <v/>
      </c>
      <c r="S12" s="19">
        <f>IF(NOT(ISNUMBER($I12)),"",IF($I12&lt;1,$I12,(INT($I12/100)*60+MOD($I12,100))/1440))</f>
        <v/>
      </c>
      <c r="T12" s="19">
        <f>IF(NOT(ISNUMBER($J12)),"",IF($J12&lt;1,$J12,(INT($J12/100)*60+MOD($J12,100))/1440))</f>
        <v/>
      </c>
    </row>
    <row r="13" ht="19" customHeight="1">
      <c r="A13" s="13">
        <f>IF(A12="","",IF(MONTH(A12+1)=$D$4,A12+1,""))</f>
        <v/>
      </c>
      <c r="B13" s="14">
        <f>IF($A13="","",CHOOSE(WEEKDAY($A13,2),"月","火","水","木","金","土","日"))</f>
        <v/>
      </c>
      <c r="C13" s="15" t="n"/>
      <c r="D13" s="15" t="n"/>
      <c r="E13" s="15" t="n"/>
      <c r="F13" s="16">
        <f>IF(OR($N13="",$O13=""),"",MAX(0,MOD($O13-$N13,1)-IF($P13&lt;&gt;"",$P13,IF(MOD($O13-$N13,1)&gt;設定!$E$8,設定!$E$7,0))))</f>
        <v/>
      </c>
      <c r="G13" s="15" t="n"/>
      <c r="H13" s="15" t="n"/>
      <c r="I13" s="15" t="n"/>
      <c r="J13" s="15" t="n"/>
      <c r="K13" s="17">
        <f>IF($A13="","",IFERROR(VLOOKUP($A13,祝日リスト!$A$2:$C$40,3,0),""))</f>
        <v/>
      </c>
      <c r="L13" s="18" t="n"/>
      <c r="M13" s="19">
        <f>IF($A13="","",IF($K13&lt;&gt;"","祝",IF(WEEKDAY($A13,2)=6,"土",IF(WEEKDAY($A13,2)=7,"日","平"))))</f>
        <v/>
      </c>
      <c r="N13" s="19">
        <f>IF(NOT(ISNUMBER($C13)),"",IF($C13&lt;1,$C13,(INT($C13/100)*60+MOD($C13,100))/1440))</f>
        <v/>
      </c>
      <c r="O13" s="19">
        <f>IF(NOT(ISNUMBER($D13)),"",IF($D13&lt;1,$D13,(INT($D13/100)*60+MOD($D13,100))/1440))</f>
        <v/>
      </c>
      <c r="P13" s="19">
        <f>IF(NOT(ISNUMBER($E13)),"",IF($E13&lt;1,$E13,(INT($E13/100)*60+MOD($E13,100))/1440))</f>
        <v/>
      </c>
      <c r="Q13" s="19">
        <f>IF(NOT(ISNUMBER($G13)),"",IF($G13&lt;1,$G13,(INT($G13/100)*60+MOD($G13,100))/1440))</f>
        <v/>
      </c>
      <c r="R13" s="19">
        <f>IF(NOT(ISNUMBER($H13)),"",IF($H13&lt;1,$H13,(INT($H13/100)*60+MOD($H13,100))/1440))</f>
        <v/>
      </c>
      <c r="S13" s="19">
        <f>IF(NOT(ISNUMBER($I13)),"",IF($I13&lt;1,$I13,(INT($I13/100)*60+MOD($I13,100))/1440))</f>
        <v/>
      </c>
      <c r="T13" s="19">
        <f>IF(NOT(ISNUMBER($J13)),"",IF($J13&lt;1,$J13,(INT($J13/100)*60+MOD($J13,100))/1440))</f>
        <v/>
      </c>
    </row>
    <row r="14" ht="19" customHeight="1">
      <c r="A14" s="13">
        <f>IF(A13="","",IF(MONTH(A13+1)=$D$4,A13+1,""))</f>
        <v/>
      </c>
      <c r="B14" s="14">
        <f>IF($A14="","",CHOOSE(WEEKDAY($A14,2),"月","火","水","木","金","土","日"))</f>
        <v/>
      </c>
      <c r="C14" s="15" t="n"/>
      <c r="D14" s="15" t="n"/>
      <c r="E14" s="15" t="n"/>
      <c r="F14" s="16">
        <f>IF(OR($N14="",$O14=""),"",MAX(0,MOD($O14-$N14,1)-IF($P14&lt;&gt;"",$P14,IF(MOD($O14-$N14,1)&gt;設定!$E$8,設定!$E$7,0))))</f>
        <v/>
      </c>
      <c r="G14" s="15" t="n"/>
      <c r="H14" s="15" t="n"/>
      <c r="I14" s="15" t="n"/>
      <c r="J14" s="15" t="n"/>
      <c r="K14" s="17">
        <f>IF($A14="","",IFERROR(VLOOKUP($A14,祝日リスト!$A$2:$C$40,3,0),""))</f>
        <v/>
      </c>
      <c r="L14" s="18" t="n"/>
      <c r="M14" s="19">
        <f>IF($A14="","",IF($K14&lt;&gt;"","祝",IF(WEEKDAY($A14,2)=6,"土",IF(WEEKDAY($A14,2)=7,"日","平"))))</f>
        <v/>
      </c>
      <c r="N14" s="19">
        <f>IF(NOT(ISNUMBER($C14)),"",IF($C14&lt;1,$C14,(INT($C14/100)*60+MOD($C14,100))/1440))</f>
        <v/>
      </c>
      <c r="O14" s="19">
        <f>IF(NOT(ISNUMBER($D14)),"",IF($D14&lt;1,$D14,(INT($D14/100)*60+MOD($D14,100))/1440))</f>
        <v/>
      </c>
      <c r="P14" s="19">
        <f>IF(NOT(ISNUMBER($E14)),"",IF($E14&lt;1,$E14,(INT($E14/100)*60+MOD($E14,100))/1440))</f>
        <v/>
      </c>
      <c r="Q14" s="19">
        <f>IF(NOT(ISNUMBER($G14)),"",IF($G14&lt;1,$G14,(INT($G14/100)*60+MOD($G14,100))/1440))</f>
        <v/>
      </c>
      <c r="R14" s="19">
        <f>IF(NOT(ISNUMBER($H14)),"",IF($H14&lt;1,$H14,(INT($H14/100)*60+MOD($H14,100))/1440))</f>
        <v/>
      </c>
      <c r="S14" s="19">
        <f>IF(NOT(ISNUMBER($I14)),"",IF($I14&lt;1,$I14,(INT($I14/100)*60+MOD($I14,100))/1440))</f>
        <v/>
      </c>
      <c r="T14" s="19">
        <f>IF(NOT(ISNUMBER($J14)),"",IF($J14&lt;1,$J14,(INT($J14/100)*60+MOD($J14,100))/1440))</f>
        <v/>
      </c>
    </row>
    <row r="15" ht="19" customHeight="1">
      <c r="A15" s="13">
        <f>IF(A14="","",IF(MONTH(A14+1)=$D$4,A14+1,""))</f>
        <v/>
      </c>
      <c r="B15" s="14">
        <f>IF($A15="","",CHOOSE(WEEKDAY($A15,2),"月","火","水","木","金","土","日"))</f>
        <v/>
      </c>
      <c r="C15" s="15" t="n"/>
      <c r="D15" s="15" t="n"/>
      <c r="E15" s="15" t="n"/>
      <c r="F15" s="16">
        <f>IF(OR($N15="",$O15=""),"",MAX(0,MOD($O15-$N15,1)-IF($P15&lt;&gt;"",$P15,IF(MOD($O15-$N15,1)&gt;設定!$E$8,設定!$E$7,0))))</f>
        <v/>
      </c>
      <c r="G15" s="15" t="n"/>
      <c r="H15" s="15" t="n"/>
      <c r="I15" s="15" t="n"/>
      <c r="J15" s="15" t="n"/>
      <c r="K15" s="17">
        <f>IF($A15="","",IFERROR(VLOOKUP($A15,祝日リスト!$A$2:$C$40,3,0),""))</f>
        <v/>
      </c>
      <c r="L15" s="18" t="n"/>
      <c r="M15" s="19">
        <f>IF($A15="","",IF($K15&lt;&gt;"","祝",IF(WEEKDAY($A15,2)=6,"土",IF(WEEKDAY($A15,2)=7,"日","平"))))</f>
        <v/>
      </c>
      <c r="N15" s="19">
        <f>IF(NOT(ISNUMBER($C15)),"",IF($C15&lt;1,$C15,(INT($C15/100)*60+MOD($C15,100))/1440))</f>
        <v/>
      </c>
      <c r="O15" s="19">
        <f>IF(NOT(ISNUMBER($D15)),"",IF($D15&lt;1,$D15,(INT($D15/100)*60+MOD($D15,100))/1440))</f>
        <v/>
      </c>
      <c r="P15" s="19">
        <f>IF(NOT(ISNUMBER($E15)),"",IF($E15&lt;1,$E15,(INT($E15/100)*60+MOD($E15,100))/1440))</f>
        <v/>
      </c>
      <c r="Q15" s="19">
        <f>IF(NOT(ISNUMBER($G15)),"",IF($G15&lt;1,$G15,(INT($G15/100)*60+MOD($G15,100))/1440))</f>
        <v/>
      </c>
      <c r="R15" s="19">
        <f>IF(NOT(ISNUMBER($H15)),"",IF($H15&lt;1,$H15,(INT($H15/100)*60+MOD($H15,100))/1440))</f>
        <v/>
      </c>
      <c r="S15" s="19">
        <f>IF(NOT(ISNUMBER($I15)),"",IF($I15&lt;1,$I15,(INT($I15/100)*60+MOD($I15,100))/1440))</f>
        <v/>
      </c>
      <c r="T15" s="19">
        <f>IF(NOT(ISNUMBER($J15)),"",IF($J15&lt;1,$J15,(INT($J15/100)*60+MOD($J15,100))/1440))</f>
        <v/>
      </c>
    </row>
    <row r="16" ht="19" customHeight="1">
      <c r="A16" s="13">
        <f>IF(A15="","",IF(MONTH(A15+1)=$D$4,A15+1,""))</f>
        <v/>
      </c>
      <c r="B16" s="14">
        <f>IF($A16="","",CHOOSE(WEEKDAY($A16,2),"月","火","水","木","金","土","日"))</f>
        <v/>
      </c>
      <c r="C16" s="15" t="n"/>
      <c r="D16" s="15" t="n"/>
      <c r="E16" s="15" t="n"/>
      <c r="F16" s="16">
        <f>IF(OR($N16="",$O16=""),"",MAX(0,MOD($O16-$N16,1)-IF($P16&lt;&gt;"",$P16,IF(MOD($O16-$N16,1)&gt;設定!$E$8,設定!$E$7,0))))</f>
        <v/>
      </c>
      <c r="G16" s="15" t="n"/>
      <c r="H16" s="15" t="n"/>
      <c r="I16" s="15" t="n"/>
      <c r="J16" s="15" t="n"/>
      <c r="K16" s="17">
        <f>IF($A16="","",IFERROR(VLOOKUP($A16,祝日リスト!$A$2:$C$40,3,0),""))</f>
        <v/>
      </c>
      <c r="L16" s="18" t="n"/>
      <c r="M16" s="19">
        <f>IF($A16="","",IF($K16&lt;&gt;"","祝",IF(WEEKDAY($A16,2)=6,"土",IF(WEEKDAY($A16,2)=7,"日","平"))))</f>
        <v/>
      </c>
      <c r="N16" s="19">
        <f>IF(NOT(ISNUMBER($C16)),"",IF($C16&lt;1,$C16,(INT($C16/100)*60+MOD($C16,100))/1440))</f>
        <v/>
      </c>
      <c r="O16" s="19">
        <f>IF(NOT(ISNUMBER($D16)),"",IF($D16&lt;1,$D16,(INT($D16/100)*60+MOD($D16,100))/1440))</f>
        <v/>
      </c>
      <c r="P16" s="19">
        <f>IF(NOT(ISNUMBER($E16)),"",IF($E16&lt;1,$E16,(INT($E16/100)*60+MOD($E16,100))/1440))</f>
        <v/>
      </c>
      <c r="Q16" s="19">
        <f>IF(NOT(ISNUMBER($G16)),"",IF($G16&lt;1,$G16,(INT($G16/100)*60+MOD($G16,100))/1440))</f>
        <v/>
      </c>
      <c r="R16" s="19">
        <f>IF(NOT(ISNUMBER($H16)),"",IF($H16&lt;1,$H16,(INT($H16/100)*60+MOD($H16,100))/1440))</f>
        <v/>
      </c>
      <c r="S16" s="19">
        <f>IF(NOT(ISNUMBER($I16)),"",IF($I16&lt;1,$I16,(INT($I16/100)*60+MOD($I16,100))/1440))</f>
        <v/>
      </c>
      <c r="T16" s="19">
        <f>IF(NOT(ISNUMBER($J16)),"",IF($J16&lt;1,$J16,(INT($J16/100)*60+MOD($J16,100))/1440))</f>
        <v/>
      </c>
    </row>
    <row r="17" ht="19" customHeight="1">
      <c r="A17" s="13">
        <f>IF(A16="","",IF(MONTH(A16+1)=$D$4,A16+1,""))</f>
        <v/>
      </c>
      <c r="B17" s="14">
        <f>IF($A17="","",CHOOSE(WEEKDAY($A17,2),"月","火","水","木","金","土","日"))</f>
        <v/>
      </c>
      <c r="C17" s="15" t="n"/>
      <c r="D17" s="15" t="n"/>
      <c r="E17" s="15" t="n"/>
      <c r="F17" s="16">
        <f>IF(OR($N17="",$O17=""),"",MAX(0,MOD($O17-$N17,1)-IF($P17&lt;&gt;"",$P17,IF(MOD($O17-$N17,1)&gt;設定!$E$8,設定!$E$7,0))))</f>
        <v/>
      </c>
      <c r="G17" s="15" t="n"/>
      <c r="H17" s="15" t="n"/>
      <c r="I17" s="15" t="n"/>
      <c r="J17" s="15" t="n"/>
      <c r="K17" s="17">
        <f>IF($A17="","",IFERROR(VLOOKUP($A17,祝日リスト!$A$2:$C$40,3,0),""))</f>
        <v/>
      </c>
      <c r="L17" s="18" t="n"/>
      <c r="M17" s="19">
        <f>IF($A17="","",IF($K17&lt;&gt;"","祝",IF(WEEKDAY($A17,2)=6,"土",IF(WEEKDAY($A17,2)=7,"日","平"))))</f>
        <v/>
      </c>
      <c r="N17" s="19">
        <f>IF(NOT(ISNUMBER($C17)),"",IF($C17&lt;1,$C17,(INT($C17/100)*60+MOD($C17,100))/1440))</f>
        <v/>
      </c>
      <c r="O17" s="19">
        <f>IF(NOT(ISNUMBER($D17)),"",IF($D17&lt;1,$D17,(INT($D17/100)*60+MOD($D17,100))/1440))</f>
        <v/>
      </c>
      <c r="P17" s="19">
        <f>IF(NOT(ISNUMBER($E17)),"",IF($E17&lt;1,$E17,(INT($E17/100)*60+MOD($E17,100))/1440))</f>
        <v/>
      </c>
      <c r="Q17" s="19">
        <f>IF(NOT(ISNUMBER($G17)),"",IF($G17&lt;1,$G17,(INT($G17/100)*60+MOD($G17,100))/1440))</f>
        <v/>
      </c>
      <c r="R17" s="19">
        <f>IF(NOT(ISNUMBER($H17)),"",IF($H17&lt;1,$H17,(INT($H17/100)*60+MOD($H17,100))/1440))</f>
        <v/>
      </c>
      <c r="S17" s="19">
        <f>IF(NOT(ISNUMBER($I17)),"",IF($I17&lt;1,$I17,(INT($I17/100)*60+MOD($I17,100))/1440))</f>
        <v/>
      </c>
      <c r="T17" s="19">
        <f>IF(NOT(ISNUMBER($J17)),"",IF($J17&lt;1,$J17,(INT($J17/100)*60+MOD($J17,100))/1440))</f>
        <v/>
      </c>
    </row>
    <row r="18" ht="19" customHeight="1">
      <c r="A18" s="13">
        <f>IF(A17="","",IF(MONTH(A17+1)=$D$4,A17+1,""))</f>
        <v/>
      </c>
      <c r="B18" s="14">
        <f>IF($A18="","",CHOOSE(WEEKDAY($A18,2),"月","火","水","木","金","土","日"))</f>
        <v/>
      </c>
      <c r="C18" s="15" t="n"/>
      <c r="D18" s="15" t="n"/>
      <c r="E18" s="15" t="n"/>
      <c r="F18" s="16">
        <f>IF(OR($N18="",$O18=""),"",MAX(0,MOD($O18-$N18,1)-IF($P18&lt;&gt;"",$P18,IF(MOD($O18-$N18,1)&gt;設定!$E$8,設定!$E$7,0))))</f>
        <v/>
      </c>
      <c r="G18" s="15" t="n"/>
      <c r="H18" s="15" t="n"/>
      <c r="I18" s="15" t="n"/>
      <c r="J18" s="15" t="n"/>
      <c r="K18" s="17">
        <f>IF($A18="","",IFERROR(VLOOKUP($A18,祝日リスト!$A$2:$C$40,3,0),""))</f>
        <v/>
      </c>
      <c r="L18" s="18" t="n"/>
      <c r="M18" s="19">
        <f>IF($A18="","",IF($K18&lt;&gt;"","祝",IF(WEEKDAY($A18,2)=6,"土",IF(WEEKDAY($A18,2)=7,"日","平"))))</f>
        <v/>
      </c>
      <c r="N18" s="19">
        <f>IF(NOT(ISNUMBER($C18)),"",IF($C18&lt;1,$C18,(INT($C18/100)*60+MOD($C18,100))/1440))</f>
        <v/>
      </c>
      <c r="O18" s="19">
        <f>IF(NOT(ISNUMBER($D18)),"",IF($D18&lt;1,$D18,(INT($D18/100)*60+MOD($D18,100))/1440))</f>
        <v/>
      </c>
      <c r="P18" s="19">
        <f>IF(NOT(ISNUMBER($E18)),"",IF($E18&lt;1,$E18,(INT($E18/100)*60+MOD($E18,100))/1440))</f>
        <v/>
      </c>
      <c r="Q18" s="19">
        <f>IF(NOT(ISNUMBER($G18)),"",IF($G18&lt;1,$G18,(INT($G18/100)*60+MOD($G18,100))/1440))</f>
        <v/>
      </c>
      <c r="R18" s="19">
        <f>IF(NOT(ISNUMBER($H18)),"",IF($H18&lt;1,$H18,(INT($H18/100)*60+MOD($H18,100))/1440))</f>
        <v/>
      </c>
      <c r="S18" s="19">
        <f>IF(NOT(ISNUMBER($I18)),"",IF($I18&lt;1,$I18,(INT($I18/100)*60+MOD($I18,100))/1440))</f>
        <v/>
      </c>
      <c r="T18" s="19">
        <f>IF(NOT(ISNUMBER($J18)),"",IF($J18&lt;1,$J18,(INT($J18/100)*60+MOD($J18,100))/1440))</f>
        <v/>
      </c>
    </row>
    <row r="19" ht="19" customHeight="1">
      <c r="A19" s="13">
        <f>IF(A18="","",IF(MONTH(A18+1)=$D$4,A18+1,""))</f>
        <v/>
      </c>
      <c r="B19" s="14">
        <f>IF($A19="","",CHOOSE(WEEKDAY($A19,2),"月","火","水","木","金","土","日"))</f>
        <v/>
      </c>
      <c r="C19" s="15" t="n"/>
      <c r="D19" s="15" t="n"/>
      <c r="E19" s="15" t="n"/>
      <c r="F19" s="16">
        <f>IF(OR($N19="",$O19=""),"",MAX(0,MOD($O19-$N19,1)-IF($P19&lt;&gt;"",$P19,IF(MOD($O19-$N19,1)&gt;設定!$E$8,設定!$E$7,0))))</f>
        <v/>
      </c>
      <c r="G19" s="15" t="n"/>
      <c r="H19" s="15" t="n"/>
      <c r="I19" s="15" t="n"/>
      <c r="J19" s="15" t="n"/>
      <c r="K19" s="17">
        <f>IF($A19="","",IFERROR(VLOOKUP($A19,祝日リスト!$A$2:$C$40,3,0),""))</f>
        <v/>
      </c>
      <c r="L19" s="18" t="n"/>
      <c r="M19" s="19">
        <f>IF($A19="","",IF($K19&lt;&gt;"","祝",IF(WEEKDAY($A19,2)=6,"土",IF(WEEKDAY($A19,2)=7,"日","平"))))</f>
        <v/>
      </c>
      <c r="N19" s="19">
        <f>IF(NOT(ISNUMBER($C19)),"",IF($C19&lt;1,$C19,(INT($C19/100)*60+MOD($C19,100))/1440))</f>
        <v/>
      </c>
      <c r="O19" s="19">
        <f>IF(NOT(ISNUMBER($D19)),"",IF($D19&lt;1,$D19,(INT($D19/100)*60+MOD($D19,100))/1440))</f>
        <v/>
      </c>
      <c r="P19" s="19">
        <f>IF(NOT(ISNUMBER($E19)),"",IF($E19&lt;1,$E19,(INT($E19/100)*60+MOD($E19,100))/1440))</f>
        <v/>
      </c>
      <c r="Q19" s="19">
        <f>IF(NOT(ISNUMBER($G19)),"",IF($G19&lt;1,$G19,(INT($G19/100)*60+MOD($G19,100))/1440))</f>
        <v/>
      </c>
      <c r="R19" s="19">
        <f>IF(NOT(ISNUMBER($H19)),"",IF($H19&lt;1,$H19,(INT($H19/100)*60+MOD($H19,100))/1440))</f>
        <v/>
      </c>
      <c r="S19" s="19">
        <f>IF(NOT(ISNUMBER($I19)),"",IF($I19&lt;1,$I19,(INT($I19/100)*60+MOD($I19,100))/1440))</f>
        <v/>
      </c>
      <c r="T19" s="19">
        <f>IF(NOT(ISNUMBER($J19)),"",IF($J19&lt;1,$J19,(INT($J19/100)*60+MOD($J19,100))/1440))</f>
        <v/>
      </c>
    </row>
    <row r="20" ht="19" customHeight="1">
      <c r="A20" s="13">
        <f>IF(A19="","",IF(MONTH(A19+1)=$D$4,A19+1,""))</f>
        <v/>
      </c>
      <c r="B20" s="14">
        <f>IF($A20="","",CHOOSE(WEEKDAY($A20,2),"月","火","水","木","金","土","日"))</f>
        <v/>
      </c>
      <c r="C20" s="15" t="n"/>
      <c r="D20" s="15" t="n"/>
      <c r="E20" s="15" t="n"/>
      <c r="F20" s="16">
        <f>IF(OR($N20="",$O20=""),"",MAX(0,MOD($O20-$N20,1)-IF($P20&lt;&gt;"",$P20,IF(MOD($O20-$N20,1)&gt;設定!$E$8,設定!$E$7,0))))</f>
        <v/>
      </c>
      <c r="G20" s="15" t="n"/>
      <c r="H20" s="15" t="n"/>
      <c r="I20" s="15" t="n"/>
      <c r="J20" s="15" t="n"/>
      <c r="K20" s="17">
        <f>IF($A20="","",IFERROR(VLOOKUP($A20,祝日リスト!$A$2:$C$40,3,0),""))</f>
        <v/>
      </c>
      <c r="L20" s="18" t="n"/>
      <c r="M20" s="19">
        <f>IF($A20="","",IF($K20&lt;&gt;"","祝",IF(WEEKDAY($A20,2)=6,"土",IF(WEEKDAY($A20,2)=7,"日","平"))))</f>
        <v/>
      </c>
      <c r="N20" s="19">
        <f>IF(NOT(ISNUMBER($C20)),"",IF($C20&lt;1,$C20,(INT($C20/100)*60+MOD($C20,100))/1440))</f>
        <v/>
      </c>
      <c r="O20" s="19">
        <f>IF(NOT(ISNUMBER($D20)),"",IF($D20&lt;1,$D20,(INT($D20/100)*60+MOD($D20,100))/1440))</f>
        <v/>
      </c>
      <c r="P20" s="19">
        <f>IF(NOT(ISNUMBER($E20)),"",IF($E20&lt;1,$E20,(INT($E20/100)*60+MOD($E20,100))/1440))</f>
        <v/>
      </c>
      <c r="Q20" s="19">
        <f>IF(NOT(ISNUMBER($G20)),"",IF($G20&lt;1,$G20,(INT($G20/100)*60+MOD($G20,100))/1440))</f>
        <v/>
      </c>
      <c r="R20" s="19">
        <f>IF(NOT(ISNUMBER($H20)),"",IF($H20&lt;1,$H20,(INT($H20/100)*60+MOD($H20,100))/1440))</f>
        <v/>
      </c>
      <c r="S20" s="19">
        <f>IF(NOT(ISNUMBER($I20)),"",IF($I20&lt;1,$I20,(INT($I20/100)*60+MOD($I20,100))/1440))</f>
        <v/>
      </c>
      <c r="T20" s="19">
        <f>IF(NOT(ISNUMBER($J20)),"",IF($J20&lt;1,$J20,(INT($J20/100)*60+MOD($J20,100))/1440))</f>
        <v/>
      </c>
    </row>
    <row r="21" ht="19" customHeight="1">
      <c r="A21" s="13">
        <f>IF(A20="","",IF(MONTH(A20+1)=$D$4,A20+1,""))</f>
        <v/>
      </c>
      <c r="B21" s="14">
        <f>IF($A21="","",CHOOSE(WEEKDAY($A21,2),"月","火","水","木","金","土","日"))</f>
        <v/>
      </c>
      <c r="C21" s="15" t="n"/>
      <c r="D21" s="15" t="n"/>
      <c r="E21" s="15" t="n"/>
      <c r="F21" s="16">
        <f>IF(OR($N21="",$O21=""),"",MAX(0,MOD($O21-$N21,1)-IF($P21&lt;&gt;"",$P21,IF(MOD($O21-$N21,1)&gt;設定!$E$8,設定!$E$7,0))))</f>
        <v/>
      </c>
      <c r="G21" s="15" t="n"/>
      <c r="H21" s="15" t="n"/>
      <c r="I21" s="15" t="n"/>
      <c r="J21" s="15" t="n"/>
      <c r="K21" s="17">
        <f>IF($A21="","",IFERROR(VLOOKUP($A21,祝日リスト!$A$2:$C$40,3,0),""))</f>
        <v/>
      </c>
      <c r="L21" s="18" t="n"/>
      <c r="M21" s="19">
        <f>IF($A21="","",IF($K21&lt;&gt;"","祝",IF(WEEKDAY($A21,2)=6,"土",IF(WEEKDAY($A21,2)=7,"日","平"))))</f>
        <v/>
      </c>
      <c r="N21" s="19">
        <f>IF(NOT(ISNUMBER($C21)),"",IF($C21&lt;1,$C21,(INT($C21/100)*60+MOD($C21,100))/1440))</f>
        <v/>
      </c>
      <c r="O21" s="19">
        <f>IF(NOT(ISNUMBER($D21)),"",IF($D21&lt;1,$D21,(INT($D21/100)*60+MOD($D21,100))/1440))</f>
        <v/>
      </c>
      <c r="P21" s="19">
        <f>IF(NOT(ISNUMBER($E21)),"",IF($E21&lt;1,$E21,(INT($E21/100)*60+MOD($E21,100))/1440))</f>
        <v/>
      </c>
      <c r="Q21" s="19">
        <f>IF(NOT(ISNUMBER($G21)),"",IF($G21&lt;1,$G21,(INT($G21/100)*60+MOD($G21,100))/1440))</f>
        <v/>
      </c>
      <c r="R21" s="19">
        <f>IF(NOT(ISNUMBER($H21)),"",IF($H21&lt;1,$H21,(INT($H21/100)*60+MOD($H21,100))/1440))</f>
        <v/>
      </c>
      <c r="S21" s="19">
        <f>IF(NOT(ISNUMBER($I21)),"",IF($I21&lt;1,$I21,(INT($I21/100)*60+MOD($I21,100))/1440))</f>
        <v/>
      </c>
      <c r="T21" s="19">
        <f>IF(NOT(ISNUMBER($J21)),"",IF($J21&lt;1,$J21,(INT($J21/100)*60+MOD($J21,100))/1440))</f>
        <v/>
      </c>
    </row>
    <row r="22" ht="19" customHeight="1">
      <c r="A22" s="13">
        <f>IF(A21="","",IF(MONTH(A21+1)=$D$4,A21+1,""))</f>
        <v/>
      </c>
      <c r="B22" s="14">
        <f>IF($A22="","",CHOOSE(WEEKDAY($A22,2),"月","火","水","木","金","土","日"))</f>
        <v/>
      </c>
      <c r="C22" s="15" t="n">
        <v>900</v>
      </c>
      <c r="D22" s="15" t="n">
        <v>1500</v>
      </c>
      <c r="E22" s="15" t="n"/>
      <c r="F22" s="16">
        <f>IF(OR($N22="",$O22=""),"",MAX(0,MOD($O22-$N22,1)-IF($P22&lt;&gt;"",$P22,IF(MOD($O22-$N22,1)&gt;設定!$E$8,設定!$E$7,0))))</f>
        <v/>
      </c>
      <c r="G22" s="15" t="n"/>
      <c r="H22" s="15" t="n"/>
      <c r="I22" s="15" t="n"/>
      <c r="J22" s="15" t="n"/>
      <c r="K22" s="17">
        <f>IF($A22="","",IFERROR(VLOOKUP($A22,祝日リスト!$A$2:$C$40,3,0),""))</f>
        <v/>
      </c>
      <c r="L22" s="18" t="inlineStr">
        <is>
          <t>入社日</t>
        </is>
      </c>
      <c r="M22" s="19">
        <f>IF($A22="","",IF($K22&lt;&gt;"","祝",IF(WEEKDAY($A22,2)=6,"土",IF(WEEKDAY($A22,2)=7,"日","平"))))</f>
        <v/>
      </c>
      <c r="N22" s="19">
        <f>IF(NOT(ISNUMBER($C22)),"",IF($C22&lt;1,$C22,(INT($C22/100)*60+MOD($C22,100))/1440))</f>
        <v/>
      </c>
      <c r="O22" s="19">
        <f>IF(NOT(ISNUMBER($D22)),"",IF($D22&lt;1,$D22,(INT($D22/100)*60+MOD($D22,100))/1440))</f>
        <v/>
      </c>
      <c r="P22" s="19">
        <f>IF(NOT(ISNUMBER($E22)),"",IF($E22&lt;1,$E22,(INT($E22/100)*60+MOD($E22,100))/1440))</f>
        <v/>
      </c>
      <c r="Q22" s="19">
        <f>IF(NOT(ISNUMBER($G22)),"",IF($G22&lt;1,$G22,(INT($G22/100)*60+MOD($G22,100))/1440))</f>
        <v/>
      </c>
      <c r="R22" s="19">
        <f>IF(NOT(ISNUMBER($H22)),"",IF($H22&lt;1,$H22,(INT($H22/100)*60+MOD($H22,100))/1440))</f>
        <v/>
      </c>
      <c r="S22" s="19">
        <f>IF(NOT(ISNUMBER($I22)),"",IF($I22&lt;1,$I22,(INT($I22/100)*60+MOD($I22,100))/1440))</f>
        <v/>
      </c>
      <c r="T22" s="19">
        <f>IF(NOT(ISNUMBER($J22)),"",IF($J22&lt;1,$J22,(INT($J22/100)*60+MOD($J22,100))/1440))</f>
        <v/>
      </c>
    </row>
    <row r="23" ht="19" customHeight="1">
      <c r="A23" s="13">
        <f>IF(A22="","",IF(MONTH(A22+1)=$D$4,A22+1,""))</f>
        <v/>
      </c>
      <c r="B23" s="14">
        <f>IF($A23="","",CHOOSE(WEEKDAY($A23,2),"月","火","水","木","金","土","日"))</f>
        <v/>
      </c>
      <c r="C23" s="15" t="n">
        <v>900</v>
      </c>
      <c r="D23" s="15" t="n">
        <v>1500</v>
      </c>
      <c r="E23" s="15" t="n"/>
      <c r="F23" s="16">
        <f>IF(OR($N23="",$O23=""),"",MAX(0,MOD($O23-$N23,1)-IF($P23&lt;&gt;"",$P23,IF(MOD($O23-$N23,1)&gt;設定!$E$8,設定!$E$7,0))))</f>
        <v/>
      </c>
      <c r="G23" s="15" t="n"/>
      <c r="H23" s="15" t="n"/>
      <c r="I23" s="15" t="n"/>
      <c r="J23" s="15" t="n"/>
      <c r="K23" s="17">
        <f>IF($A23="","",IFERROR(VLOOKUP($A23,祝日リスト!$A$2:$C$40,3,0),""))</f>
        <v/>
      </c>
      <c r="L23" s="18" t="n"/>
      <c r="M23" s="19">
        <f>IF($A23="","",IF($K23&lt;&gt;"","祝",IF(WEEKDAY($A23,2)=6,"土",IF(WEEKDAY($A23,2)=7,"日","平"))))</f>
        <v/>
      </c>
      <c r="N23" s="19">
        <f>IF(NOT(ISNUMBER($C23)),"",IF($C23&lt;1,$C23,(INT($C23/100)*60+MOD($C23,100))/1440))</f>
        <v/>
      </c>
      <c r="O23" s="19">
        <f>IF(NOT(ISNUMBER($D23)),"",IF($D23&lt;1,$D23,(INT($D23/100)*60+MOD($D23,100))/1440))</f>
        <v/>
      </c>
      <c r="P23" s="19">
        <f>IF(NOT(ISNUMBER($E23)),"",IF($E23&lt;1,$E23,(INT($E23/100)*60+MOD($E23,100))/1440))</f>
        <v/>
      </c>
      <c r="Q23" s="19">
        <f>IF(NOT(ISNUMBER($G23)),"",IF($G23&lt;1,$G23,(INT($G23/100)*60+MOD($G23,100))/1440))</f>
        <v/>
      </c>
      <c r="R23" s="19">
        <f>IF(NOT(ISNUMBER($H23)),"",IF($H23&lt;1,$H23,(INT($H23/100)*60+MOD($H23,100))/1440))</f>
        <v/>
      </c>
      <c r="S23" s="19">
        <f>IF(NOT(ISNUMBER($I23)),"",IF($I23&lt;1,$I23,(INT($I23/100)*60+MOD($I23,100))/1440))</f>
        <v/>
      </c>
      <c r="T23" s="19">
        <f>IF(NOT(ISNUMBER($J23)),"",IF($J23&lt;1,$J23,(INT($J23/100)*60+MOD($J23,100))/1440))</f>
        <v/>
      </c>
    </row>
    <row r="24" ht="19" customHeight="1">
      <c r="A24" s="13">
        <f>IF(A23="","",IF(MONTH(A23+1)=$D$4,A23+1,""))</f>
        <v/>
      </c>
      <c r="B24" s="14">
        <f>IF($A24="","",CHOOSE(WEEKDAY($A24,2),"月","火","水","木","金","土","日"))</f>
        <v/>
      </c>
      <c r="C24" s="15" t="n">
        <v>900</v>
      </c>
      <c r="D24" s="15" t="n">
        <v>1500</v>
      </c>
      <c r="E24" s="15" t="n"/>
      <c r="F24" s="16">
        <f>IF(OR($N24="",$O24=""),"",MAX(0,MOD($O24-$N24,1)-IF($P24&lt;&gt;"",$P24,IF(MOD($O24-$N24,1)&gt;設定!$E$8,設定!$E$7,0))))</f>
        <v/>
      </c>
      <c r="G24" s="15" t="n"/>
      <c r="H24" s="15" t="n"/>
      <c r="I24" s="15" t="n"/>
      <c r="J24" s="15" t="n"/>
      <c r="K24" s="17">
        <f>IF($A24="","",IFERROR(VLOOKUP($A24,祝日リスト!$A$2:$C$40,3,0),""))</f>
        <v/>
      </c>
      <c r="L24" s="18" t="n"/>
      <c r="M24" s="19">
        <f>IF($A24="","",IF($K24&lt;&gt;"","祝",IF(WEEKDAY($A24,2)=6,"土",IF(WEEKDAY($A24,2)=7,"日","平"))))</f>
        <v/>
      </c>
      <c r="N24" s="19">
        <f>IF(NOT(ISNUMBER($C24)),"",IF($C24&lt;1,$C24,(INT($C24/100)*60+MOD($C24,100))/1440))</f>
        <v/>
      </c>
      <c r="O24" s="19">
        <f>IF(NOT(ISNUMBER($D24)),"",IF($D24&lt;1,$D24,(INT($D24/100)*60+MOD($D24,100))/1440))</f>
        <v/>
      </c>
      <c r="P24" s="19">
        <f>IF(NOT(ISNUMBER($E24)),"",IF($E24&lt;1,$E24,(INT($E24/100)*60+MOD($E24,100))/1440))</f>
        <v/>
      </c>
      <c r="Q24" s="19">
        <f>IF(NOT(ISNUMBER($G24)),"",IF($G24&lt;1,$G24,(INT($G24/100)*60+MOD($G24,100))/1440))</f>
        <v/>
      </c>
      <c r="R24" s="19">
        <f>IF(NOT(ISNUMBER($H24)),"",IF($H24&lt;1,$H24,(INT($H24/100)*60+MOD($H24,100))/1440))</f>
        <v/>
      </c>
      <c r="S24" s="19">
        <f>IF(NOT(ISNUMBER($I24)),"",IF($I24&lt;1,$I24,(INT($I24/100)*60+MOD($I24,100))/1440))</f>
        <v/>
      </c>
      <c r="T24" s="19">
        <f>IF(NOT(ISNUMBER($J24)),"",IF($J24&lt;1,$J24,(INT($J24/100)*60+MOD($J24,100))/1440))</f>
        <v/>
      </c>
    </row>
    <row r="25" ht="19" customHeight="1">
      <c r="A25" s="13">
        <f>IF(A24="","",IF(MONTH(A24+1)=$D$4,A24+1,""))</f>
        <v/>
      </c>
      <c r="B25" s="14">
        <f>IF($A25="","",CHOOSE(WEEKDAY($A25,2),"月","火","水","木","金","土","日"))</f>
        <v/>
      </c>
      <c r="C25" s="15" t="n"/>
      <c r="D25" s="15" t="n"/>
      <c r="E25" s="15" t="n"/>
      <c r="F25" s="16">
        <f>IF(OR($N25="",$O25=""),"",MAX(0,MOD($O25-$N25,1)-IF($P25&lt;&gt;"",$P25,IF(MOD($O25-$N25,1)&gt;設定!$E$8,設定!$E$7,0))))</f>
        <v/>
      </c>
      <c r="G25" s="15" t="n"/>
      <c r="H25" s="15" t="n"/>
      <c r="I25" s="15" t="n"/>
      <c r="J25" s="15" t="n"/>
      <c r="K25" s="17">
        <f>IF($A25="","",IFERROR(VLOOKUP($A25,祝日リスト!$A$2:$C$40,3,0),""))</f>
        <v/>
      </c>
      <c r="L25" s="18" t="n"/>
      <c r="M25" s="19">
        <f>IF($A25="","",IF($K25&lt;&gt;"","祝",IF(WEEKDAY($A25,2)=6,"土",IF(WEEKDAY($A25,2)=7,"日","平"))))</f>
        <v/>
      </c>
      <c r="N25" s="19">
        <f>IF(NOT(ISNUMBER($C25)),"",IF($C25&lt;1,$C25,(INT($C25/100)*60+MOD($C25,100))/1440))</f>
        <v/>
      </c>
      <c r="O25" s="19">
        <f>IF(NOT(ISNUMBER($D25)),"",IF($D25&lt;1,$D25,(INT($D25/100)*60+MOD($D25,100))/1440))</f>
        <v/>
      </c>
      <c r="P25" s="19">
        <f>IF(NOT(ISNUMBER($E25)),"",IF($E25&lt;1,$E25,(INT($E25/100)*60+MOD($E25,100))/1440))</f>
        <v/>
      </c>
      <c r="Q25" s="19">
        <f>IF(NOT(ISNUMBER($G25)),"",IF($G25&lt;1,$G25,(INT($G25/100)*60+MOD($G25,100))/1440))</f>
        <v/>
      </c>
      <c r="R25" s="19">
        <f>IF(NOT(ISNUMBER($H25)),"",IF($H25&lt;1,$H25,(INT($H25/100)*60+MOD($H25,100))/1440))</f>
        <v/>
      </c>
      <c r="S25" s="19">
        <f>IF(NOT(ISNUMBER($I25)),"",IF($I25&lt;1,$I25,(INT($I25/100)*60+MOD($I25,100))/1440))</f>
        <v/>
      </c>
      <c r="T25" s="19">
        <f>IF(NOT(ISNUMBER($J25)),"",IF($J25&lt;1,$J25,(INT($J25/100)*60+MOD($J25,100))/1440))</f>
        <v/>
      </c>
    </row>
    <row r="26" ht="19" customHeight="1">
      <c r="A26" s="13">
        <f>IF(A25="","",IF(MONTH(A25+1)=$D$4,A25+1,""))</f>
        <v/>
      </c>
      <c r="B26" s="14">
        <f>IF($A26="","",CHOOSE(WEEKDAY($A26,2),"月","火","水","木","金","土","日"))</f>
        <v/>
      </c>
      <c r="C26" s="15" t="n"/>
      <c r="D26" s="15" t="n"/>
      <c r="E26" s="15" t="n"/>
      <c r="F26" s="16">
        <f>IF(OR($N26="",$O26=""),"",MAX(0,MOD($O26-$N26,1)-IF($P26&lt;&gt;"",$P26,IF(MOD($O26-$N26,1)&gt;設定!$E$8,設定!$E$7,0))))</f>
        <v/>
      </c>
      <c r="G26" s="15" t="n"/>
      <c r="H26" s="15" t="n"/>
      <c r="I26" s="15" t="n"/>
      <c r="J26" s="15" t="n"/>
      <c r="K26" s="17">
        <f>IF($A26="","",IFERROR(VLOOKUP($A26,祝日リスト!$A$2:$C$40,3,0),""))</f>
        <v/>
      </c>
      <c r="L26" s="18" t="n"/>
      <c r="M26" s="19">
        <f>IF($A26="","",IF($K26&lt;&gt;"","祝",IF(WEEKDAY($A26,2)=6,"土",IF(WEEKDAY($A26,2)=7,"日","平"))))</f>
        <v/>
      </c>
      <c r="N26" s="19">
        <f>IF(NOT(ISNUMBER($C26)),"",IF($C26&lt;1,$C26,(INT($C26/100)*60+MOD($C26,100))/1440))</f>
        <v/>
      </c>
      <c r="O26" s="19">
        <f>IF(NOT(ISNUMBER($D26)),"",IF($D26&lt;1,$D26,(INT($D26/100)*60+MOD($D26,100))/1440))</f>
        <v/>
      </c>
      <c r="P26" s="19">
        <f>IF(NOT(ISNUMBER($E26)),"",IF($E26&lt;1,$E26,(INT($E26/100)*60+MOD($E26,100))/1440))</f>
        <v/>
      </c>
      <c r="Q26" s="19">
        <f>IF(NOT(ISNUMBER($G26)),"",IF($G26&lt;1,$G26,(INT($G26/100)*60+MOD($G26,100))/1440))</f>
        <v/>
      </c>
      <c r="R26" s="19">
        <f>IF(NOT(ISNUMBER($H26)),"",IF($H26&lt;1,$H26,(INT($H26/100)*60+MOD($H26,100))/1440))</f>
        <v/>
      </c>
      <c r="S26" s="19">
        <f>IF(NOT(ISNUMBER($I26)),"",IF($I26&lt;1,$I26,(INT($I26/100)*60+MOD($I26,100))/1440))</f>
        <v/>
      </c>
      <c r="T26" s="19">
        <f>IF(NOT(ISNUMBER($J26)),"",IF($J26&lt;1,$J26,(INT($J26/100)*60+MOD($J26,100))/1440))</f>
        <v/>
      </c>
    </row>
    <row r="27" ht="19" customHeight="1">
      <c r="A27" s="13">
        <f>IF(A26="","",IF(MONTH(A26+1)=$D$4,A26+1,""))</f>
        <v/>
      </c>
      <c r="B27" s="14">
        <f>IF($A27="","",CHOOSE(WEEKDAY($A27,2),"月","火","水","木","金","土","日"))</f>
        <v/>
      </c>
      <c r="C27" s="15" t="n">
        <v>900</v>
      </c>
      <c r="D27" s="15" t="n">
        <v>1500</v>
      </c>
      <c r="E27" s="15" t="n"/>
      <c r="F27" s="16">
        <f>IF(OR($N27="",$O27=""),"",MAX(0,MOD($O27-$N27,1)-IF($P27&lt;&gt;"",$P27,IF(MOD($O27-$N27,1)&gt;設定!$E$8,設定!$E$7,0))))</f>
        <v/>
      </c>
      <c r="G27" s="15" t="n"/>
      <c r="H27" s="15" t="n"/>
      <c r="I27" s="15" t="n"/>
      <c r="J27" s="15" t="n"/>
      <c r="K27" s="17">
        <f>IF($A27="","",IFERROR(VLOOKUP($A27,祝日リスト!$A$2:$C$40,3,0),""))</f>
        <v/>
      </c>
      <c r="L27" s="18" t="n"/>
      <c r="M27" s="19">
        <f>IF($A27="","",IF($K27&lt;&gt;"","祝",IF(WEEKDAY($A27,2)=6,"土",IF(WEEKDAY($A27,2)=7,"日","平"))))</f>
        <v/>
      </c>
      <c r="N27" s="19">
        <f>IF(NOT(ISNUMBER($C27)),"",IF($C27&lt;1,$C27,(INT($C27/100)*60+MOD($C27,100))/1440))</f>
        <v/>
      </c>
      <c r="O27" s="19">
        <f>IF(NOT(ISNUMBER($D27)),"",IF($D27&lt;1,$D27,(INT($D27/100)*60+MOD($D27,100))/1440))</f>
        <v/>
      </c>
      <c r="P27" s="19">
        <f>IF(NOT(ISNUMBER($E27)),"",IF($E27&lt;1,$E27,(INT($E27/100)*60+MOD($E27,100))/1440))</f>
        <v/>
      </c>
      <c r="Q27" s="19">
        <f>IF(NOT(ISNUMBER($G27)),"",IF($G27&lt;1,$G27,(INT($G27/100)*60+MOD($G27,100))/1440))</f>
        <v/>
      </c>
      <c r="R27" s="19">
        <f>IF(NOT(ISNUMBER($H27)),"",IF($H27&lt;1,$H27,(INT($H27/100)*60+MOD($H27,100))/1440))</f>
        <v/>
      </c>
      <c r="S27" s="19">
        <f>IF(NOT(ISNUMBER($I27)),"",IF($I27&lt;1,$I27,(INT($I27/100)*60+MOD($I27,100))/1440))</f>
        <v/>
      </c>
      <c r="T27" s="19">
        <f>IF(NOT(ISNUMBER($J27)),"",IF($J27&lt;1,$J27,(INT($J27/100)*60+MOD($J27,100))/1440))</f>
        <v/>
      </c>
    </row>
    <row r="28" ht="19" customHeight="1">
      <c r="A28" s="13">
        <f>IF(A27="","",IF(MONTH(A27+1)=$D$4,A27+1,""))</f>
        <v/>
      </c>
      <c r="B28" s="14">
        <f>IF($A28="","",CHOOSE(WEEKDAY($A28,2),"月","火","水","木","金","土","日"))</f>
        <v/>
      </c>
      <c r="C28" s="15" t="n">
        <v>900</v>
      </c>
      <c r="D28" s="15" t="n">
        <v>1500</v>
      </c>
      <c r="E28" s="15" t="n"/>
      <c r="F28" s="16">
        <f>IF(OR($N28="",$O28=""),"",MAX(0,MOD($O28-$N28,1)-IF($P28&lt;&gt;"",$P28,IF(MOD($O28-$N28,1)&gt;設定!$E$8,設定!$E$7,0))))</f>
        <v/>
      </c>
      <c r="G28" s="15" t="n"/>
      <c r="H28" s="15" t="n"/>
      <c r="I28" s="15" t="n"/>
      <c r="J28" s="15" t="n"/>
      <c r="K28" s="17">
        <f>IF($A28="","",IFERROR(VLOOKUP($A28,祝日リスト!$A$2:$C$40,3,0),""))</f>
        <v/>
      </c>
      <c r="L28" s="18" t="n"/>
      <c r="M28" s="19">
        <f>IF($A28="","",IF($K28&lt;&gt;"","祝",IF(WEEKDAY($A28,2)=6,"土",IF(WEEKDAY($A28,2)=7,"日","平"))))</f>
        <v/>
      </c>
      <c r="N28" s="19">
        <f>IF(NOT(ISNUMBER($C28)),"",IF($C28&lt;1,$C28,(INT($C28/100)*60+MOD($C28,100))/1440))</f>
        <v/>
      </c>
      <c r="O28" s="19">
        <f>IF(NOT(ISNUMBER($D28)),"",IF($D28&lt;1,$D28,(INT($D28/100)*60+MOD($D28,100))/1440))</f>
        <v/>
      </c>
      <c r="P28" s="19">
        <f>IF(NOT(ISNUMBER($E28)),"",IF($E28&lt;1,$E28,(INT($E28/100)*60+MOD($E28,100))/1440))</f>
        <v/>
      </c>
      <c r="Q28" s="19">
        <f>IF(NOT(ISNUMBER($G28)),"",IF($G28&lt;1,$G28,(INT($G28/100)*60+MOD($G28,100))/1440))</f>
        <v/>
      </c>
      <c r="R28" s="19">
        <f>IF(NOT(ISNUMBER($H28)),"",IF($H28&lt;1,$H28,(INT($H28/100)*60+MOD($H28,100))/1440))</f>
        <v/>
      </c>
      <c r="S28" s="19">
        <f>IF(NOT(ISNUMBER($I28)),"",IF($I28&lt;1,$I28,(INT($I28/100)*60+MOD($I28,100))/1440))</f>
        <v/>
      </c>
      <c r="T28" s="19">
        <f>IF(NOT(ISNUMBER($J28)),"",IF($J28&lt;1,$J28,(INT($J28/100)*60+MOD($J28,100))/1440))</f>
        <v/>
      </c>
    </row>
    <row r="29" ht="19" customHeight="1">
      <c r="A29" s="13">
        <f>IF(A28="","",IF(MONTH(A28+1)=$D$4,A28+1,""))</f>
        <v/>
      </c>
      <c r="B29" s="14">
        <f>IF($A29="","",CHOOSE(WEEKDAY($A29,2),"月","火","水","木","金","土","日"))</f>
        <v/>
      </c>
      <c r="C29" s="15" t="n"/>
      <c r="D29" s="15" t="n"/>
      <c r="E29" s="15" t="n"/>
      <c r="F29" s="16">
        <f>IF(OR($N29="",$O29=""),"",MAX(0,MOD($O29-$N29,1)-IF($P29&lt;&gt;"",$P29,IF(MOD($O29-$N29,1)&gt;設定!$E$8,設定!$E$7,0))))</f>
        <v/>
      </c>
      <c r="G29" s="15" t="n"/>
      <c r="H29" s="15" t="n"/>
      <c r="I29" s="15" t="n"/>
      <c r="J29" s="15" t="n"/>
      <c r="K29" s="17">
        <f>IF($A29="","",IFERROR(VLOOKUP($A29,祝日リスト!$A$2:$C$40,3,0),""))</f>
        <v/>
      </c>
      <c r="L29" s="18" t="n"/>
      <c r="M29" s="19">
        <f>IF($A29="","",IF($K29&lt;&gt;"","祝",IF(WEEKDAY($A29,2)=6,"土",IF(WEEKDAY($A29,2)=7,"日","平"))))</f>
        <v/>
      </c>
      <c r="N29" s="19">
        <f>IF(NOT(ISNUMBER($C29)),"",IF($C29&lt;1,$C29,(INT($C29/100)*60+MOD($C29,100))/1440))</f>
        <v/>
      </c>
      <c r="O29" s="19">
        <f>IF(NOT(ISNUMBER($D29)),"",IF($D29&lt;1,$D29,(INT($D29/100)*60+MOD($D29,100))/1440))</f>
        <v/>
      </c>
      <c r="P29" s="19">
        <f>IF(NOT(ISNUMBER($E29)),"",IF($E29&lt;1,$E29,(INT($E29/100)*60+MOD($E29,100))/1440))</f>
        <v/>
      </c>
      <c r="Q29" s="19">
        <f>IF(NOT(ISNUMBER($G29)),"",IF($G29&lt;1,$G29,(INT($G29/100)*60+MOD($G29,100))/1440))</f>
        <v/>
      </c>
      <c r="R29" s="19">
        <f>IF(NOT(ISNUMBER($H29)),"",IF($H29&lt;1,$H29,(INT($H29/100)*60+MOD($H29,100))/1440))</f>
        <v/>
      </c>
      <c r="S29" s="19">
        <f>IF(NOT(ISNUMBER($I29)),"",IF($I29&lt;1,$I29,(INT($I29/100)*60+MOD($I29,100))/1440))</f>
        <v/>
      </c>
      <c r="T29" s="19">
        <f>IF(NOT(ISNUMBER($J29)),"",IF($J29&lt;1,$J29,(INT($J29/100)*60+MOD($J29,100))/1440))</f>
        <v/>
      </c>
    </row>
    <row r="30" ht="19" customHeight="1">
      <c r="A30" s="13">
        <f>IF(A29="","",IF(MONTH(A29+1)=$D$4,A29+1,""))</f>
        <v/>
      </c>
      <c r="B30" s="14">
        <f>IF($A30="","",CHOOSE(WEEKDAY($A30,2),"月","火","水","木","金","土","日"))</f>
        <v/>
      </c>
      <c r="C30" s="15" t="n">
        <v>900</v>
      </c>
      <c r="D30" s="15" t="n">
        <v>1500</v>
      </c>
      <c r="E30" s="15" t="n"/>
      <c r="F30" s="16">
        <f>IF(OR($N30="",$O30=""),"",MAX(0,MOD($O30-$N30,1)-IF($P30&lt;&gt;"",$P30,IF(MOD($O30-$N30,1)&gt;設定!$E$8,設定!$E$7,0))))</f>
        <v/>
      </c>
      <c r="G30" s="15" t="n"/>
      <c r="H30" s="15" t="n"/>
      <c r="I30" s="15" t="n"/>
      <c r="J30" s="15" t="n"/>
      <c r="K30" s="17">
        <f>IF($A30="","",IFERROR(VLOOKUP($A30,祝日リスト!$A$2:$C$40,3,0),""))</f>
        <v/>
      </c>
      <c r="L30" s="18" t="n"/>
      <c r="M30" s="19">
        <f>IF($A30="","",IF($K30&lt;&gt;"","祝",IF(WEEKDAY($A30,2)=6,"土",IF(WEEKDAY($A30,2)=7,"日","平"))))</f>
        <v/>
      </c>
      <c r="N30" s="19">
        <f>IF(NOT(ISNUMBER($C30)),"",IF($C30&lt;1,$C30,(INT($C30/100)*60+MOD($C30,100))/1440))</f>
        <v/>
      </c>
      <c r="O30" s="19">
        <f>IF(NOT(ISNUMBER($D30)),"",IF($D30&lt;1,$D30,(INT($D30/100)*60+MOD($D30,100))/1440))</f>
        <v/>
      </c>
      <c r="P30" s="19">
        <f>IF(NOT(ISNUMBER($E30)),"",IF($E30&lt;1,$E30,(INT($E30/100)*60+MOD($E30,100))/1440))</f>
        <v/>
      </c>
      <c r="Q30" s="19">
        <f>IF(NOT(ISNUMBER($G30)),"",IF($G30&lt;1,$G30,(INT($G30/100)*60+MOD($G30,100))/1440))</f>
        <v/>
      </c>
      <c r="R30" s="19">
        <f>IF(NOT(ISNUMBER($H30)),"",IF($H30&lt;1,$H30,(INT($H30/100)*60+MOD($H30,100))/1440))</f>
        <v/>
      </c>
      <c r="S30" s="19">
        <f>IF(NOT(ISNUMBER($I30)),"",IF($I30&lt;1,$I30,(INT($I30/100)*60+MOD($I30,100))/1440))</f>
        <v/>
      </c>
      <c r="T30" s="19">
        <f>IF(NOT(ISNUMBER($J30)),"",IF($J30&lt;1,$J30,(INT($J30/100)*60+MOD($J30,100))/1440))</f>
        <v/>
      </c>
    </row>
    <row r="31" ht="19" customHeight="1">
      <c r="A31" s="13">
        <f>IF(A30="","",IF(MONTH(A30+1)=$D$4,A30+1,""))</f>
        <v/>
      </c>
      <c r="B31" s="14">
        <f>IF($A31="","",CHOOSE(WEEKDAY($A31,2),"月","火","水","木","金","土","日"))</f>
        <v/>
      </c>
      <c r="C31" s="15" t="n">
        <v>900</v>
      </c>
      <c r="D31" s="15" t="n">
        <v>1500</v>
      </c>
      <c r="E31" s="15" t="n"/>
      <c r="F31" s="16">
        <f>IF(OR($N31="",$O31=""),"",MAX(0,MOD($O31-$N31,1)-IF($P31&lt;&gt;"",$P31,IF(MOD($O31-$N31,1)&gt;設定!$E$8,設定!$E$7,0))))</f>
        <v/>
      </c>
      <c r="G31" s="15" t="n"/>
      <c r="H31" s="15" t="n"/>
      <c r="I31" s="15" t="n"/>
      <c r="J31" s="15" t="n"/>
      <c r="K31" s="17">
        <f>IF($A31="","",IFERROR(VLOOKUP($A31,祝日リスト!$A$2:$C$40,3,0),""))</f>
        <v/>
      </c>
      <c r="L31" s="18" t="n"/>
      <c r="M31" s="19">
        <f>IF($A31="","",IF($K31&lt;&gt;"","祝",IF(WEEKDAY($A31,2)=6,"土",IF(WEEKDAY($A31,2)=7,"日","平"))))</f>
        <v/>
      </c>
      <c r="N31" s="19">
        <f>IF(NOT(ISNUMBER($C31)),"",IF($C31&lt;1,$C31,(INT($C31/100)*60+MOD($C31,100))/1440))</f>
        <v/>
      </c>
      <c r="O31" s="19">
        <f>IF(NOT(ISNUMBER($D31)),"",IF($D31&lt;1,$D31,(INT($D31/100)*60+MOD($D31,100))/1440))</f>
        <v/>
      </c>
      <c r="P31" s="19">
        <f>IF(NOT(ISNUMBER($E31)),"",IF($E31&lt;1,$E31,(INT($E31/100)*60+MOD($E31,100))/1440))</f>
        <v/>
      </c>
      <c r="Q31" s="19">
        <f>IF(NOT(ISNUMBER($G31)),"",IF($G31&lt;1,$G31,(INT($G31/100)*60+MOD($G31,100))/1440))</f>
        <v/>
      </c>
      <c r="R31" s="19">
        <f>IF(NOT(ISNUMBER($H31)),"",IF($H31&lt;1,$H31,(INT($H31/100)*60+MOD($H31,100))/1440))</f>
        <v/>
      </c>
      <c r="S31" s="19">
        <f>IF(NOT(ISNUMBER($I31)),"",IF($I31&lt;1,$I31,(INT($I31/100)*60+MOD($I31,100))/1440))</f>
        <v/>
      </c>
      <c r="T31" s="19">
        <f>IF(NOT(ISNUMBER($J31)),"",IF($J31&lt;1,$J31,(INT($J31/100)*60+MOD($J31,100))/1440))</f>
        <v/>
      </c>
    </row>
    <row r="32" ht="19" customHeight="1">
      <c r="A32" s="13">
        <f>IF(A31="","",IF(MONTH(A31+1)=$D$4,A31+1,""))</f>
        <v/>
      </c>
      <c r="B32" s="14">
        <f>IF($A32="","",CHOOSE(WEEKDAY($A32,2),"月","火","水","木","金","土","日"))</f>
        <v/>
      </c>
      <c r="C32" s="15" t="n"/>
      <c r="D32" s="15" t="n"/>
      <c r="E32" s="15" t="n"/>
      <c r="F32" s="16">
        <f>IF(OR($N32="",$O32=""),"",MAX(0,MOD($O32-$N32,1)-IF($P32&lt;&gt;"",$P32,IF(MOD($O32-$N32,1)&gt;設定!$E$8,設定!$E$7,0))))</f>
        <v/>
      </c>
      <c r="G32" s="15" t="n"/>
      <c r="H32" s="15" t="n"/>
      <c r="I32" s="15" t="n"/>
      <c r="J32" s="15" t="n"/>
      <c r="K32" s="17">
        <f>IF($A32="","",IFERROR(VLOOKUP($A32,祝日リスト!$A$2:$C$40,3,0),""))</f>
        <v/>
      </c>
      <c r="L32" s="18" t="n"/>
      <c r="M32" s="19">
        <f>IF($A32="","",IF($K32&lt;&gt;"","祝",IF(WEEKDAY($A32,2)=6,"土",IF(WEEKDAY($A32,2)=7,"日","平"))))</f>
        <v/>
      </c>
      <c r="N32" s="19">
        <f>IF(NOT(ISNUMBER($C32)),"",IF($C32&lt;1,$C32,(INT($C32/100)*60+MOD($C32,100))/1440))</f>
        <v/>
      </c>
      <c r="O32" s="19">
        <f>IF(NOT(ISNUMBER($D32)),"",IF($D32&lt;1,$D32,(INT($D32/100)*60+MOD($D32,100))/1440))</f>
        <v/>
      </c>
      <c r="P32" s="19">
        <f>IF(NOT(ISNUMBER($E32)),"",IF($E32&lt;1,$E32,(INT($E32/100)*60+MOD($E32,100))/1440))</f>
        <v/>
      </c>
      <c r="Q32" s="19">
        <f>IF(NOT(ISNUMBER($G32)),"",IF($G32&lt;1,$G32,(INT($G32/100)*60+MOD($G32,100))/1440))</f>
        <v/>
      </c>
      <c r="R32" s="19">
        <f>IF(NOT(ISNUMBER($H32)),"",IF($H32&lt;1,$H32,(INT($H32/100)*60+MOD($H32,100))/1440))</f>
        <v/>
      </c>
      <c r="S32" s="19">
        <f>IF(NOT(ISNUMBER($I32)),"",IF($I32&lt;1,$I32,(INT($I32/100)*60+MOD($I32,100))/1440))</f>
        <v/>
      </c>
      <c r="T32" s="19">
        <f>IF(NOT(ISNUMBER($J32)),"",IF($J32&lt;1,$J32,(INT($J32/100)*60+MOD($J32,100))/1440))</f>
        <v/>
      </c>
    </row>
    <row r="33" ht="19" customHeight="1">
      <c r="A33" s="13">
        <f>IF(A32="","",IF(MONTH(A32+1)=$D$4,A32+1,""))</f>
        <v/>
      </c>
      <c r="B33" s="14">
        <f>IF($A33="","",CHOOSE(WEEKDAY($A33,2),"月","火","水","木","金","土","日"))</f>
        <v/>
      </c>
      <c r="C33" s="15" t="n"/>
      <c r="D33" s="15" t="n"/>
      <c r="E33" s="15" t="n"/>
      <c r="F33" s="16">
        <f>IF(OR($N33="",$O33=""),"",MAX(0,MOD($O33-$N33,1)-IF($P33&lt;&gt;"",$P33,IF(MOD($O33-$N33,1)&gt;設定!$E$8,設定!$E$7,0))))</f>
        <v/>
      </c>
      <c r="G33" s="15" t="n"/>
      <c r="H33" s="15" t="n"/>
      <c r="I33" s="15" t="n"/>
      <c r="J33" s="15" t="n"/>
      <c r="K33" s="17">
        <f>IF($A33="","",IFERROR(VLOOKUP($A33,祝日リスト!$A$2:$C$40,3,0),""))</f>
        <v/>
      </c>
      <c r="L33" s="18" t="n"/>
      <c r="M33" s="19">
        <f>IF($A33="","",IF($K33&lt;&gt;"","祝",IF(WEEKDAY($A33,2)=6,"土",IF(WEEKDAY($A33,2)=7,"日","平"))))</f>
        <v/>
      </c>
      <c r="N33" s="19">
        <f>IF(NOT(ISNUMBER($C33)),"",IF($C33&lt;1,$C33,(INT($C33/100)*60+MOD($C33,100))/1440))</f>
        <v/>
      </c>
      <c r="O33" s="19">
        <f>IF(NOT(ISNUMBER($D33)),"",IF($D33&lt;1,$D33,(INT($D33/100)*60+MOD($D33,100))/1440))</f>
        <v/>
      </c>
      <c r="P33" s="19">
        <f>IF(NOT(ISNUMBER($E33)),"",IF($E33&lt;1,$E33,(INT($E33/100)*60+MOD($E33,100))/1440))</f>
        <v/>
      </c>
      <c r="Q33" s="19">
        <f>IF(NOT(ISNUMBER($G33)),"",IF($G33&lt;1,$G33,(INT($G33/100)*60+MOD($G33,100))/1440))</f>
        <v/>
      </c>
      <c r="R33" s="19">
        <f>IF(NOT(ISNUMBER($H33)),"",IF($H33&lt;1,$H33,(INT($H33/100)*60+MOD($H33,100))/1440))</f>
        <v/>
      </c>
      <c r="S33" s="19">
        <f>IF(NOT(ISNUMBER($I33)),"",IF($I33&lt;1,$I33,(INT($I33/100)*60+MOD($I33,100))/1440))</f>
        <v/>
      </c>
      <c r="T33" s="19">
        <f>IF(NOT(ISNUMBER($J33)),"",IF($J33&lt;1,$J33,(INT($J33/100)*60+MOD($J33,100))/1440))</f>
        <v/>
      </c>
    </row>
    <row r="34" ht="19" customHeight="1">
      <c r="A34" s="13">
        <f>IF(A33="","",IF(MONTH(A33+1)=$D$4,A33+1,""))</f>
        <v/>
      </c>
      <c r="B34" s="14">
        <f>IF($A34="","",CHOOSE(WEEKDAY($A34,2),"月","火","水","木","金","土","日"))</f>
        <v/>
      </c>
      <c r="C34" s="15" t="n">
        <v>900</v>
      </c>
      <c r="D34" s="15" t="n">
        <v>1500</v>
      </c>
      <c r="E34" s="15" t="n"/>
      <c r="F34" s="16">
        <f>IF(OR($N34="",$O34=""),"",MAX(0,MOD($O34-$N34,1)-IF($P34&lt;&gt;"",$P34,IF(MOD($O34-$N34,1)&gt;設定!$E$8,設定!$E$7,0))))</f>
        <v/>
      </c>
      <c r="G34" s="15" t="n"/>
      <c r="H34" s="15" t="n"/>
      <c r="I34" s="15" t="n"/>
      <c r="J34" s="15" t="n"/>
      <c r="K34" s="17">
        <f>IF($A34="","",IFERROR(VLOOKUP($A34,祝日リスト!$A$2:$C$40,3,0),""))</f>
        <v/>
      </c>
      <c r="L34" s="18" t="n"/>
      <c r="M34" s="19">
        <f>IF($A34="","",IF($K34&lt;&gt;"","祝",IF(WEEKDAY($A34,2)=6,"土",IF(WEEKDAY($A34,2)=7,"日","平"))))</f>
        <v/>
      </c>
      <c r="N34" s="19">
        <f>IF(NOT(ISNUMBER($C34)),"",IF($C34&lt;1,$C34,(INT($C34/100)*60+MOD($C34,100))/1440))</f>
        <v/>
      </c>
      <c r="O34" s="19">
        <f>IF(NOT(ISNUMBER($D34)),"",IF($D34&lt;1,$D34,(INT($D34/100)*60+MOD($D34,100))/1440))</f>
        <v/>
      </c>
      <c r="P34" s="19">
        <f>IF(NOT(ISNUMBER($E34)),"",IF($E34&lt;1,$E34,(INT($E34/100)*60+MOD($E34,100))/1440))</f>
        <v/>
      </c>
      <c r="Q34" s="19">
        <f>IF(NOT(ISNUMBER($G34)),"",IF($G34&lt;1,$G34,(INT($G34/100)*60+MOD($G34,100))/1440))</f>
        <v/>
      </c>
      <c r="R34" s="19">
        <f>IF(NOT(ISNUMBER($H34)),"",IF($H34&lt;1,$H34,(INT($H34/100)*60+MOD($H34,100))/1440))</f>
        <v/>
      </c>
      <c r="S34" s="19">
        <f>IF(NOT(ISNUMBER($I34)),"",IF($I34&lt;1,$I34,(INT($I34/100)*60+MOD($I34,100))/1440))</f>
        <v/>
      </c>
      <c r="T34" s="19">
        <f>IF(NOT(ISNUMBER($J34)),"",IF($J34&lt;1,$J34,(INT($J34/100)*60+MOD($J34,100))/1440))</f>
        <v/>
      </c>
    </row>
    <row r="35" ht="19" customHeight="1">
      <c r="A35" s="13">
        <f>IF(A34="","",IF(MONTH(A34+1)=$D$4,A34+1,""))</f>
        <v/>
      </c>
      <c r="B35" s="14">
        <f>IF($A35="","",CHOOSE(WEEKDAY($A35,2),"月","火","水","木","金","土","日"))</f>
        <v/>
      </c>
      <c r="C35" s="15" t="n">
        <v>900</v>
      </c>
      <c r="D35" s="15" t="n">
        <v>1500</v>
      </c>
      <c r="E35" s="15" t="n"/>
      <c r="F35" s="16">
        <f>IF(OR($N35="",$O35=""),"",MAX(0,MOD($O35-$N35,1)-IF($P35&lt;&gt;"",$P35,IF(MOD($O35-$N35,1)&gt;設定!$E$8,設定!$E$7,0))))</f>
        <v/>
      </c>
      <c r="G35" s="15" t="n"/>
      <c r="H35" s="15" t="n"/>
      <c r="I35" s="15" t="n"/>
      <c r="J35" s="15" t="n"/>
      <c r="K35" s="17">
        <f>IF($A35="","",IFERROR(VLOOKUP($A35,祝日リスト!$A$2:$C$40,3,0),""))</f>
        <v/>
      </c>
      <c r="L35" s="18" t="n"/>
      <c r="M35" s="19">
        <f>IF($A35="","",IF($K35&lt;&gt;"","祝",IF(WEEKDAY($A35,2)=6,"土",IF(WEEKDAY($A35,2)=7,"日","平"))))</f>
        <v/>
      </c>
      <c r="N35" s="19">
        <f>IF(NOT(ISNUMBER($C35)),"",IF($C35&lt;1,$C35,(INT($C35/100)*60+MOD($C35,100))/1440))</f>
        <v/>
      </c>
      <c r="O35" s="19">
        <f>IF(NOT(ISNUMBER($D35)),"",IF($D35&lt;1,$D35,(INT($D35/100)*60+MOD($D35,100))/1440))</f>
        <v/>
      </c>
      <c r="P35" s="19">
        <f>IF(NOT(ISNUMBER($E35)),"",IF($E35&lt;1,$E35,(INT($E35/100)*60+MOD($E35,100))/1440))</f>
        <v/>
      </c>
      <c r="Q35" s="19">
        <f>IF(NOT(ISNUMBER($G35)),"",IF($G35&lt;1,$G35,(INT($G35/100)*60+MOD($G35,100))/1440))</f>
        <v/>
      </c>
      <c r="R35" s="19">
        <f>IF(NOT(ISNUMBER($H35)),"",IF($H35&lt;1,$H35,(INT($H35/100)*60+MOD($H35,100))/1440))</f>
        <v/>
      </c>
      <c r="S35" s="19">
        <f>IF(NOT(ISNUMBER($I35)),"",IF($I35&lt;1,$I35,(INT($I35/100)*60+MOD($I35,100))/1440))</f>
        <v/>
      </c>
      <c r="T35" s="19">
        <f>IF(NOT(ISNUMBER($J35)),"",IF($J35&lt;1,$J35,(INT($J35/100)*60+MOD($J35,100))/1440))</f>
        <v/>
      </c>
    </row>
    <row r="36" ht="19" customHeight="1">
      <c r="A36" s="13">
        <f>IF(A35="","",IF(MONTH(A35+1)=$D$4,A35+1,""))</f>
        <v/>
      </c>
      <c r="B36" s="14">
        <f>IF($A36="","",CHOOSE(WEEKDAY($A36,2),"月","火","水","木","金","土","日"))</f>
        <v/>
      </c>
      <c r="C36" s="15" t="n"/>
      <c r="D36" s="15" t="n"/>
      <c r="E36" s="15" t="n"/>
      <c r="F36" s="16">
        <f>IF(OR($N36="",$O36=""),"",MAX(0,MOD($O36-$N36,1)-IF($P36&lt;&gt;"",$P36,IF(MOD($O36-$N36,1)&gt;設定!$E$8,設定!$E$7,0))))</f>
        <v/>
      </c>
      <c r="G36" s="15" t="n"/>
      <c r="H36" s="15" t="n"/>
      <c r="I36" s="15" t="n"/>
      <c r="J36" s="15" t="n"/>
      <c r="K36" s="17">
        <f>IF($A36="","",IFERROR(VLOOKUP($A36,祝日リスト!$A$2:$C$40,3,0),""))</f>
        <v/>
      </c>
      <c r="L36" s="18" t="n"/>
      <c r="M36" s="19">
        <f>IF($A36="","",IF($K36&lt;&gt;"","祝",IF(WEEKDAY($A36,2)=6,"土",IF(WEEKDAY($A36,2)=7,"日","平"))))</f>
        <v/>
      </c>
      <c r="N36" s="19">
        <f>IF(NOT(ISNUMBER($C36)),"",IF($C36&lt;1,$C36,(INT($C36/100)*60+MOD($C36,100))/1440))</f>
        <v/>
      </c>
      <c r="O36" s="19">
        <f>IF(NOT(ISNUMBER($D36)),"",IF($D36&lt;1,$D36,(INT($D36/100)*60+MOD($D36,100))/1440))</f>
        <v/>
      </c>
      <c r="P36" s="19">
        <f>IF(NOT(ISNUMBER($E36)),"",IF($E36&lt;1,$E36,(INT($E36/100)*60+MOD($E36,100))/1440))</f>
        <v/>
      </c>
      <c r="Q36" s="19">
        <f>IF(NOT(ISNUMBER($G36)),"",IF($G36&lt;1,$G36,(INT($G36/100)*60+MOD($G36,100))/1440))</f>
        <v/>
      </c>
      <c r="R36" s="19">
        <f>IF(NOT(ISNUMBER($H36)),"",IF($H36&lt;1,$H36,(INT($H36/100)*60+MOD($H36,100))/1440))</f>
        <v/>
      </c>
      <c r="S36" s="19">
        <f>IF(NOT(ISNUMBER($I36)),"",IF($I36&lt;1,$I36,(INT($I36/100)*60+MOD($I36,100))/1440))</f>
        <v/>
      </c>
      <c r="T36" s="19">
        <f>IF(NOT(ISNUMBER($J36)),"",IF($J36&lt;1,$J36,(INT($J36/100)*60+MOD($J36,100))/1440))</f>
        <v/>
      </c>
    </row>
    <row r="37" ht="19" customHeight="1">
      <c r="A37" s="13">
        <f>IF(A36="","",IF(MONTH(A36+1)=$D$4,A36+1,""))</f>
        <v/>
      </c>
      <c r="B37" s="14">
        <f>IF($A37="","",CHOOSE(WEEKDAY($A37,2),"月","火","水","木","金","土","日"))</f>
        <v/>
      </c>
      <c r="C37" s="15" t="n">
        <v>900</v>
      </c>
      <c r="D37" s="15" t="n">
        <v>1500</v>
      </c>
      <c r="E37" s="15" t="n"/>
      <c r="F37" s="16">
        <f>IF(OR($N37="",$O37=""),"",MAX(0,MOD($O37-$N37,1)-IF($P37&lt;&gt;"",$P37,IF(MOD($O37-$N37,1)&gt;設定!$E$8,設定!$E$7,0))))</f>
        <v/>
      </c>
      <c r="G37" s="15" t="n"/>
      <c r="H37" s="15" t="n"/>
      <c r="I37" s="15" t="n"/>
      <c r="J37" s="15" t="n"/>
      <c r="K37" s="17">
        <f>IF($A37="","",IFERROR(VLOOKUP($A37,祝日リスト!$A$2:$C$40,3,0),""))</f>
        <v/>
      </c>
      <c r="L37" s="18" t="n"/>
      <c r="M37" s="19">
        <f>IF($A37="","",IF($K37&lt;&gt;"","祝",IF(WEEKDAY($A37,2)=6,"土",IF(WEEKDAY($A37,2)=7,"日","平"))))</f>
        <v/>
      </c>
      <c r="N37" s="19">
        <f>IF(NOT(ISNUMBER($C37)),"",IF($C37&lt;1,$C37,(INT($C37/100)*60+MOD($C37,100))/1440))</f>
        <v/>
      </c>
      <c r="O37" s="19">
        <f>IF(NOT(ISNUMBER($D37)),"",IF($D37&lt;1,$D37,(INT($D37/100)*60+MOD($D37,100))/1440))</f>
        <v/>
      </c>
      <c r="P37" s="19">
        <f>IF(NOT(ISNUMBER($E37)),"",IF($E37&lt;1,$E37,(INT($E37/100)*60+MOD($E37,100))/1440))</f>
        <v/>
      </c>
      <c r="Q37" s="19">
        <f>IF(NOT(ISNUMBER($G37)),"",IF($G37&lt;1,$G37,(INT($G37/100)*60+MOD($G37,100))/1440))</f>
        <v/>
      </c>
      <c r="R37" s="19">
        <f>IF(NOT(ISNUMBER($H37)),"",IF($H37&lt;1,$H37,(INT($H37/100)*60+MOD($H37,100))/1440))</f>
        <v/>
      </c>
      <c r="S37" s="19">
        <f>IF(NOT(ISNUMBER($I37)),"",IF($I37&lt;1,$I37,(INT($I37/100)*60+MOD($I37,100))/1440))</f>
        <v/>
      </c>
      <c r="T37" s="19">
        <f>IF(NOT(ISNUMBER($J37)),"",IF($J37&lt;1,$J37,(INT($J37/100)*60+MOD($J37,100))/1440))</f>
        <v/>
      </c>
    </row>
    <row r="38" ht="19" customHeight="1">
      <c r="A38" s="20">
        <f>IF(A37="","",IF(MONTH(A37+1)=$D$4,A37+1,""))</f>
        <v/>
      </c>
      <c r="B38" s="21">
        <f>IF($A38="","",CHOOSE(WEEKDAY($A38,2),"月","火","水","木","金","土","日"))</f>
        <v/>
      </c>
      <c r="C38" s="22" t="n"/>
      <c r="D38" s="22" t="n"/>
      <c r="E38" s="22" t="n"/>
      <c r="F38" s="23">
        <f>IF(OR($N38="",$O38=""),"",MAX(0,MOD($O38-$N38,1)-IF($P38&lt;&gt;"",$P38,IF(MOD($O38-$N38,1)&gt;設定!$E$8,設定!$E$7,0))))</f>
        <v/>
      </c>
      <c r="G38" s="22" t="n"/>
      <c r="H38" s="22" t="n"/>
      <c r="I38" s="22" t="n"/>
      <c r="J38" s="22" t="n"/>
      <c r="K38" s="24">
        <f>IF($A38="","",IFERROR(VLOOKUP($A38,祝日リスト!$A$2:$C$40,3,0),""))</f>
        <v/>
      </c>
      <c r="L38" s="25" t="n"/>
      <c r="M38" s="19">
        <f>IF($A38="","",IF($K38&lt;&gt;"","祝",IF(WEEKDAY($A38,2)=6,"土",IF(WEEKDAY($A38,2)=7,"日","平"))))</f>
        <v/>
      </c>
      <c r="N38" s="19">
        <f>IF(NOT(ISNUMBER($C38)),"",IF($C38&lt;1,$C38,(INT($C38/100)*60+MOD($C38,100))/1440))</f>
        <v/>
      </c>
      <c r="O38" s="19">
        <f>IF(NOT(ISNUMBER($D38)),"",IF($D38&lt;1,$D38,(INT($D38/100)*60+MOD($D38,100))/1440))</f>
        <v/>
      </c>
      <c r="P38" s="19">
        <f>IF(NOT(ISNUMBER($E38)),"",IF($E38&lt;1,$E38,(INT($E38/100)*60+MOD($E38,100))/1440))</f>
        <v/>
      </c>
      <c r="Q38" s="19">
        <f>IF(NOT(ISNUMBER($G38)),"",IF($G38&lt;1,$G38,(INT($G38/100)*60+MOD($G38,100))/1440))</f>
        <v/>
      </c>
      <c r="R38" s="19">
        <f>IF(NOT(ISNUMBER($H38)),"",IF($H38&lt;1,$H38,(INT($H38/100)*60+MOD($H38,100))/1440))</f>
        <v/>
      </c>
      <c r="S38" s="19">
        <f>IF(NOT(ISNUMBER($I38)),"",IF($I38&lt;1,$I38,(INT($I38/100)*60+MOD($I38,100))/1440))</f>
        <v/>
      </c>
      <c r="T38" s="19">
        <f>IF(NOT(ISNUMBER($J38)),"",IF($J38&lt;1,$J38,(INT($J38/100)*60+MOD($J38,100))/1440))</f>
        <v/>
      </c>
    </row>
    <row r="40" ht="20" customHeight="1">
      <c r="A40" s="26" t="inlineStr">
        <is>
          <t>月次集計</t>
        </is>
      </c>
    </row>
    <row r="41" ht="18" customHeight="1">
      <c r="A41" s="27" t="inlineStr">
        <is>
          <t>出勤日数</t>
        </is>
      </c>
      <c r="D41" s="28">
        <f>COUNT($N$8:$N$38)</f>
        <v/>
      </c>
      <c r="E41" s="29" t="inlineStr">
        <is>
          <t>日</t>
        </is>
      </c>
      <c r="G41" s="27" t="inlineStr">
        <is>
          <t>通常残業</t>
        </is>
      </c>
      <c r="K41" s="30">
        <f>SUM($Q$8:$Q$38)</f>
        <v/>
      </c>
    </row>
    <row r="42" ht="18" customHeight="1">
      <c r="A42" s="27" t="inlineStr">
        <is>
          <t>実働時間 合計</t>
        </is>
      </c>
      <c r="D42" s="30">
        <f>SUM($F$8:$F$38)</f>
        <v/>
      </c>
      <c r="G42" s="27" t="inlineStr">
        <is>
          <t>深夜残業</t>
        </is>
      </c>
      <c r="K42" s="30">
        <f>SUM($R$8:$R$38)</f>
        <v/>
      </c>
    </row>
    <row r="43" ht="18" customHeight="1">
      <c r="A43" s="31" t="inlineStr">
        <is>
          <t xml:space="preserve">　うち 平日</t>
        </is>
      </c>
      <c r="D43" s="30">
        <f>SUMIF($M$8:$M$38,"平",$F$8:$F$38)</f>
        <v/>
      </c>
      <c r="G43" s="27" t="inlineStr">
        <is>
          <t>早朝残業</t>
        </is>
      </c>
      <c r="K43" s="30">
        <f>SUM($S$8:$S$38)</f>
        <v/>
      </c>
    </row>
    <row r="44" ht="18" customHeight="1">
      <c r="A44" s="31" t="inlineStr">
        <is>
          <t xml:space="preserve">　うち 土曜</t>
        </is>
      </c>
      <c r="D44" s="30">
        <f>SUMIF($M$8:$M$38,"土",$F$8:$F$38)</f>
        <v/>
      </c>
      <c r="G44" s="27" t="inlineStr">
        <is>
          <t>遅刻・早退</t>
        </is>
      </c>
      <c r="K44" s="30">
        <f>SUM($T$8:$T$38)</f>
        <v/>
      </c>
    </row>
    <row r="45" ht="18" customHeight="1">
      <c r="A45" s="31" t="inlineStr">
        <is>
          <t xml:space="preserve">　うち 日曜・祝日</t>
        </is>
      </c>
      <c r="D45" s="30">
        <f>SUMIF($M$8:$M$38,"日",$F$8:$F$38)+SUMIF($M$8:$M$38,"祝",$F$8:$F$38)</f>
        <v/>
      </c>
      <c r="G45" s="27" t="inlineStr">
        <is>
          <t>所定超過(実働-所定×出勤日数)</t>
        </is>
      </c>
      <c r="K45" s="30">
        <f>MAX(0,SUM($F$8:$F$38)-設定!$E$6*COUNT($N$8:$N$38))</f>
        <v/>
      </c>
    </row>
    <row r="47">
      <c r="A47" s="11" t="inlineStr">
        <is>
          <t>※ 残業欄は実働時間の内数です。実働は「退勤－出勤－休憩」で自動計算されます。</t>
        </is>
      </c>
    </row>
    <row r="49" ht="30" customHeight="1">
      <c r="G49" s="9" t="inlineStr">
        <is>
          <t>承認</t>
        </is>
      </c>
      <c r="H49" s="32" t="n"/>
      <c r="J49" s="32" t="n"/>
    </row>
    <row r="50">
      <c r="H50" s="33" t="inlineStr">
        <is>
          <t>本人</t>
        </is>
      </c>
      <c r="J50" s="33" t="inlineStr">
        <is>
          <t>上長</t>
        </is>
      </c>
    </row>
  </sheetData>
  <mergeCells count="15">
    <mergeCell ref="G44:J44"/>
    <mergeCell ref="A42:C42"/>
    <mergeCell ref="A41:C41"/>
    <mergeCell ref="A44:C44"/>
    <mergeCell ref="A45:C45"/>
    <mergeCell ref="G43:J43"/>
    <mergeCell ref="H49:I49"/>
    <mergeCell ref="J49:K49"/>
    <mergeCell ref="A40:L40"/>
    <mergeCell ref="J4:L4"/>
    <mergeCell ref="A2:D2"/>
    <mergeCell ref="G41:J41"/>
    <mergeCell ref="A43:C43"/>
    <mergeCell ref="G45:J45"/>
    <mergeCell ref="G42:J42"/>
  </mergeCells>
  <conditionalFormatting sqref="A8:L38">
    <cfRule type="expression" priority="1" dxfId="0" stopIfTrue="1">
      <formula>$A8=""</formula>
    </cfRule>
    <cfRule type="expression" priority="2" dxfId="1">
      <formula>OR($M8="祝",$M8="日")</formula>
    </cfRule>
    <cfRule type="expression" priority="3" dxfId="2">
      <formula>$M8="土"</formula>
    </cfRule>
  </conditionalFormatting>
  <conditionalFormatting sqref="D8:D38">
    <cfRule type="expression" priority="4" dxfId="3">
      <formula>AND($N8&lt;&gt;"",$O8="")</formula>
    </cfRule>
  </conditionalFormatting>
  <conditionalFormatting sqref="C8:C38">
    <cfRule type="expression" priority="5" dxfId="3">
      <formula>AND($O8&lt;&gt;"",$N8="")</formula>
    </cfRule>
  </conditionalFormatting>
  <dataValidations count="2">
    <dataValidation sqref="L8:L38" showDropDown="0" showInputMessage="1" showErrorMessage="0" allowBlank="1" promptTitle="備考" prompt="選択、または自由入力できます" type="list">
      <formula1>"有給,半休,欠勤,遅刻,早退,休日出勤,振替休日,直行,直帰,出張,特別休暇"</formula1>
    </dataValidation>
    <dataValidation sqref="C8:C38 D8:D38 E8:E38 G8:G38 H8:H38 I8:I38 J8:J38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=OR(AND(C8&gt;=0,C8&lt;1),AND(C8=INT(C8),C8&lt;=2359,MOD(C8,100)&lt;60))</formula1>
    </dataValidation>
  </dataValidations>
  <pageMargins left="0.3" right="0.3" top="0.4" bottom="0.4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FF4472C4"/>
    <outlinePr summaryBelow="1" summaryRight="1"/>
    <pageSetUpPr fitToPage="1"/>
  </sheetPr>
  <dimension ref="A2:T5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.5" customWidth="1" min="1" max="1"/>
    <col width="4.5" customWidth="1" min="2" max="2"/>
    <col width="8.5" customWidth="1" min="3" max="3"/>
    <col width="8.5" customWidth="1" min="4" max="4"/>
    <col width="8" customWidth="1" min="5" max="5"/>
    <col width="8.5" customWidth="1" min="6" max="6"/>
    <col width="9" customWidth="1" min="7" max="7"/>
    <col width="9" customWidth="1" min="8" max="8"/>
    <col width="9" customWidth="1" min="9" max="9"/>
    <col width="10" customWidth="1" min="10" max="10"/>
    <col width="14" customWidth="1" min="11" max="11"/>
    <col width="26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2" ht="24" customHeight="1">
      <c r="A2" s="8">
        <f>設定!$B$4&amp;"　"&amp;設定!$B$3&amp;"年"&amp;5&amp;"月度 出勤簿"</f>
        <v/>
      </c>
    </row>
    <row r="4">
      <c r="A4" s="9" t="inlineStr">
        <is>
          <t>年</t>
        </is>
      </c>
      <c r="B4" s="10">
        <f>設定!$B$3</f>
        <v/>
      </c>
      <c r="C4" s="9" t="inlineStr">
        <is>
          <t>月</t>
        </is>
      </c>
      <c r="D4" s="10" t="n">
        <v>5</v>
      </c>
      <c r="G4" s="9" t="inlineStr">
        <is>
          <t>所属</t>
        </is>
      </c>
      <c r="H4" s="10">
        <f>設定!$B$5</f>
        <v/>
      </c>
      <c r="I4" s="9" t="inlineStr">
        <is>
          <t>氏名</t>
        </is>
      </c>
      <c r="J4" s="10">
        <f>設定!$B$4</f>
        <v/>
      </c>
    </row>
    <row r="5">
      <c r="A5" s="11" t="inlineStr">
        <is>
          <t>黄色のセルに入力してください（灰色は自動計算）。時刻は 930 のようにコロンなしで入力できます。</t>
        </is>
      </c>
    </row>
    <row r="7" ht="26" customHeight="1">
      <c r="A7" s="12" t="inlineStr">
        <is>
          <t>日</t>
        </is>
      </c>
      <c r="B7" s="12" t="inlineStr">
        <is>
          <t>曜</t>
        </is>
      </c>
      <c r="C7" s="12" t="inlineStr">
        <is>
          <t>出勤</t>
        </is>
      </c>
      <c r="D7" s="12" t="inlineStr">
        <is>
          <t>退勤</t>
        </is>
      </c>
      <c r="E7" s="12" t="inlineStr">
        <is>
          <t>休憩</t>
        </is>
      </c>
      <c r="F7" s="12" t="inlineStr">
        <is>
          <t>実働</t>
        </is>
      </c>
      <c r="G7" s="12" t="inlineStr">
        <is>
          <t>通常残業</t>
        </is>
      </c>
      <c r="H7" s="12" t="inlineStr">
        <is>
          <t>深夜残業</t>
        </is>
      </c>
      <c r="I7" s="12" t="inlineStr">
        <is>
          <t>早朝残業</t>
        </is>
      </c>
      <c r="J7" s="12" t="inlineStr">
        <is>
          <t>遅刻・早退</t>
        </is>
      </c>
      <c r="K7" s="12" t="inlineStr">
        <is>
          <t>祝日</t>
        </is>
      </c>
      <c r="L7" s="12" t="inlineStr">
        <is>
          <t>備考・理由</t>
        </is>
      </c>
    </row>
    <row r="8" ht="19" customHeight="1">
      <c r="A8" s="13">
        <f>DATE($B$4,$D$4,1)</f>
        <v/>
      </c>
      <c r="B8" s="14">
        <f>IF($A8="","",CHOOSE(WEEKDAY($A8,2),"月","火","水","木","金","土","日"))</f>
        <v/>
      </c>
      <c r="C8" s="15" t="n">
        <v>900</v>
      </c>
      <c r="D8" s="15" t="n">
        <v>1500</v>
      </c>
      <c r="E8" s="15" t="n"/>
      <c r="F8" s="16">
        <f>IF(OR($N8="",$O8=""),"",MAX(0,MOD($O8-$N8,1)-IF($P8&lt;&gt;"",$P8,IF(MOD($O8-$N8,1)&gt;設定!$E$8,設定!$E$7,0))))</f>
        <v/>
      </c>
      <c r="G8" s="15" t="n"/>
      <c r="H8" s="15" t="n"/>
      <c r="I8" s="15" t="n"/>
      <c r="J8" s="15" t="n"/>
      <c r="K8" s="17">
        <f>IF($A8="","",IFERROR(VLOOKUP($A8,祝日リスト!$A$2:$C$40,3,0),""))</f>
        <v/>
      </c>
      <c r="L8" s="18" t="n"/>
      <c r="M8" s="19">
        <f>IF($A8="","",IF($K8&lt;&gt;"","祝",IF(WEEKDAY($A8,2)=6,"土",IF(WEEKDAY($A8,2)=7,"日","平"))))</f>
        <v/>
      </c>
      <c r="N8" s="19">
        <f>IF(NOT(ISNUMBER($C8)),"",IF($C8&lt;1,$C8,(INT($C8/100)*60+MOD($C8,100))/1440))</f>
        <v/>
      </c>
      <c r="O8" s="19">
        <f>IF(NOT(ISNUMBER($D8)),"",IF($D8&lt;1,$D8,(INT($D8/100)*60+MOD($D8,100))/1440))</f>
        <v/>
      </c>
      <c r="P8" s="19">
        <f>IF(NOT(ISNUMBER($E8)),"",IF($E8&lt;1,$E8,(INT($E8/100)*60+MOD($E8,100))/1440))</f>
        <v/>
      </c>
      <c r="Q8" s="19">
        <f>IF(NOT(ISNUMBER($G8)),"",IF($G8&lt;1,$G8,(INT($G8/100)*60+MOD($G8,100))/1440))</f>
        <v/>
      </c>
      <c r="R8" s="19">
        <f>IF(NOT(ISNUMBER($H8)),"",IF($H8&lt;1,$H8,(INT($H8/100)*60+MOD($H8,100))/1440))</f>
        <v/>
      </c>
      <c r="S8" s="19">
        <f>IF(NOT(ISNUMBER($I8)),"",IF($I8&lt;1,$I8,(INT($I8/100)*60+MOD($I8,100))/1440))</f>
        <v/>
      </c>
      <c r="T8" s="19">
        <f>IF(NOT(ISNUMBER($J8)),"",IF($J8&lt;1,$J8,(INT($J8/100)*60+MOD($J8,100))/1440))</f>
        <v/>
      </c>
    </row>
    <row r="9" ht="19" customHeight="1">
      <c r="A9" s="13">
        <f>IF(A8="","",IF(MONTH(A8+1)=$D$4,A8+1,""))</f>
        <v/>
      </c>
      <c r="B9" s="14">
        <f>IF($A9="","",CHOOSE(WEEKDAY($A9,2),"月","火","水","木","金","土","日"))</f>
        <v/>
      </c>
      <c r="C9" s="15" t="n"/>
      <c r="D9" s="15" t="n"/>
      <c r="E9" s="15" t="n"/>
      <c r="F9" s="16">
        <f>IF(OR($N9="",$O9=""),"",MAX(0,MOD($O9-$N9,1)-IF($P9&lt;&gt;"",$P9,IF(MOD($O9-$N9,1)&gt;設定!$E$8,設定!$E$7,0))))</f>
        <v/>
      </c>
      <c r="G9" s="15" t="n"/>
      <c r="H9" s="15" t="n"/>
      <c r="I9" s="15" t="n"/>
      <c r="J9" s="15" t="n"/>
      <c r="K9" s="17">
        <f>IF($A9="","",IFERROR(VLOOKUP($A9,祝日リスト!$A$2:$C$40,3,0),""))</f>
        <v/>
      </c>
      <c r="L9" s="18" t="n"/>
      <c r="M9" s="19">
        <f>IF($A9="","",IF($K9&lt;&gt;"","祝",IF(WEEKDAY($A9,2)=6,"土",IF(WEEKDAY($A9,2)=7,"日","平"))))</f>
        <v/>
      </c>
      <c r="N9" s="19">
        <f>IF(NOT(ISNUMBER($C9)),"",IF($C9&lt;1,$C9,(INT($C9/100)*60+MOD($C9,100))/1440))</f>
        <v/>
      </c>
      <c r="O9" s="19">
        <f>IF(NOT(ISNUMBER($D9)),"",IF($D9&lt;1,$D9,(INT($D9/100)*60+MOD($D9,100))/1440))</f>
        <v/>
      </c>
      <c r="P9" s="19">
        <f>IF(NOT(ISNUMBER($E9)),"",IF($E9&lt;1,$E9,(INT($E9/100)*60+MOD($E9,100))/1440))</f>
        <v/>
      </c>
      <c r="Q9" s="19">
        <f>IF(NOT(ISNUMBER($G9)),"",IF($G9&lt;1,$G9,(INT($G9/100)*60+MOD($G9,100))/1440))</f>
        <v/>
      </c>
      <c r="R9" s="19">
        <f>IF(NOT(ISNUMBER($H9)),"",IF($H9&lt;1,$H9,(INT($H9/100)*60+MOD($H9,100))/1440))</f>
        <v/>
      </c>
      <c r="S9" s="19">
        <f>IF(NOT(ISNUMBER($I9)),"",IF($I9&lt;1,$I9,(INT($I9/100)*60+MOD($I9,100))/1440))</f>
        <v/>
      </c>
      <c r="T9" s="19">
        <f>IF(NOT(ISNUMBER($J9)),"",IF($J9&lt;1,$J9,(INT($J9/100)*60+MOD($J9,100))/1440))</f>
        <v/>
      </c>
    </row>
    <row r="10" ht="19" customHeight="1">
      <c r="A10" s="13">
        <f>IF(A9="","",IF(MONTH(A9+1)=$D$4,A9+1,""))</f>
        <v/>
      </c>
      <c r="B10" s="14">
        <f>IF($A10="","",CHOOSE(WEEKDAY($A10,2),"月","火","水","木","金","土","日"))</f>
        <v/>
      </c>
      <c r="C10" s="15" t="n"/>
      <c r="D10" s="15" t="n"/>
      <c r="E10" s="15" t="n"/>
      <c r="F10" s="16">
        <f>IF(OR($N10="",$O10=""),"",MAX(0,MOD($O10-$N10,1)-IF($P10&lt;&gt;"",$P10,IF(MOD($O10-$N10,1)&gt;設定!$E$8,設定!$E$7,0))))</f>
        <v/>
      </c>
      <c r="G10" s="15" t="n"/>
      <c r="H10" s="15" t="n"/>
      <c r="I10" s="15" t="n"/>
      <c r="J10" s="15" t="n"/>
      <c r="K10" s="17">
        <f>IF($A10="","",IFERROR(VLOOKUP($A10,祝日リスト!$A$2:$C$40,3,0),""))</f>
        <v/>
      </c>
      <c r="L10" s="18" t="n"/>
      <c r="M10" s="19">
        <f>IF($A10="","",IF($K10&lt;&gt;"","祝",IF(WEEKDAY($A10,2)=6,"土",IF(WEEKDAY($A10,2)=7,"日","平"))))</f>
        <v/>
      </c>
      <c r="N10" s="19">
        <f>IF(NOT(ISNUMBER($C10)),"",IF($C10&lt;1,$C10,(INT($C10/100)*60+MOD($C10,100))/1440))</f>
        <v/>
      </c>
      <c r="O10" s="19">
        <f>IF(NOT(ISNUMBER($D10)),"",IF($D10&lt;1,$D10,(INT($D10/100)*60+MOD($D10,100))/1440))</f>
        <v/>
      </c>
      <c r="P10" s="19">
        <f>IF(NOT(ISNUMBER($E10)),"",IF($E10&lt;1,$E10,(INT($E10/100)*60+MOD($E10,100))/1440))</f>
        <v/>
      </c>
      <c r="Q10" s="19">
        <f>IF(NOT(ISNUMBER($G10)),"",IF($G10&lt;1,$G10,(INT($G10/100)*60+MOD($G10,100))/1440))</f>
        <v/>
      </c>
      <c r="R10" s="19">
        <f>IF(NOT(ISNUMBER($H10)),"",IF($H10&lt;1,$H10,(INT($H10/100)*60+MOD($H10,100))/1440))</f>
        <v/>
      </c>
      <c r="S10" s="19">
        <f>IF(NOT(ISNUMBER($I10)),"",IF($I10&lt;1,$I10,(INT($I10/100)*60+MOD($I10,100))/1440))</f>
        <v/>
      </c>
      <c r="T10" s="19">
        <f>IF(NOT(ISNUMBER($J10)),"",IF($J10&lt;1,$J10,(INT($J10/100)*60+MOD($J10,100))/1440))</f>
        <v/>
      </c>
    </row>
    <row r="11" ht="19" customHeight="1">
      <c r="A11" s="13">
        <f>IF(A10="","",IF(MONTH(A10+1)=$D$4,A10+1,""))</f>
        <v/>
      </c>
      <c r="B11" s="14">
        <f>IF($A11="","",CHOOSE(WEEKDAY($A11,2),"月","火","水","木","金","土","日"))</f>
        <v/>
      </c>
      <c r="C11" s="15" t="n"/>
      <c r="D11" s="15" t="n"/>
      <c r="E11" s="15" t="n"/>
      <c r="F11" s="16">
        <f>IF(OR($N11="",$O11=""),"",MAX(0,MOD($O11-$N11,1)-IF($P11&lt;&gt;"",$P11,IF(MOD($O11-$N11,1)&gt;設定!$E$8,設定!$E$7,0))))</f>
        <v/>
      </c>
      <c r="G11" s="15" t="n"/>
      <c r="H11" s="15" t="n"/>
      <c r="I11" s="15" t="n"/>
      <c r="J11" s="15" t="n"/>
      <c r="K11" s="17">
        <f>IF($A11="","",IFERROR(VLOOKUP($A11,祝日リスト!$A$2:$C$40,3,0),""))</f>
        <v/>
      </c>
      <c r="L11" s="18" t="n"/>
      <c r="M11" s="19">
        <f>IF($A11="","",IF($K11&lt;&gt;"","祝",IF(WEEKDAY($A11,2)=6,"土",IF(WEEKDAY($A11,2)=7,"日","平"))))</f>
        <v/>
      </c>
      <c r="N11" s="19">
        <f>IF(NOT(ISNUMBER($C11)),"",IF($C11&lt;1,$C11,(INT($C11/100)*60+MOD($C11,100))/1440))</f>
        <v/>
      </c>
      <c r="O11" s="19">
        <f>IF(NOT(ISNUMBER($D11)),"",IF($D11&lt;1,$D11,(INT($D11/100)*60+MOD($D11,100))/1440))</f>
        <v/>
      </c>
      <c r="P11" s="19">
        <f>IF(NOT(ISNUMBER($E11)),"",IF($E11&lt;1,$E11,(INT($E11/100)*60+MOD($E11,100))/1440))</f>
        <v/>
      </c>
      <c r="Q11" s="19">
        <f>IF(NOT(ISNUMBER($G11)),"",IF($G11&lt;1,$G11,(INT($G11/100)*60+MOD($G11,100))/1440))</f>
        <v/>
      </c>
      <c r="R11" s="19">
        <f>IF(NOT(ISNUMBER($H11)),"",IF($H11&lt;1,$H11,(INT($H11/100)*60+MOD($H11,100))/1440))</f>
        <v/>
      </c>
      <c r="S11" s="19">
        <f>IF(NOT(ISNUMBER($I11)),"",IF($I11&lt;1,$I11,(INT($I11/100)*60+MOD($I11,100))/1440))</f>
        <v/>
      </c>
      <c r="T11" s="19">
        <f>IF(NOT(ISNUMBER($J11)),"",IF($J11&lt;1,$J11,(INT($J11/100)*60+MOD($J11,100))/1440))</f>
        <v/>
      </c>
    </row>
    <row r="12" ht="19" customHeight="1">
      <c r="A12" s="13">
        <f>IF(A11="","",IF(MONTH(A11+1)=$D$4,A11+1,""))</f>
        <v/>
      </c>
      <c r="B12" s="14">
        <f>IF($A12="","",CHOOSE(WEEKDAY($A12,2),"月","火","水","木","金","土","日"))</f>
        <v/>
      </c>
      <c r="C12" s="15" t="n"/>
      <c r="D12" s="15" t="n"/>
      <c r="E12" s="15" t="n"/>
      <c r="F12" s="16">
        <f>IF(OR($N12="",$O12=""),"",MAX(0,MOD($O12-$N12,1)-IF($P12&lt;&gt;"",$P12,IF(MOD($O12-$N12,1)&gt;設定!$E$8,設定!$E$7,0))))</f>
        <v/>
      </c>
      <c r="G12" s="15" t="n"/>
      <c r="H12" s="15" t="n"/>
      <c r="I12" s="15" t="n"/>
      <c r="J12" s="15" t="n"/>
      <c r="K12" s="17">
        <f>IF($A12="","",IFERROR(VLOOKUP($A12,祝日リスト!$A$2:$C$40,3,0),""))</f>
        <v/>
      </c>
      <c r="L12" s="18" t="n"/>
      <c r="M12" s="19">
        <f>IF($A12="","",IF($K12&lt;&gt;"","祝",IF(WEEKDAY($A12,2)=6,"土",IF(WEEKDAY($A12,2)=7,"日","平"))))</f>
        <v/>
      </c>
      <c r="N12" s="19">
        <f>IF(NOT(ISNUMBER($C12)),"",IF($C12&lt;1,$C12,(INT($C12/100)*60+MOD($C12,100))/1440))</f>
        <v/>
      </c>
      <c r="O12" s="19">
        <f>IF(NOT(ISNUMBER($D12)),"",IF($D12&lt;1,$D12,(INT($D12/100)*60+MOD($D12,100))/1440))</f>
        <v/>
      </c>
      <c r="P12" s="19">
        <f>IF(NOT(ISNUMBER($E12)),"",IF($E12&lt;1,$E12,(INT($E12/100)*60+MOD($E12,100))/1440))</f>
        <v/>
      </c>
      <c r="Q12" s="19">
        <f>IF(NOT(ISNUMBER($G12)),"",IF($G12&lt;1,$G12,(INT($G12/100)*60+MOD($G12,100))/1440))</f>
        <v/>
      </c>
      <c r="R12" s="19">
        <f>IF(NOT(ISNUMBER($H12)),"",IF($H12&lt;1,$H12,(INT($H12/100)*60+MOD($H12,100))/1440))</f>
        <v/>
      </c>
      <c r="S12" s="19">
        <f>IF(NOT(ISNUMBER($I12)),"",IF($I12&lt;1,$I12,(INT($I12/100)*60+MOD($I12,100))/1440))</f>
        <v/>
      </c>
      <c r="T12" s="19">
        <f>IF(NOT(ISNUMBER($J12)),"",IF($J12&lt;1,$J12,(INT($J12/100)*60+MOD($J12,100))/1440))</f>
        <v/>
      </c>
    </row>
    <row r="13" ht="19" customHeight="1">
      <c r="A13" s="13">
        <f>IF(A12="","",IF(MONTH(A12+1)=$D$4,A12+1,""))</f>
        <v/>
      </c>
      <c r="B13" s="14">
        <f>IF($A13="","",CHOOSE(WEEKDAY($A13,2),"月","火","水","木","金","土","日"))</f>
        <v/>
      </c>
      <c r="C13" s="15" t="n"/>
      <c r="D13" s="15" t="n"/>
      <c r="E13" s="15" t="n"/>
      <c r="F13" s="16">
        <f>IF(OR($N13="",$O13=""),"",MAX(0,MOD($O13-$N13,1)-IF($P13&lt;&gt;"",$P13,IF(MOD($O13-$N13,1)&gt;設定!$E$8,設定!$E$7,0))))</f>
        <v/>
      </c>
      <c r="G13" s="15" t="n"/>
      <c r="H13" s="15" t="n"/>
      <c r="I13" s="15" t="n"/>
      <c r="J13" s="15" t="n"/>
      <c r="K13" s="17">
        <f>IF($A13="","",IFERROR(VLOOKUP($A13,祝日リスト!$A$2:$C$40,3,0),""))</f>
        <v/>
      </c>
      <c r="L13" s="18" t="n"/>
      <c r="M13" s="19">
        <f>IF($A13="","",IF($K13&lt;&gt;"","祝",IF(WEEKDAY($A13,2)=6,"土",IF(WEEKDAY($A13,2)=7,"日","平"))))</f>
        <v/>
      </c>
      <c r="N13" s="19">
        <f>IF(NOT(ISNUMBER($C13)),"",IF($C13&lt;1,$C13,(INT($C13/100)*60+MOD($C13,100))/1440))</f>
        <v/>
      </c>
      <c r="O13" s="19">
        <f>IF(NOT(ISNUMBER($D13)),"",IF($D13&lt;1,$D13,(INT($D13/100)*60+MOD($D13,100))/1440))</f>
        <v/>
      </c>
      <c r="P13" s="19">
        <f>IF(NOT(ISNUMBER($E13)),"",IF($E13&lt;1,$E13,(INT($E13/100)*60+MOD($E13,100))/1440))</f>
        <v/>
      </c>
      <c r="Q13" s="19">
        <f>IF(NOT(ISNUMBER($G13)),"",IF($G13&lt;1,$G13,(INT($G13/100)*60+MOD($G13,100))/1440))</f>
        <v/>
      </c>
      <c r="R13" s="19">
        <f>IF(NOT(ISNUMBER($H13)),"",IF($H13&lt;1,$H13,(INT($H13/100)*60+MOD($H13,100))/1440))</f>
        <v/>
      </c>
      <c r="S13" s="19">
        <f>IF(NOT(ISNUMBER($I13)),"",IF($I13&lt;1,$I13,(INT($I13/100)*60+MOD($I13,100))/1440))</f>
        <v/>
      </c>
      <c r="T13" s="19">
        <f>IF(NOT(ISNUMBER($J13)),"",IF($J13&lt;1,$J13,(INT($J13/100)*60+MOD($J13,100))/1440))</f>
        <v/>
      </c>
    </row>
    <row r="14" ht="19" customHeight="1">
      <c r="A14" s="13">
        <f>IF(A13="","",IF(MONTH(A13+1)=$D$4,A13+1,""))</f>
        <v/>
      </c>
      <c r="B14" s="14">
        <f>IF($A14="","",CHOOSE(WEEKDAY($A14,2),"月","火","水","木","金","土","日"))</f>
        <v/>
      </c>
      <c r="C14" s="15" t="n"/>
      <c r="D14" s="15" t="n"/>
      <c r="E14" s="15" t="n"/>
      <c r="F14" s="16">
        <f>IF(OR($N14="",$O14=""),"",MAX(0,MOD($O14-$N14,1)-IF($P14&lt;&gt;"",$P14,IF(MOD($O14-$N14,1)&gt;設定!$E$8,設定!$E$7,0))))</f>
        <v/>
      </c>
      <c r="G14" s="15" t="n"/>
      <c r="H14" s="15" t="n"/>
      <c r="I14" s="15" t="n"/>
      <c r="J14" s="15" t="n"/>
      <c r="K14" s="17">
        <f>IF($A14="","",IFERROR(VLOOKUP($A14,祝日リスト!$A$2:$C$40,3,0),""))</f>
        <v/>
      </c>
      <c r="L14" s="18" t="n"/>
      <c r="M14" s="19">
        <f>IF($A14="","",IF($K14&lt;&gt;"","祝",IF(WEEKDAY($A14,2)=6,"土",IF(WEEKDAY($A14,2)=7,"日","平"))))</f>
        <v/>
      </c>
      <c r="N14" s="19">
        <f>IF(NOT(ISNUMBER($C14)),"",IF($C14&lt;1,$C14,(INT($C14/100)*60+MOD($C14,100))/1440))</f>
        <v/>
      </c>
      <c r="O14" s="19">
        <f>IF(NOT(ISNUMBER($D14)),"",IF($D14&lt;1,$D14,(INT($D14/100)*60+MOD($D14,100))/1440))</f>
        <v/>
      </c>
      <c r="P14" s="19">
        <f>IF(NOT(ISNUMBER($E14)),"",IF($E14&lt;1,$E14,(INT($E14/100)*60+MOD($E14,100))/1440))</f>
        <v/>
      </c>
      <c r="Q14" s="19">
        <f>IF(NOT(ISNUMBER($G14)),"",IF($G14&lt;1,$G14,(INT($G14/100)*60+MOD($G14,100))/1440))</f>
        <v/>
      </c>
      <c r="R14" s="19">
        <f>IF(NOT(ISNUMBER($H14)),"",IF($H14&lt;1,$H14,(INT($H14/100)*60+MOD($H14,100))/1440))</f>
        <v/>
      </c>
      <c r="S14" s="19">
        <f>IF(NOT(ISNUMBER($I14)),"",IF($I14&lt;1,$I14,(INT($I14/100)*60+MOD($I14,100))/1440))</f>
        <v/>
      </c>
      <c r="T14" s="19">
        <f>IF(NOT(ISNUMBER($J14)),"",IF($J14&lt;1,$J14,(INT($J14/100)*60+MOD($J14,100))/1440))</f>
        <v/>
      </c>
    </row>
    <row r="15" ht="19" customHeight="1">
      <c r="A15" s="13">
        <f>IF(A14="","",IF(MONTH(A14+1)=$D$4,A14+1,""))</f>
        <v/>
      </c>
      <c r="B15" s="14">
        <f>IF($A15="","",CHOOSE(WEEKDAY($A15,2),"月","火","水","木","金","土","日"))</f>
        <v/>
      </c>
      <c r="C15" s="15" t="n">
        <v>900</v>
      </c>
      <c r="D15" s="15" t="n">
        <v>1500</v>
      </c>
      <c r="E15" s="15" t="n"/>
      <c r="F15" s="16">
        <f>IF(OR($N15="",$O15=""),"",MAX(0,MOD($O15-$N15,1)-IF($P15&lt;&gt;"",$P15,IF(MOD($O15-$N15,1)&gt;設定!$E$8,設定!$E$7,0))))</f>
        <v/>
      </c>
      <c r="G15" s="15" t="n"/>
      <c r="H15" s="15" t="n"/>
      <c r="I15" s="15" t="n"/>
      <c r="J15" s="15" t="n"/>
      <c r="K15" s="17">
        <f>IF($A15="","",IFERROR(VLOOKUP($A15,祝日リスト!$A$2:$C$40,3,0),""))</f>
        <v/>
      </c>
      <c r="L15" s="18" t="n"/>
      <c r="M15" s="19">
        <f>IF($A15="","",IF($K15&lt;&gt;"","祝",IF(WEEKDAY($A15,2)=6,"土",IF(WEEKDAY($A15,2)=7,"日","平"))))</f>
        <v/>
      </c>
      <c r="N15" s="19">
        <f>IF(NOT(ISNUMBER($C15)),"",IF($C15&lt;1,$C15,(INT($C15/100)*60+MOD($C15,100))/1440))</f>
        <v/>
      </c>
      <c r="O15" s="19">
        <f>IF(NOT(ISNUMBER($D15)),"",IF($D15&lt;1,$D15,(INT($D15/100)*60+MOD($D15,100))/1440))</f>
        <v/>
      </c>
      <c r="P15" s="19">
        <f>IF(NOT(ISNUMBER($E15)),"",IF($E15&lt;1,$E15,(INT($E15/100)*60+MOD($E15,100))/1440))</f>
        <v/>
      </c>
      <c r="Q15" s="19">
        <f>IF(NOT(ISNUMBER($G15)),"",IF($G15&lt;1,$G15,(INT($G15/100)*60+MOD($G15,100))/1440))</f>
        <v/>
      </c>
      <c r="R15" s="19">
        <f>IF(NOT(ISNUMBER($H15)),"",IF($H15&lt;1,$H15,(INT($H15/100)*60+MOD($H15,100))/1440))</f>
        <v/>
      </c>
      <c r="S15" s="19">
        <f>IF(NOT(ISNUMBER($I15)),"",IF($I15&lt;1,$I15,(INT($I15/100)*60+MOD($I15,100))/1440))</f>
        <v/>
      </c>
      <c r="T15" s="19">
        <f>IF(NOT(ISNUMBER($J15)),"",IF($J15&lt;1,$J15,(INT($J15/100)*60+MOD($J15,100))/1440))</f>
        <v/>
      </c>
    </row>
    <row r="16" ht="19" customHeight="1">
      <c r="A16" s="13">
        <f>IF(A15="","",IF(MONTH(A15+1)=$D$4,A15+1,""))</f>
        <v/>
      </c>
      <c r="B16" s="14">
        <f>IF($A16="","",CHOOSE(WEEKDAY($A16,2),"月","火","水","木","金","土","日"))</f>
        <v/>
      </c>
      <c r="C16" s="15" t="n">
        <v>900</v>
      </c>
      <c r="D16" s="15" t="n">
        <v>1500</v>
      </c>
      <c r="E16" s="15" t="n"/>
      <c r="F16" s="16">
        <f>IF(OR($N16="",$O16=""),"",MAX(0,MOD($O16-$N16,1)-IF($P16&lt;&gt;"",$P16,IF(MOD($O16-$N16,1)&gt;設定!$E$8,設定!$E$7,0))))</f>
        <v/>
      </c>
      <c r="G16" s="15" t="n"/>
      <c r="H16" s="15" t="n"/>
      <c r="I16" s="15" t="n"/>
      <c r="J16" s="15" t="n"/>
      <c r="K16" s="17">
        <f>IF($A16="","",IFERROR(VLOOKUP($A16,祝日リスト!$A$2:$C$40,3,0),""))</f>
        <v/>
      </c>
      <c r="L16" s="18" t="n"/>
      <c r="M16" s="19">
        <f>IF($A16="","",IF($K16&lt;&gt;"","祝",IF(WEEKDAY($A16,2)=6,"土",IF(WEEKDAY($A16,2)=7,"日","平"))))</f>
        <v/>
      </c>
      <c r="N16" s="19">
        <f>IF(NOT(ISNUMBER($C16)),"",IF($C16&lt;1,$C16,(INT($C16/100)*60+MOD($C16,100))/1440))</f>
        <v/>
      </c>
      <c r="O16" s="19">
        <f>IF(NOT(ISNUMBER($D16)),"",IF($D16&lt;1,$D16,(INT($D16/100)*60+MOD($D16,100))/1440))</f>
        <v/>
      </c>
      <c r="P16" s="19">
        <f>IF(NOT(ISNUMBER($E16)),"",IF($E16&lt;1,$E16,(INT($E16/100)*60+MOD($E16,100))/1440))</f>
        <v/>
      </c>
      <c r="Q16" s="19">
        <f>IF(NOT(ISNUMBER($G16)),"",IF($G16&lt;1,$G16,(INT($G16/100)*60+MOD($G16,100))/1440))</f>
        <v/>
      </c>
      <c r="R16" s="19">
        <f>IF(NOT(ISNUMBER($H16)),"",IF($H16&lt;1,$H16,(INT($H16/100)*60+MOD($H16,100))/1440))</f>
        <v/>
      </c>
      <c r="S16" s="19">
        <f>IF(NOT(ISNUMBER($I16)),"",IF($I16&lt;1,$I16,(INT($I16/100)*60+MOD($I16,100))/1440))</f>
        <v/>
      </c>
      <c r="T16" s="19">
        <f>IF(NOT(ISNUMBER($J16)),"",IF($J16&lt;1,$J16,(INT($J16/100)*60+MOD($J16,100))/1440))</f>
        <v/>
      </c>
    </row>
    <row r="17" ht="19" customHeight="1">
      <c r="A17" s="13">
        <f>IF(A16="","",IF(MONTH(A16+1)=$D$4,A16+1,""))</f>
        <v/>
      </c>
      <c r="B17" s="14">
        <f>IF($A17="","",CHOOSE(WEEKDAY($A17,2),"月","火","水","木","金","土","日"))</f>
        <v/>
      </c>
      <c r="C17" s="15" t="n"/>
      <c r="D17" s="15" t="n"/>
      <c r="E17" s="15" t="n"/>
      <c r="F17" s="16">
        <f>IF(OR($N17="",$O17=""),"",MAX(0,MOD($O17-$N17,1)-IF($P17&lt;&gt;"",$P17,IF(MOD($O17-$N17,1)&gt;設定!$E$8,設定!$E$7,0))))</f>
        <v/>
      </c>
      <c r="G17" s="15" t="n"/>
      <c r="H17" s="15" t="n"/>
      <c r="I17" s="15" t="n"/>
      <c r="J17" s="15" t="n"/>
      <c r="K17" s="17">
        <f>IF($A17="","",IFERROR(VLOOKUP($A17,祝日リスト!$A$2:$C$40,3,0),""))</f>
        <v/>
      </c>
      <c r="L17" s="18" t="n"/>
      <c r="M17" s="19">
        <f>IF($A17="","",IF($K17&lt;&gt;"","祝",IF(WEEKDAY($A17,2)=6,"土",IF(WEEKDAY($A17,2)=7,"日","平"))))</f>
        <v/>
      </c>
      <c r="N17" s="19">
        <f>IF(NOT(ISNUMBER($C17)),"",IF($C17&lt;1,$C17,(INT($C17/100)*60+MOD($C17,100))/1440))</f>
        <v/>
      </c>
      <c r="O17" s="19">
        <f>IF(NOT(ISNUMBER($D17)),"",IF($D17&lt;1,$D17,(INT($D17/100)*60+MOD($D17,100))/1440))</f>
        <v/>
      </c>
      <c r="P17" s="19">
        <f>IF(NOT(ISNUMBER($E17)),"",IF($E17&lt;1,$E17,(INT($E17/100)*60+MOD($E17,100))/1440))</f>
        <v/>
      </c>
      <c r="Q17" s="19">
        <f>IF(NOT(ISNUMBER($G17)),"",IF($G17&lt;1,$G17,(INT($G17/100)*60+MOD($G17,100))/1440))</f>
        <v/>
      </c>
      <c r="R17" s="19">
        <f>IF(NOT(ISNUMBER($H17)),"",IF($H17&lt;1,$H17,(INT($H17/100)*60+MOD($H17,100))/1440))</f>
        <v/>
      </c>
      <c r="S17" s="19">
        <f>IF(NOT(ISNUMBER($I17)),"",IF($I17&lt;1,$I17,(INT($I17/100)*60+MOD($I17,100))/1440))</f>
        <v/>
      </c>
      <c r="T17" s="19">
        <f>IF(NOT(ISNUMBER($J17)),"",IF($J17&lt;1,$J17,(INT($J17/100)*60+MOD($J17,100))/1440))</f>
        <v/>
      </c>
    </row>
    <row r="18" ht="19" customHeight="1">
      <c r="A18" s="13">
        <f>IF(A17="","",IF(MONTH(A17+1)=$D$4,A17+1,""))</f>
        <v/>
      </c>
      <c r="B18" s="14">
        <f>IF($A18="","",CHOOSE(WEEKDAY($A18,2),"月","火","水","木","金","土","日"))</f>
        <v/>
      </c>
      <c r="C18" s="15" t="n"/>
      <c r="D18" s="15" t="n"/>
      <c r="E18" s="15" t="n"/>
      <c r="F18" s="16">
        <f>IF(OR($N18="",$O18=""),"",MAX(0,MOD($O18-$N18,1)-IF($P18&lt;&gt;"",$P18,IF(MOD($O18-$N18,1)&gt;設定!$E$8,設定!$E$7,0))))</f>
        <v/>
      </c>
      <c r="G18" s="15" t="n"/>
      <c r="H18" s="15" t="n"/>
      <c r="I18" s="15" t="n"/>
      <c r="J18" s="15" t="n"/>
      <c r="K18" s="17">
        <f>IF($A18="","",IFERROR(VLOOKUP($A18,祝日リスト!$A$2:$C$40,3,0),""))</f>
        <v/>
      </c>
      <c r="L18" s="18" t="n"/>
      <c r="M18" s="19">
        <f>IF($A18="","",IF($K18&lt;&gt;"","祝",IF(WEEKDAY($A18,2)=6,"土",IF(WEEKDAY($A18,2)=7,"日","平"))))</f>
        <v/>
      </c>
      <c r="N18" s="19">
        <f>IF(NOT(ISNUMBER($C18)),"",IF($C18&lt;1,$C18,(INT($C18/100)*60+MOD($C18,100))/1440))</f>
        <v/>
      </c>
      <c r="O18" s="19">
        <f>IF(NOT(ISNUMBER($D18)),"",IF($D18&lt;1,$D18,(INT($D18/100)*60+MOD($D18,100))/1440))</f>
        <v/>
      </c>
      <c r="P18" s="19">
        <f>IF(NOT(ISNUMBER($E18)),"",IF($E18&lt;1,$E18,(INT($E18/100)*60+MOD($E18,100))/1440))</f>
        <v/>
      </c>
      <c r="Q18" s="19">
        <f>IF(NOT(ISNUMBER($G18)),"",IF($G18&lt;1,$G18,(INT($G18/100)*60+MOD($G18,100))/1440))</f>
        <v/>
      </c>
      <c r="R18" s="19">
        <f>IF(NOT(ISNUMBER($H18)),"",IF($H18&lt;1,$H18,(INT($H18/100)*60+MOD($H18,100))/1440))</f>
        <v/>
      </c>
      <c r="S18" s="19">
        <f>IF(NOT(ISNUMBER($I18)),"",IF($I18&lt;1,$I18,(INT($I18/100)*60+MOD($I18,100))/1440))</f>
        <v/>
      </c>
      <c r="T18" s="19">
        <f>IF(NOT(ISNUMBER($J18)),"",IF($J18&lt;1,$J18,(INT($J18/100)*60+MOD($J18,100))/1440))</f>
        <v/>
      </c>
    </row>
    <row r="19" ht="19" customHeight="1">
      <c r="A19" s="13">
        <f>IF(A18="","",IF(MONTH(A18+1)=$D$4,A18+1,""))</f>
        <v/>
      </c>
      <c r="B19" s="14">
        <f>IF($A19="","",CHOOSE(WEEKDAY($A19,2),"月","火","水","木","金","土","日"))</f>
        <v/>
      </c>
      <c r="C19" s="15" t="n">
        <v>900</v>
      </c>
      <c r="D19" s="15" t="n">
        <v>1500</v>
      </c>
      <c r="E19" s="15" t="n"/>
      <c r="F19" s="16">
        <f>IF(OR($N19="",$O19=""),"",MAX(0,MOD($O19-$N19,1)-IF($P19&lt;&gt;"",$P19,IF(MOD($O19-$N19,1)&gt;設定!$E$8,設定!$E$7,0))))</f>
        <v/>
      </c>
      <c r="G19" s="15" t="n"/>
      <c r="H19" s="15" t="n"/>
      <c r="I19" s="15" t="n"/>
      <c r="J19" s="15" t="n"/>
      <c r="K19" s="17">
        <f>IF($A19="","",IFERROR(VLOOKUP($A19,祝日リスト!$A$2:$C$40,3,0),""))</f>
        <v/>
      </c>
      <c r="L19" s="18" t="n"/>
      <c r="M19" s="19">
        <f>IF($A19="","",IF($K19&lt;&gt;"","祝",IF(WEEKDAY($A19,2)=6,"土",IF(WEEKDAY($A19,2)=7,"日","平"))))</f>
        <v/>
      </c>
      <c r="N19" s="19">
        <f>IF(NOT(ISNUMBER($C19)),"",IF($C19&lt;1,$C19,(INT($C19/100)*60+MOD($C19,100))/1440))</f>
        <v/>
      </c>
      <c r="O19" s="19">
        <f>IF(NOT(ISNUMBER($D19)),"",IF($D19&lt;1,$D19,(INT($D19/100)*60+MOD($D19,100))/1440))</f>
        <v/>
      </c>
      <c r="P19" s="19">
        <f>IF(NOT(ISNUMBER($E19)),"",IF($E19&lt;1,$E19,(INT($E19/100)*60+MOD($E19,100))/1440))</f>
        <v/>
      </c>
      <c r="Q19" s="19">
        <f>IF(NOT(ISNUMBER($G19)),"",IF($G19&lt;1,$G19,(INT($G19/100)*60+MOD($G19,100))/1440))</f>
        <v/>
      </c>
      <c r="R19" s="19">
        <f>IF(NOT(ISNUMBER($H19)),"",IF($H19&lt;1,$H19,(INT($H19/100)*60+MOD($H19,100))/1440))</f>
        <v/>
      </c>
      <c r="S19" s="19">
        <f>IF(NOT(ISNUMBER($I19)),"",IF($I19&lt;1,$I19,(INT($I19/100)*60+MOD($I19,100))/1440))</f>
        <v/>
      </c>
      <c r="T19" s="19">
        <f>IF(NOT(ISNUMBER($J19)),"",IF($J19&lt;1,$J19,(INT($J19/100)*60+MOD($J19,100))/1440))</f>
        <v/>
      </c>
    </row>
    <row r="20" ht="19" customHeight="1">
      <c r="A20" s="13">
        <f>IF(A19="","",IF(MONTH(A19+1)=$D$4,A19+1,""))</f>
        <v/>
      </c>
      <c r="B20" s="14">
        <f>IF($A20="","",CHOOSE(WEEKDAY($A20,2),"月","火","水","木","金","土","日"))</f>
        <v/>
      </c>
      <c r="C20" s="15" t="n">
        <v>900</v>
      </c>
      <c r="D20" s="15" t="n">
        <v>1500</v>
      </c>
      <c r="E20" s="15" t="n"/>
      <c r="F20" s="16">
        <f>IF(OR($N20="",$O20=""),"",MAX(0,MOD($O20-$N20,1)-IF($P20&lt;&gt;"",$P20,IF(MOD($O20-$N20,1)&gt;設定!$E$8,設定!$E$7,0))))</f>
        <v/>
      </c>
      <c r="G20" s="15" t="n"/>
      <c r="H20" s="15" t="n"/>
      <c r="I20" s="15" t="n"/>
      <c r="J20" s="15" t="n"/>
      <c r="K20" s="17">
        <f>IF($A20="","",IFERROR(VLOOKUP($A20,祝日リスト!$A$2:$C$40,3,0),""))</f>
        <v/>
      </c>
      <c r="L20" s="18" t="n"/>
      <c r="M20" s="19">
        <f>IF($A20="","",IF($K20&lt;&gt;"","祝",IF(WEEKDAY($A20,2)=6,"土",IF(WEEKDAY($A20,2)=7,"日","平"))))</f>
        <v/>
      </c>
      <c r="N20" s="19">
        <f>IF(NOT(ISNUMBER($C20)),"",IF($C20&lt;1,$C20,(INT($C20/100)*60+MOD($C20,100))/1440))</f>
        <v/>
      </c>
      <c r="O20" s="19">
        <f>IF(NOT(ISNUMBER($D20)),"",IF($D20&lt;1,$D20,(INT($D20/100)*60+MOD($D20,100))/1440))</f>
        <v/>
      </c>
      <c r="P20" s="19">
        <f>IF(NOT(ISNUMBER($E20)),"",IF($E20&lt;1,$E20,(INT($E20/100)*60+MOD($E20,100))/1440))</f>
        <v/>
      </c>
      <c r="Q20" s="19">
        <f>IF(NOT(ISNUMBER($G20)),"",IF($G20&lt;1,$G20,(INT($G20/100)*60+MOD($G20,100))/1440))</f>
        <v/>
      </c>
      <c r="R20" s="19">
        <f>IF(NOT(ISNUMBER($H20)),"",IF($H20&lt;1,$H20,(INT($H20/100)*60+MOD($H20,100))/1440))</f>
        <v/>
      </c>
      <c r="S20" s="19">
        <f>IF(NOT(ISNUMBER($I20)),"",IF($I20&lt;1,$I20,(INT($I20/100)*60+MOD($I20,100))/1440))</f>
        <v/>
      </c>
      <c r="T20" s="19">
        <f>IF(NOT(ISNUMBER($J20)),"",IF($J20&lt;1,$J20,(INT($J20/100)*60+MOD($J20,100))/1440))</f>
        <v/>
      </c>
    </row>
    <row r="21" ht="19" customHeight="1">
      <c r="A21" s="13">
        <f>IF(A20="","",IF(MONTH(A20+1)=$D$4,A20+1,""))</f>
        <v/>
      </c>
      <c r="B21" s="14">
        <f>IF($A21="","",CHOOSE(WEEKDAY($A21,2),"月","火","水","木","金","土","日"))</f>
        <v/>
      </c>
      <c r="C21" s="15" t="n"/>
      <c r="D21" s="15" t="n"/>
      <c r="E21" s="15" t="n"/>
      <c r="F21" s="16">
        <f>IF(OR($N21="",$O21=""),"",MAX(0,MOD($O21-$N21,1)-IF($P21&lt;&gt;"",$P21,IF(MOD($O21-$N21,1)&gt;設定!$E$8,設定!$E$7,0))))</f>
        <v/>
      </c>
      <c r="G21" s="15" t="n"/>
      <c r="H21" s="15" t="n"/>
      <c r="I21" s="15" t="n"/>
      <c r="J21" s="15" t="n"/>
      <c r="K21" s="17">
        <f>IF($A21="","",IFERROR(VLOOKUP($A21,祝日リスト!$A$2:$C$40,3,0),""))</f>
        <v/>
      </c>
      <c r="L21" s="18" t="n"/>
      <c r="M21" s="19">
        <f>IF($A21="","",IF($K21&lt;&gt;"","祝",IF(WEEKDAY($A21,2)=6,"土",IF(WEEKDAY($A21,2)=7,"日","平"))))</f>
        <v/>
      </c>
      <c r="N21" s="19">
        <f>IF(NOT(ISNUMBER($C21)),"",IF($C21&lt;1,$C21,(INT($C21/100)*60+MOD($C21,100))/1440))</f>
        <v/>
      </c>
      <c r="O21" s="19">
        <f>IF(NOT(ISNUMBER($D21)),"",IF($D21&lt;1,$D21,(INT($D21/100)*60+MOD($D21,100))/1440))</f>
        <v/>
      </c>
      <c r="P21" s="19">
        <f>IF(NOT(ISNUMBER($E21)),"",IF($E21&lt;1,$E21,(INT($E21/100)*60+MOD($E21,100))/1440))</f>
        <v/>
      </c>
      <c r="Q21" s="19">
        <f>IF(NOT(ISNUMBER($G21)),"",IF($G21&lt;1,$G21,(INT($G21/100)*60+MOD($G21,100))/1440))</f>
        <v/>
      </c>
      <c r="R21" s="19">
        <f>IF(NOT(ISNUMBER($H21)),"",IF($H21&lt;1,$H21,(INT($H21/100)*60+MOD($H21,100))/1440))</f>
        <v/>
      </c>
      <c r="S21" s="19">
        <f>IF(NOT(ISNUMBER($I21)),"",IF($I21&lt;1,$I21,(INT($I21/100)*60+MOD($I21,100))/1440))</f>
        <v/>
      </c>
      <c r="T21" s="19">
        <f>IF(NOT(ISNUMBER($J21)),"",IF($J21&lt;1,$J21,(INT($J21/100)*60+MOD($J21,100))/1440))</f>
        <v/>
      </c>
    </row>
    <row r="22" ht="19" customHeight="1">
      <c r="A22" s="13">
        <f>IF(A21="","",IF(MONTH(A21+1)=$D$4,A21+1,""))</f>
        <v/>
      </c>
      <c r="B22" s="14">
        <f>IF($A22="","",CHOOSE(WEEKDAY($A22,2),"月","火","水","木","金","土","日"))</f>
        <v/>
      </c>
      <c r="C22" s="15" t="n">
        <v>900</v>
      </c>
      <c r="D22" s="15" t="n">
        <v>1500</v>
      </c>
      <c r="E22" s="15" t="n"/>
      <c r="F22" s="16">
        <f>IF(OR($N22="",$O22=""),"",MAX(0,MOD($O22-$N22,1)-IF($P22&lt;&gt;"",$P22,IF(MOD($O22-$N22,1)&gt;設定!$E$8,設定!$E$7,0))))</f>
        <v/>
      </c>
      <c r="G22" s="15" t="n"/>
      <c r="H22" s="15" t="n"/>
      <c r="I22" s="15" t="n"/>
      <c r="J22" s="15" t="n"/>
      <c r="K22" s="17">
        <f>IF($A22="","",IFERROR(VLOOKUP($A22,祝日リスト!$A$2:$C$40,3,0),""))</f>
        <v/>
      </c>
      <c r="L22" s="18" t="n"/>
      <c r="M22" s="19">
        <f>IF($A22="","",IF($K22&lt;&gt;"","祝",IF(WEEKDAY($A22,2)=6,"土",IF(WEEKDAY($A22,2)=7,"日","平"))))</f>
        <v/>
      </c>
      <c r="N22" s="19">
        <f>IF(NOT(ISNUMBER($C22)),"",IF($C22&lt;1,$C22,(INT($C22/100)*60+MOD($C22,100))/1440))</f>
        <v/>
      </c>
      <c r="O22" s="19">
        <f>IF(NOT(ISNUMBER($D22)),"",IF($D22&lt;1,$D22,(INT($D22/100)*60+MOD($D22,100))/1440))</f>
        <v/>
      </c>
      <c r="P22" s="19">
        <f>IF(NOT(ISNUMBER($E22)),"",IF($E22&lt;1,$E22,(INT($E22/100)*60+MOD($E22,100))/1440))</f>
        <v/>
      </c>
      <c r="Q22" s="19">
        <f>IF(NOT(ISNUMBER($G22)),"",IF($G22&lt;1,$G22,(INT($G22/100)*60+MOD($G22,100))/1440))</f>
        <v/>
      </c>
      <c r="R22" s="19">
        <f>IF(NOT(ISNUMBER($H22)),"",IF($H22&lt;1,$H22,(INT($H22/100)*60+MOD($H22,100))/1440))</f>
        <v/>
      </c>
      <c r="S22" s="19">
        <f>IF(NOT(ISNUMBER($I22)),"",IF($I22&lt;1,$I22,(INT($I22/100)*60+MOD($I22,100))/1440))</f>
        <v/>
      </c>
      <c r="T22" s="19">
        <f>IF(NOT(ISNUMBER($J22)),"",IF($J22&lt;1,$J22,(INT($J22/100)*60+MOD($J22,100))/1440))</f>
        <v/>
      </c>
    </row>
    <row r="23" ht="19" customHeight="1">
      <c r="A23" s="13">
        <f>IF(A22="","",IF(MONTH(A22+1)=$D$4,A22+1,""))</f>
        <v/>
      </c>
      <c r="B23" s="14">
        <f>IF($A23="","",CHOOSE(WEEKDAY($A23,2),"月","火","水","木","金","土","日"))</f>
        <v/>
      </c>
      <c r="C23" s="15" t="n"/>
      <c r="D23" s="15" t="n"/>
      <c r="E23" s="15" t="n"/>
      <c r="F23" s="16">
        <f>IF(OR($N23="",$O23=""),"",MAX(0,MOD($O23-$N23,1)-IF($P23&lt;&gt;"",$P23,IF(MOD($O23-$N23,1)&gt;設定!$E$8,設定!$E$7,0))))</f>
        <v/>
      </c>
      <c r="G23" s="15" t="n"/>
      <c r="H23" s="15" t="n"/>
      <c r="I23" s="15" t="n"/>
      <c r="J23" s="15" t="n"/>
      <c r="K23" s="17">
        <f>IF($A23="","",IFERROR(VLOOKUP($A23,祝日リスト!$A$2:$C$40,3,0),""))</f>
        <v/>
      </c>
      <c r="L23" s="18" t="n"/>
      <c r="M23" s="19">
        <f>IF($A23="","",IF($K23&lt;&gt;"","祝",IF(WEEKDAY($A23,2)=6,"土",IF(WEEKDAY($A23,2)=7,"日","平"))))</f>
        <v/>
      </c>
      <c r="N23" s="19">
        <f>IF(NOT(ISNUMBER($C23)),"",IF($C23&lt;1,$C23,(INT($C23/100)*60+MOD($C23,100))/1440))</f>
        <v/>
      </c>
      <c r="O23" s="19">
        <f>IF(NOT(ISNUMBER($D23)),"",IF($D23&lt;1,$D23,(INT($D23/100)*60+MOD($D23,100))/1440))</f>
        <v/>
      </c>
      <c r="P23" s="19">
        <f>IF(NOT(ISNUMBER($E23)),"",IF($E23&lt;1,$E23,(INT($E23/100)*60+MOD($E23,100))/1440))</f>
        <v/>
      </c>
      <c r="Q23" s="19">
        <f>IF(NOT(ISNUMBER($G23)),"",IF($G23&lt;1,$G23,(INT($G23/100)*60+MOD($G23,100))/1440))</f>
        <v/>
      </c>
      <c r="R23" s="19">
        <f>IF(NOT(ISNUMBER($H23)),"",IF($H23&lt;1,$H23,(INT($H23/100)*60+MOD($H23,100))/1440))</f>
        <v/>
      </c>
      <c r="S23" s="19">
        <f>IF(NOT(ISNUMBER($I23)),"",IF($I23&lt;1,$I23,(INT($I23/100)*60+MOD($I23,100))/1440))</f>
        <v/>
      </c>
      <c r="T23" s="19">
        <f>IF(NOT(ISNUMBER($J23)),"",IF($J23&lt;1,$J23,(INT($J23/100)*60+MOD($J23,100))/1440))</f>
        <v/>
      </c>
    </row>
    <row r="24" ht="19" customHeight="1">
      <c r="A24" s="13">
        <f>IF(A23="","",IF(MONTH(A23+1)=$D$4,A23+1,""))</f>
        <v/>
      </c>
      <c r="B24" s="14">
        <f>IF($A24="","",CHOOSE(WEEKDAY($A24,2),"月","火","水","木","金","土","日"))</f>
        <v/>
      </c>
      <c r="C24" s="15" t="n"/>
      <c r="D24" s="15" t="n"/>
      <c r="E24" s="15" t="n"/>
      <c r="F24" s="16">
        <f>IF(OR($N24="",$O24=""),"",MAX(0,MOD($O24-$N24,1)-IF($P24&lt;&gt;"",$P24,IF(MOD($O24-$N24,1)&gt;設定!$E$8,設定!$E$7,0))))</f>
        <v/>
      </c>
      <c r="G24" s="15" t="n"/>
      <c r="H24" s="15" t="n"/>
      <c r="I24" s="15" t="n"/>
      <c r="J24" s="15" t="n"/>
      <c r="K24" s="17">
        <f>IF($A24="","",IFERROR(VLOOKUP($A24,祝日リスト!$A$2:$C$40,3,0),""))</f>
        <v/>
      </c>
      <c r="L24" s="18" t="n"/>
      <c r="M24" s="19">
        <f>IF($A24="","",IF($K24&lt;&gt;"","祝",IF(WEEKDAY($A24,2)=6,"土",IF(WEEKDAY($A24,2)=7,"日","平"))))</f>
        <v/>
      </c>
      <c r="N24" s="19">
        <f>IF(NOT(ISNUMBER($C24)),"",IF($C24&lt;1,$C24,(INT($C24/100)*60+MOD($C24,100))/1440))</f>
        <v/>
      </c>
      <c r="O24" s="19">
        <f>IF(NOT(ISNUMBER($D24)),"",IF($D24&lt;1,$D24,(INT($D24/100)*60+MOD($D24,100))/1440))</f>
        <v/>
      </c>
      <c r="P24" s="19">
        <f>IF(NOT(ISNUMBER($E24)),"",IF($E24&lt;1,$E24,(INT($E24/100)*60+MOD($E24,100))/1440))</f>
        <v/>
      </c>
      <c r="Q24" s="19">
        <f>IF(NOT(ISNUMBER($G24)),"",IF($G24&lt;1,$G24,(INT($G24/100)*60+MOD($G24,100))/1440))</f>
        <v/>
      </c>
      <c r="R24" s="19">
        <f>IF(NOT(ISNUMBER($H24)),"",IF($H24&lt;1,$H24,(INT($H24/100)*60+MOD($H24,100))/1440))</f>
        <v/>
      </c>
      <c r="S24" s="19">
        <f>IF(NOT(ISNUMBER($I24)),"",IF($I24&lt;1,$I24,(INT($I24/100)*60+MOD($I24,100))/1440))</f>
        <v/>
      </c>
      <c r="T24" s="19">
        <f>IF(NOT(ISNUMBER($J24)),"",IF($J24&lt;1,$J24,(INT($J24/100)*60+MOD($J24,100))/1440))</f>
        <v/>
      </c>
    </row>
    <row r="25" ht="19" customHeight="1">
      <c r="A25" s="13">
        <f>IF(A24="","",IF(MONTH(A24+1)=$D$4,A24+1,""))</f>
        <v/>
      </c>
      <c r="B25" s="14">
        <f>IF($A25="","",CHOOSE(WEEKDAY($A25,2),"月","火","水","木","金","土","日"))</f>
        <v/>
      </c>
      <c r="C25" s="15" t="n">
        <v>900</v>
      </c>
      <c r="D25" s="15" t="n">
        <v>1500</v>
      </c>
      <c r="E25" s="15" t="n"/>
      <c r="F25" s="16">
        <f>IF(OR($N25="",$O25=""),"",MAX(0,MOD($O25-$N25,1)-IF($P25&lt;&gt;"",$P25,IF(MOD($O25-$N25,1)&gt;設定!$E$8,設定!$E$7,0))))</f>
        <v/>
      </c>
      <c r="G25" s="15" t="n"/>
      <c r="H25" s="15" t="n"/>
      <c r="I25" s="15" t="n"/>
      <c r="J25" s="15" t="n"/>
      <c r="K25" s="17">
        <f>IF($A25="","",IFERROR(VLOOKUP($A25,祝日リスト!$A$2:$C$40,3,0),""))</f>
        <v/>
      </c>
      <c r="L25" s="18" t="n"/>
      <c r="M25" s="19">
        <f>IF($A25="","",IF($K25&lt;&gt;"","祝",IF(WEEKDAY($A25,2)=6,"土",IF(WEEKDAY($A25,2)=7,"日","平"))))</f>
        <v/>
      </c>
      <c r="N25" s="19">
        <f>IF(NOT(ISNUMBER($C25)),"",IF($C25&lt;1,$C25,(INT($C25/100)*60+MOD($C25,100))/1440))</f>
        <v/>
      </c>
      <c r="O25" s="19">
        <f>IF(NOT(ISNUMBER($D25)),"",IF($D25&lt;1,$D25,(INT($D25/100)*60+MOD($D25,100))/1440))</f>
        <v/>
      </c>
      <c r="P25" s="19">
        <f>IF(NOT(ISNUMBER($E25)),"",IF($E25&lt;1,$E25,(INT($E25/100)*60+MOD($E25,100))/1440))</f>
        <v/>
      </c>
      <c r="Q25" s="19">
        <f>IF(NOT(ISNUMBER($G25)),"",IF($G25&lt;1,$G25,(INT($G25/100)*60+MOD($G25,100))/1440))</f>
        <v/>
      </c>
      <c r="R25" s="19">
        <f>IF(NOT(ISNUMBER($H25)),"",IF($H25&lt;1,$H25,(INT($H25/100)*60+MOD($H25,100))/1440))</f>
        <v/>
      </c>
      <c r="S25" s="19">
        <f>IF(NOT(ISNUMBER($I25)),"",IF($I25&lt;1,$I25,(INT($I25/100)*60+MOD($I25,100))/1440))</f>
        <v/>
      </c>
      <c r="T25" s="19">
        <f>IF(NOT(ISNUMBER($J25)),"",IF($J25&lt;1,$J25,(INT($J25/100)*60+MOD($J25,100))/1440))</f>
        <v/>
      </c>
    </row>
    <row r="26" ht="19" customHeight="1">
      <c r="A26" s="13">
        <f>IF(A25="","",IF(MONTH(A25+1)=$D$4,A25+1,""))</f>
        <v/>
      </c>
      <c r="B26" s="14">
        <f>IF($A26="","",CHOOSE(WEEKDAY($A26,2),"月","火","水","木","金","土","日"))</f>
        <v/>
      </c>
      <c r="C26" s="15" t="n">
        <v>900</v>
      </c>
      <c r="D26" s="15" t="n">
        <v>1500</v>
      </c>
      <c r="E26" s="15" t="n"/>
      <c r="F26" s="16">
        <f>IF(OR($N26="",$O26=""),"",MAX(0,MOD($O26-$N26,1)-IF($P26&lt;&gt;"",$P26,IF(MOD($O26-$N26,1)&gt;設定!$E$8,設定!$E$7,0))))</f>
        <v/>
      </c>
      <c r="G26" s="15" t="n"/>
      <c r="H26" s="15" t="n"/>
      <c r="I26" s="15" t="n"/>
      <c r="J26" s="15" t="n"/>
      <c r="K26" s="17">
        <f>IF($A26="","",IFERROR(VLOOKUP($A26,祝日リスト!$A$2:$C$40,3,0),""))</f>
        <v/>
      </c>
      <c r="L26" s="18" t="n"/>
      <c r="M26" s="19">
        <f>IF($A26="","",IF($K26&lt;&gt;"","祝",IF(WEEKDAY($A26,2)=6,"土",IF(WEEKDAY($A26,2)=7,"日","平"))))</f>
        <v/>
      </c>
      <c r="N26" s="19">
        <f>IF(NOT(ISNUMBER($C26)),"",IF($C26&lt;1,$C26,(INT($C26/100)*60+MOD($C26,100))/1440))</f>
        <v/>
      </c>
      <c r="O26" s="19">
        <f>IF(NOT(ISNUMBER($D26)),"",IF($D26&lt;1,$D26,(INT($D26/100)*60+MOD($D26,100))/1440))</f>
        <v/>
      </c>
      <c r="P26" s="19">
        <f>IF(NOT(ISNUMBER($E26)),"",IF($E26&lt;1,$E26,(INT($E26/100)*60+MOD($E26,100))/1440))</f>
        <v/>
      </c>
      <c r="Q26" s="19">
        <f>IF(NOT(ISNUMBER($G26)),"",IF($G26&lt;1,$G26,(INT($G26/100)*60+MOD($G26,100))/1440))</f>
        <v/>
      </c>
      <c r="R26" s="19">
        <f>IF(NOT(ISNUMBER($H26)),"",IF($H26&lt;1,$H26,(INT($H26/100)*60+MOD($H26,100))/1440))</f>
        <v/>
      </c>
      <c r="S26" s="19">
        <f>IF(NOT(ISNUMBER($I26)),"",IF($I26&lt;1,$I26,(INT($I26/100)*60+MOD($I26,100))/1440))</f>
        <v/>
      </c>
      <c r="T26" s="19">
        <f>IF(NOT(ISNUMBER($J26)),"",IF($J26&lt;1,$J26,(INT($J26/100)*60+MOD($J26,100))/1440))</f>
        <v/>
      </c>
    </row>
    <row r="27" ht="19" customHeight="1">
      <c r="A27" s="13">
        <f>IF(A26="","",IF(MONTH(A26+1)=$D$4,A26+1,""))</f>
        <v/>
      </c>
      <c r="B27" s="14">
        <f>IF($A27="","",CHOOSE(WEEKDAY($A27,2),"月","火","水","木","金","土","日"))</f>
        <v/>
      </c>
      <c r="C27" s="15" t="n"/>
      <c r="D27" s="15" t="n"/>
      <c r="E27" s="15" t="n"/>
      <c r="F27" s="16">
        <f>IF(OR($N27="",$O27=""),"",MAX(0,MOD($O27-$N27,1)-IF($P27&lt;&gt;"",$P27,IF(MOD($O27-$N27,1)&gt;設定!$E$8,設定!$E$7,0))))</f>
        <v/>
      </c>
      <c r="G27" s="15" t="n"/>
      <c r="H27" s="15" t="n"/>
      <c r="I27" s="15" t="n"/>
      <c r="J27" s="15" t="n"/>
      <c r="K27" s="17">
        <f>IF($A27="","",IFERROR(VLOOKUP($A27,祝日リスト!$A$2:$C$40,3,0),""))</f>
        <v/>
      </c>
      <c r="L27" s="18" t="n"/>
      <c r="M27" s="19">
        <f>IF($A27="","",IF($K27&lt;&gt;"","祝",IF(WEEKDAY($A27,2)=6,"土",IF(WEEKDAY($A27,2)=7,"日","平"))))</f>
        <v/>
      </c>
      <c r="N27" s="19">
        <f>IF(NOT(ISNUMBER($C27)),"",IF($C27&lt;1,$C27,(INT($C27/100)*60+MOD($C27,100))/1440))</f>
        <v/>
      </c>
      <c r="O27" s="19">
        <f>IF(NOT(ISNUMBER($D27)),"",IF($D27&lt;1,$D27,(INT($D27/100)*60+MOD($D27,100))/1440))</f>
        <v/>
      </c>
      <c r="P27" s="19">
        <f>IF(NOT(ISNUMBER($E27)),"",IF($E27&lt;1,$E27,(INT($E27/100)*60+MOD($E27,100))/1440))</f>
        <v/>
      </c>
      <c r="Q27" s="19">
        <f>IF(NOT(ISNUMBER($G27)),"",IF($G27&lt;1,$G27,(INT($G27/100)*60+MOD($G27,100))/1440))</f>
        <v/>
      </c>
      <c r="R27" s="19">
        <f>IF(NOT(ISNUMBER($H27)),"",IF($H27&lt;1,$H27,(INT($H27/100)*60+MOD($H27,100))/1440))</f>
        <v/>
      </c>
      <c r="S27" s="19">
        <f>IF(NOT(ISNUMBER($I27)),"",IF($I27&lt;1,$I27,(INT($I27/100)*60+MOD($I27,100))/1440))</f>
        <v/>
      </c>
      <c r="T27" s="19">
        <f>IF(NOT(ISNUMBER($J27)),"",IF($J27&lt;1,$J27,(INT($J27/100)*60+MOD($J27,100))/1440))</f>
        <v/>
      </c>
    </row>
    <row r="28" ht="19" customHeight="1">
      <c r="A28" s="13">
        <f>IF(A27="","",IF(MONTH(A27+1)=$D$4,A27+1,""))</f>
        <v/>
      </c>
      <c r="B28" s="14">
        <f>IF($A28="","",CHOOSE(WEEKDAY($A28,2),"月","火","水","木","金","土","日"))</f>
        <v/>
      </c>
      <c r="C28" s="15" t="n">
        <v>900</v>
      </c>
      <c r="D28" s="15" t="n">
        <v>1500</v>
      </c>
      <c r="E28" s="15" t="n"/>
      <c r="F28" s="16">
        <f>IF(OR($N28="",$O28=""),"",MAX(0,MOD($O28-$N28,1)-IF($P28&lt;&gt;"",$P28,IF(MOD($O28-$N28,1)&gt;設定!$E$8,設定!$E$7,0))))</f>
        <v/>
      </c>
      <c r="G28" s="15" t="n"/>
      <c r="H28" s="15" t="n"/>
      <c r="I28" s="15" t="n"/>
      <c r="J28" s="15" t="n"/>
      <c r="K28" s="17">
        <f>IF($A28="","",IFERROR(VLOOKUP($A28,祝日リスト!$A$2:$C$40,3,0),""))</f>
        <v/>
      </c>
      <c r="L28" s="18" t="n"/>
      <c r="M28" s="19">
        <f>IF($A28="","",IF($K28&lt;&gt;"","祝",IF(WEEKDAY($A28,2)=6,"土",IF(WEEKDAY($A28,2)=7,"日","平"))))</f>
        <v/>
      </c>
      <c r="N28" s="19">
        <f>IF(NOT(ISNUMBER($C28)),"",IF($C28&lt;1,$C28,(INT($C28/100)*60+MOD($C28,100))/1440))</f>
        <v/>
      </c>
      <c r="O28" s="19">
        <f>IF(NOT(ISNUMBER($D28)),"",IF($D28&lt;1,$D28,(INT($D28/100)*60+MOD($D28,100))/1440))</f>
        <v/>
      </c>
      <c r="P28" s="19">
        <f>IF(NOT(ISNUMBER($E28)),"",IF($E28&lt;1,$E28,(INT($E28/100)*60+MOD($E28,100))/1440))</f>
        <v/>
      </c>
      <c r="Q28" s="19">
        <f>IF(NOT(ISNUMBER($G28)),"",IF($G28&lt;1,$G28,(INT($G28/100)*60+MOD($G28,100))/1440))</f>
        <v/>
      </c>
      <c r="R28" s="19">
        <f>IF(NOT(ISNUMBER($H28)),"",IF($H28&lt;1,$H28,(INT($H28/100)*60+MOD($H28,100))/1440))</f>
        <v/>
      </c>
      <c r="S28" s="19">
        <f>IF(NOT(ISNUMBER($I28)),"",IF($I28&lt;1,$I28,(INT($I28/100)*60+MOD($I28,100))/1440))</f>
        <v/>
      </c>
      <c r="T28" s="19">
        <f>IF(NOT(ISNUMBER($J28)),"",IF($J28&lt;1,$J28,(INT($J28/100)*60+MOD($J28,100))/1440))</f>
        <v/>
      </c>
    </row>
    <row r="29" ht="19" customHeight="1">
      <c r="A29" s="13">
        <f>IF(A28="","",IF(MONTH(A28+1)=$D$4,A28+1,""))</f>
        <v/>
      </c>
      <c r="B29" s="14">
        <f>IF($A29="","",CHOOSE(WEEKDAY($A29,2),"月","火","水","木","金","土","日"))</f>
        <v/>
      </c>
      <c r="C29" s="15" t="n">
        <v>900</v>
      </c>
      <c r="D29" s="15" t="n">
        <v>1500</v>
      </c>
      <c r="E29" s="15" t="n"/>
      <c r="F29" s="16">
        <f>IF(OR($N29="",$O29=""),"",MAX(0,MOD($O29-$N29,1)-IF($P29&lt;&gt;"",$P29,IF(MOD($O29-$N29,1)&gt;設定!$E$8,設定!$E$7,0))))</f>
        <v/>
      </c>
      <c r="G29" s="15" t="n"/>
      <c r="H29" s="15" t="n"/>
      <c r="I29" s="15" t="n"/>
      <c r="J29" s="15" t="n"/>
      <c r="K29" s="17">
        <f>IF($A29="","",IFERROR(VLOOKUP($A29,祝日リスト!$A$2:$C$40,3,0),""))</f>
        <v/>
      </c>
      <c r="L29" s="18" t="n"/>
      <c r="M29" s="19">
        <f>IF($A29="","",IF($K29&lt;&gt;"","祝",IF(WEEKDAY($A29,2)=6,"土",IF(WEEKDAY($A29,2)=7,"日","平"))))</f>
        <v/>
      </c>
      <c r="N29" s="19">
        <f>IF(NOT(ISNUMBER($C29)),"",IF($C29&lt;1,$C29,(INT($C29/100)*60+MOD($C29,100))/1440))</f>
        <v/>
      </c>
      <c r="O29" s="19">
        <f>IF(NOT(ISNUMBER($D29)),"",IF($D29&lt;1,$D29,(INT($D29/100)*60+MOD($D29,100))/1440))</f>
        <v/>
      </c>
      <c r="P29" s="19">
        <f>IF(NOT(ISNUMBER($E29)),"",IF($E29&lt;1,$E29,(INT($E29/100)*60+MOD($E29,100))/1440))</f>
        <v/>
      </c>
      <c r="Q29" s="19">
        <f>IF(NOT(ISNUMBER($G29)),"",IF($G29&lt;1,$G29,(INT($G29/100)*60+MOD($G29,100))/1440))</f>
        <v/>
      </c>
      <c r="R29" s="19">
        <f>IF(NOT(ISNUMBER($H29)),"",IF($H29&lt;1,$H29,(INT($H29/100)*60+MOD($H29,100))/1440))</f>
        <v/>
      </c>
      <c r="S29" s="19">
        <f>IF(NOT(ISNUMBER($I29)),"",IF($I29&lt;1,$I29,(INT($I29/100)*60+MOD($I29,100))/1440))</f>
        <v/>
      </c>
      <c r="T29" s="19">
        <f>IF(NOT(ISNUMBER($J29)),"",IF($J29&lt;1,$J29,(INT($J29/100)*60+MOD($J29,100))/1440))</f>
        <v/>
      </c>
    </row>
    <row r="30" ht="19" customHeight="1">
      <c r="A30" s="13">
        <f>IF(A29="","",IF(MONTH(A29+1)=$D$4,A29+1,""))</f>
        <v/>
      </c>
      <c r="B30" s="14">
        <f>IF($A30="","",CHOOSE(WEEKDAY($A30,2),"月","火","水","木","金","土","日"))</f>
        <v/>
      </c>
      <c r="C30" s="15" t="n"/>
      <c r="D30" s="15" t="n"/>
      <c r="E30" s="15" t="n"/>
      <c r="F30" s="16">
        <f>IF(OR($N30="",$O30=""),"",MAX(0,MOD($O30-$N30,1)-IF($P30&lt;&gt;"",$P30,IF(MOD($O30-$N30,1)&gt;設定!$E$8,設定!$E$7,0))))</f>
        <v/>
      </c>
      <c r="G30" s="15" t="n"/>
      <c r="H30" s="15" t="n"/>
      <c r="I30" s="15" t="n"/>
      <c r="J30" s="15" t="n"/>
      <c r="K30" s="17">
        <f>IF($A30="","",IFERROR(VLOOKUP($A30,祝日リスト!$A$2:$C$40,3,0),""))</f>
        <v/>
      </c>
      <c r="L30" s="18" t="n"/>
      <c r="M30" s="19">
        <f>IF($A30="","",IF($K30&lt;&gt;"","祝",IF(WEEKDAY($A30,2)=6,"土",IF(WEEKDAY($A30,2)=7,"日","平"))))</f>
        <v/>
      </c>
      <c r="N30" s="19">
        <f>IF(NOT(ISNUMBER($C30)),"",IF($C30&lt;1,$C30,(INT($C30/100)*60+MOD($C30,100))/1440))</f>
        <v/>
      </c>
      <c r="O30" s="19">
        <f>IF(NOT(ISNUMBER($D30)),"",IF($D30&lt;1,$D30,(INT($D30/100)*60+MOD($D30,100))/1440))</f>
        <v/>
      </c>
      <c r="P30" s="19">
        <f>IF(NOT(ISNUMBER($E30)),"",IF($E30&lt;1,$E30,(INT($E30/100)*60+MOD($E30,100))/1440))</f>
        <v/>
      </c>
      <c r="Q30" s="19">
        <f>IF(NOT(ISNUMBER($G30)),"",IF($G30&lt;1,$G30,(INT($G30/100)*60+MOD($G30,100))/1440))</f>
        <v/>
      </c>
      <c r="R30" s="19">
        <f>IF(NOT(ISNUMBER($H30)),"",IF($H30&lt;1,$H30,(INT($H30/100)*60+MOD($H30,100))/1440))</f>
        <v/>
      </c>
      <c r="S30" s="19">
        <f>IF(NOT(ISNUMBER($I30)),"",IF($I30&lt;1,$I30,(INT($I30/100)*60+MOD($I30,100))/1440))</f>
        <v/>
      </c>
      <c r="T30" s="19">
        <f>IF(NOT(ISNUMBER($J30)),"",IF($J30&lt;1,$J30,(INT($J30/100)*60+MOD($J30,100))/1440))</f>
        <v/>
      </c>
    </row>
    <row r="31" ht="19" customHeight="1">
      <c r="A31" s="13">
        <f>IF(A30="","",IF(MONTH(A30+1)=$D$4,A30+1,""))</f>
        <v/>
      </c>
      <c r="B31" s="14">
        <f>IF($A31="","",CHOOSE(WEEKDAY($A31,2),"月","火","水","木","金","土","日"))</f>
        <v/>
      </c>
      <c r="C31" s="15" t="n"/>
      <c r="D31" s="15" t="n"/>
      <c r="E31" s="15" t="n"/>
      <c r="F31" s="16">
        <f>IF(OR($N31="",$O31=""),"",MAX(0,MOD($O31-$N31,1)-IF($P31&lt;&gt;"",$P31,IF(MOD($O31-$N31,1)&gt;設定!$E$8,設定!$E$7,0))))</f>
        <v/>
      </c>
      <c r="G31" s="15" t="n"/>
      <c r="H31" s="15" t="n"/>
      <c r="I31" s="15" t="n"/>
      <c r="J31" s="15" t="n"/>
      <c r="K31" s="17">
        <f>IF($A31="","",IFERROR(VLOOKUP($A31,祝日リスト!$A$2:$C$40,3,0),""))</f>
        <v/>
      </c>
      <c r="L31" s="18" t="n"/>
      <c r="M31" s="19">
        <f>IF($A31="","",IF($K31&lt;&gt;"","祝",IF(WEEKDAY($A31,2)=6,"土",IF(WEEKDAY($A31,2)=7,"日","平"))))</f>
        <v/>
      </c>
      <c r="N31" s="19">
        <f>IF(NOT(ISNUMBER($C31)),"",IF($C31&lt;1,$C31,(INT($C31/100)*60+MOD($C31,100))/1440))</f>
        <v/>
      </c>
      <c r="O31" s="19">
        <f>IF(NOT(ISNUMBER($D31)),"",IF($D31&lt;1,$D31,(INT($D31/100)*60+MOD($D31,100))/1440))</f>
        <v/>
      </c>
      <c r="P31" s="19">
        <f>IF(NOT(ISNUMBER($E31)),"",IF($E31&lt;1,$E31,(INT($E31/100)*60+MOD($E31,100))/1440))</f>
        <v/>
      </c>
      <c r="Q31" s="19">
        <f>IF(NOT(ISNUMBER($G31)),"",IF($G31&lt;1,$G31,(INT($G31/100)*60+MOD($G31,100))/1440))</f>
        <v/>
      </c>
      <c r="R31" s="19">
        <f>IF(NOT(ISNUMBER($H31)),"",IF($H31&lt;1,$H31,(INT($H31/100)*60+MOD($H31,100))/1440))</f>
        <v/>
      </c>
      <c r="S31" s="19">
        <f>IF(NOT(ISNUMBER($I31)),"",IF($I31&lt;1,$I31,(INT($I31/100)*60+MOD($I31,100))/1440))</f>
        <v/>
      </c>
      <c r="T31" s="19">
        <f>IF(NOT(ISNUMBER($J31)),"",IF($J31&lt;1,$J31,(INT($J31/100)*60+MOD($J31,100))/1440))</f>
        <v/>
      </c>
    </row>
    <row r="32" ht="19" customHeight="1">
      <c r="A32" s="13">
        <f>IF(A31="","",IF(MONTH(A31+1)=$D$4,A31+1,""))</f>
        <v/>
      </c>
      <c r="B32" s="14">
        <f>IF($A32="","",CHOOSE(WEEKDAY($A32,2),"月","火","水","木","金","土","日"))</f>
        <v/>
      </c>
      <c r="C32" s="15" t="n">
        <v>900</v>
      </c>
      <c r="D32" s="15" t="n">
        <v>1500</v>
      </c>
      <c r="E32" s="15" t="n"/>
      <c r="F32" s="16">
        <f>IF(OR($N32="",$O32=""),"",MAX(0,MOD($O32-$N32,1)-IF($P32&lt;&gt;"",$P32,IF(MOD($O32-$N32,1)&gt;設定!$E$8,設定!$E$7,0))))</f>
        <v/>
      </c>
      <c r="G32" s="15" t="n"/>
      <c r="H32" s="15" t="n"/>
      <c r="I32" s="15" t="n"/>
      <c r="J32" s="15" t="n"/>
      <c r="K32" s="17">
        <f>IF($A32="","",IFERROR(VLOOKUP($A32,祝日リスト!$A$2:$C$40,3,0),""))</f>
        <v/>
      </c>
      <c r="L32" s="18" t="n"/>
      <c r="M32" s="19">
        <f>IF($A32="","",IF($K32&lt;&gt;"","祝",IF(WEEKDAY($A32,2)=6,"土",IF(WEEKDAY($A32,2)=7,"日","平"))))</f>
        <v/>
      </c>
      <c r="N32" s="19">
        <f>IF(NOT(ISNUMBER($C32)),"",IF($C32&lt;1,$C32,(INT($C32/100)*60+MOD($C32,100))/1440))</f>
        <v/>
      </c>
      <c r="O32" s="19">
        <f>IF(NOT(ISNUMBER($D32)),"",IF($D32&lt;1,$D32,(INT($D32/100)*60+MOD($D32,100))/1440))</f>
        <v/>
      </c>
      <c r="P32" s="19">
        <f>IF(NOT(ISNUMBER($E32)),"",IF($E32&lt;1,$E32,(INT($E32/100)*60+MOD($E32,100))/1440))</f>
        <v/>
      </c>
      <c r="Q32" s="19">
        <f>IF(NOT(ISNUMBER($G32)),"",IF($G32&lt;1,$G32,(INT($G32/100)*60+MOD($G32,100))/1440))</f>
        <v/>
      </c>
      <c r="R32" s="19">
        <f>IF(NOT(ISNUMBER($H32)),"",IF($H32&lt;1,$H32,(INT($H32/100)*60+MOD($H32,100))/1440))</f>
        <v/>
      </c>
      <c r="S32" s="19">
        <f>IF(NOT(ISNUMBER($I32)),"",IF($I32&lt;1,$I32,(INT($I32/100)*60+MOD($I32,100))/1440))</f>
        <v/>
      </c>
      <c r="T32" s="19">
        <f>IF(NOT(ISNUMBER($J32)),"",IF($J32&lt;1,$J32,(INT($J32/100)*60+MOD($J32,100))/1440))</f>
        <v/>
      </c>
    </row>
    <row r="33" ht="19" customHeight="1">
      <c r="A33" s="13">
        <f>IF(A32="","",IF(MONTH(A32+1)=$D$4,A32+1,""))</f>
        <v/>
      </c>
      <c r="B33" s="14">
        <f>IF($A33="","",CHOOSE(WEEKDAY($A33,2),"月","火","水","木","金","土","日"))</f>
        <v/>
      </c>
      <c r="C33" s="15" t="n">
        <v>900</v>
      </c>
      <c r="D33" s="15" t="n">
        <v>1500</v>
      </c>
      <c r="E33" s="15" t="n"/>
      <c r="F33" s="16">
        <f>IF(OR($N33="",$O33=""),"",MAX(0,MOD($O33-$N33,1)-IF($P33&lt;&gt;"",$P33,IF(MOD($O33-$N33,1)&gt;設定!$E$8,設定!$E$7,0))))</f>
        <v/>
      </c>
      <c r="G33" s="15" t="n"/>
      <c r="H33" s="15" t="n"/>
      <c r="I33" s="15" t="n"/>
      <c r="J33" s="15" t="n"/>
      <c r="K33" s="17">
        <f>IF($A33="","",IFERROR(VLOOKUP($A33,祝日リスト!$A$2:$C$40,3,0),""))</f>
        <v/>
      </c>
      <c r="L33" s="18" t="n"/>
      <c r="M33" s="19">
        <f>IF($A33="","",IF($K33&lt;&gt;"","祝",IF(WEEKDAY($A33,2)=6,"土",IF(WEEKDAY($A33,2)=7,"日","平"))))</f>
        <v/>
      </c>
      <c r="N33" s="19">
        <f>IF(NOT(ISNUMBER($C33)),"",IF($C33&lt;1,$C33,(INT($C33/100)*60+MOD($C33,100))/1440))</f>
        <v/>
      </c>
      <c r="O33" s="19">
        <f>IF(NOT(ISNUMBER($D33)),"",IF($D33&lt;1,$D33,(INT($D33/100)*60+MOD($D33,100))/1440))</f>
        <v/>
      </c>
      <c r="P33" s="19">
        <f>IF(NOT(ISNUMBER($E33)),"",IF($E33&lt;1,$E33,(INT($E33/100)*60+MOD($E33,100))/1440))</f>
        <v/>
      </c>
      <c r="Q33" s="19">
        <f>IF(NOT(ISNUMBER($G33)),"",IF($G33&lt;1,$G33,(INT($G33/100)*60+MOD($G33,100))/1440))</f>
        <v/>
      </c>
      <c r="R33" s="19">
        <f>IF(NOT(ISNUMBER($H33)),"",IF($H33&lt;1,$H33,(INT($H33/100)*60+MOD($H33,100))/1440))</f>
        <v/>
      </c>
      <c r="S33" s="19">
        <f>IF(NOT(ISNUMBER($I33)),"",IF($I33&lt;1,$I33,(INT($I33/100)*60+MOD($I33,100))/1440))</f>
        <v/>
      </c>
      <c r="T33" s="19">
        <f>IF(NOT(ISNUMBER($J33)),"",IF($J33&lt;1,$J33,(INT($J33/100)*60+MOD($J33,100))/1440))</f>
        <v/>
      </c>
    </row>
    <row r="34" ht="19" customHeight="1">
      <c r="A34" s="13">
        <f>IF(A33="","",IF(MONTH(A33+1)=$D$4,A33+1,""))</f>
        <v/>
      </c>
      <c r="B34" s="14">
        <f>IF($A34="","",CHOOSE(WEEKDAY($A34,2),"月","火","水","木","金","土","日"))</f>
        <v/>
      </c>
      <c r="C34" s="15" t="n"/>
      <c r="D34" s="15" t="n"/>
      <c r="E34" s="15" t="n"/>
      <c r="F34" s="16">
        <f>IF(OR($N34="",$O34=""),"",MAX(0,MOD($O34-$N34,1)-IF($P34&lt;&gt;"",$P34,IF(MOD($O34-$N34,1)&gt;設定!$E$8,設定!$E$7,0))))</f>
        <v/>
      </c>
      <c r="G34" s="15" t="n"/>
      <c r="H34" s="15" t="n"/>
      <c r="I34" s="15" t="n"/>
      <c r="J34" s="15" t="n"/>
      <c r="K34" s="17">
        <f>IF($A34="","",IFERROR(VLOOKUP($A34,祝日リスト!$A$2:$C$40,3,0),""))</f>
        <v/>
      </c>
      <c r="L34" s="18" t="n"/>
      <c r="M34" s="19">
        <f>IF($A34="","",IF($K34&lt;&gt;"","祝",IF(WEEKDAY($A34,2)=6,"土",IF(WEEKDAY($A34,2)=7,"日","平"))))</f>
        <v/>
      </c>
      <c r="N34" s="19">
        <f>IF(NOT(ISNUMBER($C34)),"",IF($C34&lt;1,$C34,(INT($C34/100)*60+MOD($C34,100))/1440))</f>
        <v/>
      </c>
      <c r="O34" s="19">
        <f>IF(NOT(ISNUMBER($D34)),"",IF($D34&lt;1,$D34,(INT($D34/100)*60+MOD($D34,100))/1440))</f>
        <v/>
      </c>
      <c r="P34" s="19">
        <f>IF(NOT(ISNUMBER($E34)),"",IF($E34&lt;1,$E34,(INT($E34/100)*60+MOD($E34,100))/1440))</f>
        <v/>
      </c>
      <c r="Q34" s="19">
        <f>IF(NOT(ISNUMBER($G34)),"",IF($G34&lt;1,$G34,(INT($G34/100)*60+MOD($G34,100))/1440))</f>
        <v/>
      </c>
      <c r="R34" s="19">
        <f>IF(NOT(ISNUMBER($H34)),"",IF($H34&lt;1,$H34,(INT($H34/100)*60+MOD($H34,100))/1440))</f>
        <v/>
      </c>
      <c r="S34" s="19">
        <f>IF(NOT(ISNUMBER($I34)),"",IF($I34&lt;1,$I34,(INT($I34/100)*60+MOD($I34,100))/1440))</f>
        <v/>
      </c>
      <c r="T34" s="19">
        <f>IF(NOT(ISNUMBER($J34)),"",IF($J34&lt;1,$J34,(INT($J34/100)*60+MOD($J34,100))/1440))</f>
        <v/>
      </c>
    </row>
    <row r="35" ht="19" customHeight="1">
      <c r="A35" s="13">
        <f>IF(A34="","",IF(MONTH(A34+1)=$D$4,A34+1,""))</f>
        <v/>
      </c>
      <c r="B35" s="14">
        <f>IF($A35="","",CHOOSE(WEEKDAY($A35,2),"月","火","水","木","金","土","日"))</f>
        <v/>
      </c>
      <c r="C35" s="15" t="n">
        <v>900</v>
      </c>
      <c r="D35" s="15" t="n">
        <v>1500</v>
      </c>
      <c r="E35" s="15" t="n"/>
      <c r="F35" s="16">
        <f>IF(OR($N35="",$O35=""),"",MAX(0,MOD($O35-$N35,1)-IF($P35&lt;&gt;"",$P35,IF(MOD($O35-$N35,1)&gt;設定!$E$8,設定!$E$7,0))))</f>
        <v/>
      </c>
      <c r="G35" s="15" t="n"/>
      <c r="H35" s="15" t="n"/>
      <c r="I35" s="15" t="n"/>
      <c r="J35" s="15" t="n"/>
      <c r="K35" s="17">
        <f>IF($A35="","",IFERROR(VLOOKUP($A35,祝日リスト!$A$2:$C$40,3,0),""))</f>
        <v/>
      </c>
      <c r="L35" s="18" t="n"/>
      <c r="M35" s="19">
        <f>IF($A35="","",IF($K35&lt;&gt;"","祝",IF(WEEKDAY($A35,2)=6,"土",IF(WEEKDAY($A35,2)=7,"日","平"))))</f>
        <v/>
      </c>
      <c r="N35" s="19">
        <f>IF(NOT(ISNUMBER($C35)),"",IF($C35&lt;1,$C35,(INT($C35/100)*60+MOD($C35,100))/1440))</f>
        <v/>
      </c>
      <c r="O35" s="19">
        <f>IF(NOT(ISNUMBER($D35)),"",IF($D35&lt;1,$D35,(INT($D35/100)*60+MOD($D35,100))/1440))</f>
        <v/>
      </c>
      <c r="P35" s="19">
        <f>IF(NOT(ISNUMBER($E35)),"",IF($E35&lt;1,$E35,(INT($E35/100)*60+MOD($E35,100))/1440))</f>
        <v/>
      </c>
      <c r="Q35" s="19">
        <f>IF(NOT(ISNUMBER($G35)),"",IF($G35&lt;1,$G35,(INT($G35/100)*60+MOD($G35,100))/1440))</f>
        <v/>
      </c>
      <c r="R35" s="19">
        <f>IF(NOT(ISNUMBER($H35)),"",IF($H35&lt;1,$H35,(INT($H35/100)*60+MOD($H35,100))/1440))</f>
        <v/>
      </c>
      <c r="S35" s="19">
        <f>IF(NOT(ISNUMBER($I35)),"",IF($I35&lt;1,$I35,(INT($I35/100)*60+MOD($I35,100))/1440))</f>
        <v/>
      </c>
      <c r="T35" s="19">
        <f>IF(NOT(ISNUMBER($J35)),"",IF($J35&lt;1,$J35,(INT($J35/100)*60+MOD($J35,100))/1440))</f>
        <v/>
      </c>
    </row>
    <row r="36" ht="19" customHeight="1">
      <c r="A36" s="13">
        <f>IF(A35="","",IF(MONTH(A35+1)=$D$4,A35+1,""))</f>
        <v/>
      </c>
      <c r="B36" s="14">
        <f>IF($A36="","",CHOOSE(WEEKDAY($A36,2),"月","火","水","木","金","土","日"))</f>
        <v/>
      </c>
      <c r="C36" s="15" t="n"/>
      <c r="D36" s="15" t="n"/>
      <c r="E36" s="15" t="n"/>
      <c r="F36" s="16">
        <f>IF(OR($N36="",$O36=""),"",MAX(0,MOD($O36-$N36,1)-IF($P36&lt;&gt;"",$P36,IF(MOD($O36-$N36,1)&gt;設定!$E$8,設定!$E$7,0))))</f>
        <v/>
      </c>
      <c r="G36" s="15" t="n"/>
      <c r="H36" s="15" t="n"/>
      <c r="I36" s="15" t="n"/>
      <c r="J36" s="15" t="n"/>
      <c r="K36" s="17">
        <f>IF($A36="","",IFERROR(VLOOKUP($A36,祝日リスト!$A$2:$C$40,3,0),""))</f>
        <v/>
      </c>
      <c r="L36" s="18" t="n"/>
      <c r="M36" s="19">
        <f>IF($A36="","",IF($K36&lt;&gt;"","祝",IF(WEEKDAY($A36,2)=6,"土",IF(WEEKDAY($A36,2)=7,"日","平"))))</f>
        <v/>
      </c>
      <c r="N36" s="19">
        <f>IF(NOT(ISNUMBER($C36)),"",IF($C36&lt;1,$C36,(INT($C36/100)*60+MOD($C36,100))/1440))</f>
        <v/>
      </c>
      <c r="O36" s="19">
        <f>IF(NOT(ISNUMBER($D36)),"",IF($D36&lt;1,$D36,(INT($D36/100)*60+MOD($D36,100))/1440))</f>
        <v/>
      </c>
      <c r="P36" s="19">
        <f>IF(NOT(ISNUMBER($E36)),"",IF($E36&lt;1,$E36,(INT($E36/100)*60+MOD($E36,100))/1440))</f>
        <v/>
      </c>
      <c r="Q36" s="19">
        <f>IF(NOT(ISNUMBER($G36)),"",IF($G36&lt;1,$G36,(INT($G36/100)*60+MOD($G36,100))/1440))</f>
        <v/>
      </c>
      <c r="R36" s="19">
        <f>IF(NOT(ISNUMBER($H36)),"",IF($H36&lt;1,$H36,(INT($H36/100)*60+MOD($H36,100))/1440))</f>
        <v/>
      </c>
      <c r="S36" s="19">
        <f>IF(NOT(ISNUMBER($I36)),"",IF($I36&lt;1,$I36,(INT($I36/100)*60+MOD($I36,100))/1440))</f>
        <v/>
      </c>
      <c r="T36" s="19">
        <f>IF(NOT(ISNUMBER($J36)),"",IF($J36&lt;1,$J36,(INT($J36/100)*60+MOD($J36,100))/1440))</f>
        <v/>
      </c>
    </row>
    <row r="37" ht="19" customHeight="1">
      <c r="A37" s="13">
        <f>IF(A36="","",IF(MONTH(A36+1)=$D$4,A36+1,""))</f>
        <v/>
      </c>
      <c r="B37" s="14">
        <f>IF($A37="","",CHOOSE(WEEKDAY($A37,2),"月","火","水","木","金","土","日"))</f>
        <v/>
      </c>
      <c r="C37" s="15" t="n">
        <v>900</v>
      </c>
      <c r="D37" s="15" t="n">
        <v>1500</v>
      </c>
      <c r="E37" s="15" t="n"/>
      <c r="F37" s="16">
        <f>IF(OR($N37="",$O37=""),"",MAX(0,MOD($O37-$N37,1)-IF($P37&lt;&gt;"",$P37,IF(MOD($O37-$N37,1)&gt;設定!$E$8,設定!$E$7,0))))</f>
        <v/>
      </c>
      <c r="G37" s="15" t="n"/>
      <c r="H37" s="15" t="n"/>
      <c r="I37" s="15" t="n"/>
      <c r="J37" s="15" t="n"/>
      <c r="K37" s="17">
        <f>IF($A37="","",IFERROR(VLOOKUP($A37,祝日リスト!$A$2:$C$40,3,0),""))</f>
        <v/>
      </c>
      <c r="L37" s="18" t="n"/>
      <c r="M37" s="19">
        <f>IF($A37="","",IF($K37&lt;&gt;"","祝",IF(WEEKDAY($A37,2)=6,"土",IF(WEEKDAY($A37,2)=7,"日","平"))))</f>
        <v/>
      </c>
      <c r="N37" s="19">
        <f>IF(NOT(ISNUMBER($C37)),"",IF($C37&lt;1,$C37,(INT($C37/100)*60+MOD($C37,100))/1440))</f>
        <v/>
      </c>
      <c r="O37" s="19">
        <f>IF(NOT(ISNUMBER($D37)),"",IF($D37&lt;1,$D37,(INT($D37/100)*60+MOD($D37,100))/1440))</f>
        <v/>
      </c>
      <c r="P37" s="19">
        <f>IF(NOT(ISNUMBER($E37)),"",IF($E37&lt;1,$E37,(INT($E37/100)*60+MOD($E37,100))/1440))</f>
        <v/>
      </c>
      <c r="Q37" s="19">
        <f>IF(NOT(ISNUMBER($G37)),"",IF($G37&lt;1,$G37,(INT($G37/100)*60+MOD($G37,100))/1440))</f>
        <v/>
      </c>
      <c r="R37" s="19">
        <f>IF(NOT(ISNUMBER($H37)),"",IF($H37&lt;1,$H37,(INT($H37/100)*60+MOD($H37,100))/1440))</f>
        <v/>
      </c>
      <c r="S37" s="19">
        <f>IF(NOT(ISNUMBER($I37)),"",IF($I37&lt;1,$I37,(INT($I37/100)*60+MOD($I37,100))/1440))</f>
        <v/>
      </c>
      <c r="T37" s="19">
        <f>IF(NOT(ISNUMBER($J37)),"",IF($J37&lt;1,$J37,(INT($J37/100)*60+MOD($J37,100))/1440))</f>
        <v/>
      </c>
    </row>
    <row r="38" ht="19" customHeight="1">
      <c r="A38" s="20">
        <f>IF(A37="","",IF(MONTH(A37+1)=$D$4,A37+1,""))</f>
        <v/>
      </c>
      <c r="B38" s="21">
        <f>IF($A38="","",CHOOSE(WEEKDAY($A38,2),"月","火","水","木","金","土","日"))</f>
        <v/>
      </c>
      <c r="C38" s="22" t="n"/>
      <c r="D38" s="22" t="n"/>
      <c r="E38" s="22" t="n"/>
      <c r="F38" s="23">
        <f>IF(OR($N38="",$O38=""),"",MAX(0,MOD($O38-$N38,1)-IF($P38&lt;&gt;"",$P38,IF(MOD($O38-$N38,1)&gt;設定!$E$8,設定!$E$7,0))))</f>
        <v/>
      </c>
      <c r="G38" s="22" t="n"/>
      <c r="H38" s="22" t="n"/>
      <c r="I38" s="22" t="n"/>
      <c r="J38" s="22" t="n"/>
      <c r="K38" s="24">
        <f>IF($A38="","",IFERROR(VLOOKUP($A38,祝日リスト!$A$2:$C$40,3,0),""))</f>
        <v/>
      </c>
      <c r="L38" s="25" t="n"/>
      <c r="M38" s="19">
        <f>IF($A38="","",IF($K38&lt;&gt;"","祝",IF(WEEKDAY($A38,2)=6,"土",IF(WEEKDAY($A38,2)=7,"日","平"))))</f>
        <v/>
      </c>
      <c r="N38" s="19">
        <f>IF(NOT(ISNUMBER($C38)),"",IF($C38&lt;1,$C38,(INT($C38/100)*60+MOD($C38,100))/1440))</f>
        <v/>
      </c>
      <c r="O38" s="19">
        <f>IF(NOT(ISNUMBER($D38)),"",IF($D38&lt;1,$D38,(INT($D38/100)*60+MOD($D38,100))/1440))</f>
        <v/>
      </c>
      <c r="P38" s="19">
        <f>IF(NOT(ISNUMBER($E38)),"",IF($E38&lt;1,$E38,(INT($E38/100)*60+MOD($E38,100))/1440))</f>
        <v/>
      </c>
      <c r="Q38" s="19">
        <f>IF(NOT(ISNUMBER($G38)),"",IF($G38&lt;1,$G38,(INT($G38/100)*60+MOD($G38,100))/1440))</f>
        <v/>
      </c>
      <c r="R38" s="19">
        <f>IF(NOT(ISNUMBER($H38)),"",IF($H38&lt;1,$H38,(INT($H38/100)*60+MOD($H38,100))/1440))</f>
        <v/>
      </c>
      <c r="S38" s="19">
        <f>IF(NOT(ISNUMBER($I38)),"",IF($I38&lt;1,$I38,(INT($I38/100)*60+MOD($I38,100))/1440))</f>
        <v/>
      </c>
      <c r="T38" s="19">
        <f>IF(NOT(ISNUMBER($J38)),"",IF($J38&lt;1,$J38,(INT($J38/100)*60+MOD($J38,100))/1440))</f>
        <v/>
      </c>
    </row>
    <row r="40" ht="20" customHeight="1">
      <c r="A40" s="26" t="inlineStr">
        <is>
          <t>月次集計</t>
        </is>
      </c>
    </row>
    <row r="41" ht="18" customHeight="1">
      <c r="A41" s="27" t="inlineStr">
        <is>
          <t>出勤日数</t>
        </is>
      </c>
      <c r="D41" s="28">
        <f>COUNT($N$8:$N$38)</f>
        <v/>
      </c>
      <c r="E41" s="29" t="inlineStr">
        <is>
          <t>日</t>
        </is>
      </c>
      <c r="G41" s="27" t="inlineStr">
        <is>
          <t>通常残業</t>
        </is>
      </c>
      <c r="K41" s="30">
        <f>SUM($Q$8:$Q$38)</f>
        <v/>
      </c>
    </row>
    <row r="42" ht="18" customHeight="1">
      <c r="A42" s="27" t="inlineStr">
        <is>
          <t>実働時間 合計</t>
        </is>
      </c>
      <c r="D42" s="30">
        <f>SUM($F$8:$F$38)</f>
        <v/>
      </c>
      <c r="G42" s="27" t="inlineStr">
        <is>
          <t>深夜残業</t>
        </is>
      </c>
      <c r="K42" s="30">
        <f>SUM($R$8:$R$38)</f>
        <v/>
      </c>
    </row>
    <row r="43" ht="18" customHeight="1">
      <c r="A43" s="31" t="inlineStr">
        <is>
          <t xml:space="preserve">　うち 平日</t>
        </is>
      </c>
      <c r="D43" s="30">
        <f>SUMIF($M$8:$M$38,"平",$F$8:$F$38)</f>
        <v/>
      </c>
      <c r="G43" s="27" t="inlineStr">
        <is>
          <t>早朝残業</t>
        </is>
      </c>
      <c r="K43" s="30">
        <f>SUM($S$8:$S$38)</f>
        <v/>
      </c>
    </row>
    <row r="44" ht="18" customHeight="1">
      <c r="A44" s="31" t="inlineStr">
        <is>
          <t xml:space="preserve">　うち 土曜</t>
        </is>
      </c>
      <c r="D44" s="30">
        <f>SUMIF($M$8:$M$38,"土",$F$8:$F$38)</f>
        <v/>
      </c>
      <c r="G44" s="27" t="inlineStr">
        <is>
          <t>遅刻・早退</t>
        </is>
      </c>
      <c r="K44" s="30">
        <f>SUM($T$8:$T$38)</f>
        <v/>
      </c>
    </row>
    <row r="45" ht="18" customHeight="1">
      <c r="A45" s="31" t="inlineStr">
        <is>
          <t xml:space="preserve">　うち 日曜・祝日</t>
        </is>
      </c>
      <c r="D45" s="30">
        <f>SUMIF($M$8:$M$38,"日",$F$8:$F$38)+SUMIF($M$8:$M$38,"祝",$F$8:$F$38)</f>
        <v/>
      </c>
      <c r="G45" s="27" t="inlineStr">
        <is>
          <t>所定超過(実働-所定×出勤日数)</t>
        </is>
      </c>
      <c r="K45" s="30">
        <f>MAX(0,SUM($F$8:$F$38)-設定!$E$6*COUNT($N$8:$N$38))</f>
        <v/>
      </c>
    </row>
    <row r="47">
      <c r="A47" s="11" t="inlineStr">
        <is>
          <t>※ 残業欄は実働時間の内数です。実働は「退勤－出勤－休憩」で自動計算されます。</t>
        </is>
      </c>
    </row>
    <row r="49" ht="30" customHeight="1">
      <c r="G49" s="9" t="inlineStr">
        <is>
          <t>承認</t>
        </is>
      </c>
      <c r="H49" s="32" t="n"/>
      <c r="J49" s="32" t="n"/>
    </row>
    <row r="50">
      <c r="H50" s="33" t="inlineStr">
        <is>
          <t>本人</t>
        </is>
      </c>
      <c r="J50" s="33" t="inlineStr">
        <is>
          <t>上長</t>
        </is>
      </c>
    </row>
  </sheetData>
  <mergeCells count="15">
    <mergeCell ref="G44:J44"/>
    <mergeCell ref="A42:C42"/>
    <mergeCell ref="A41:C41"/>
    <mergeCell ref="A44:C44"/>
    <mergeCell ref="A45:C45"/>
    <mergeCell ref="G43:J43"/>
    <mergeCell ref="H49:I49"/>
    <mergeCell ref="J49:K49"/>
    <mergeCell ref="A40:L40"/>
    <mergeCell ref="J4:L4"/>
    <mergeCell ref="A2:D2"/>
    <mergeCell ref="G41:J41"/>
    <mergeCell ref="A43:C43"/>
    <mergeCell ref="G45:J45"/>
    <mergeCell ref="G42:J42"/>
  </mergeCells>
  <conditionalFormatting sqref="A8:L38">
    <cfRule type="expression" priority="1" dxfId="0" stopIfTrue="1">
      <formula>$A8=""</formula>
    </cfRule>
    <cfRule type="expression" priority="2" dxfId="1">
      <formula>OR($M8="祝",$M8="日")</formula>
    </cfRule>
    <cfRule type="expression" priority="3" dxfId="2">
      <formula>$M8="土"</formula>
    </cfRule>
  </conditionalFormatting>
  <conditionalFormatting sqref="D8:D38">
    <cfRule type="expression" priority="4" dxfId="3">
      <formula>AND($N8&lt;&gt;"",$O8="")</formula>
    </cfRule>
  </conditionalFormatting>
  <conditionalFormatting sqref="C8:C38">
    <cfRule type="expression" priority="5" dxfId="3">
      <formula>AND($O8&lt;&gt;"",$N8="")</formula>
    </cfRule>
  </conditionalFormatting>
  <dataValidations count="2">
    <dataValidation sqref="L8:L38" showDropDown="0" showInputMessage="1" showErrorMessage="0" allowBlank="1" promptTitle="備考" prompt="選択、または自由入力できます" type="list">
      <formula1>"有給,半休,欠勤,遅刻,早退,休日出勤,振替休日,直行,直帰,出張,特別休暇"</formula1>
    </dataValidation>
    <dataValidation sqref="C8:C38 D8:D38 E8:E38 G8:G38 H8:H38 I8:I38 J8:J38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=OR(AND(C8&gt;=0,C8&lt;1),AND(C8=INT(C8),C8&lt;=2359,MOD(C8,100)&lt;60))</formula1>
    </dataValidation>
  </dataValidations>
  <pageMargins left="0.3" right="0.3" top="0.4" bottom="0.4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FF8FAADC"/>
    <outlinePr summaryBelow="1" summaryRight="1"/>
    <pageSetUpPr fitToPage="1"/>
  </sheetPr>
  <dimension ref="A2:T5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.5" customWidth="1" min="1" max="1"/>
    <col width="4.5" customWidth="1" min="2" max="2"/>
    <col width="8.5" customWidth="1" min="3" max="3"/>
    <col width="8.5" customWidth="1" min="4" max="4"/>
    <col width="8" customWidth="1" min="5" max="5"/>
    <col width="8.5" customWidth="1" min="6" max="6"/>
    <col width="9" customWidth="1" min="7" max="7"/>
    <col width="9" customWidth="1" min="8" max="8"/>
    <col width="9" customWidth="1" min="9" max="9"/>
    <col width="10" customWidth="1" min="10" max="10"/>
    <col width="14" customWidth="1" min="11" max="11"/>
    <col width="26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2" ht="24" customHeight="1">
      <c r="A2" s="8">
        <f>設定!$B$4&amp;"　"&amp;設定!$B$3&amp;"年"&amp;6&amp;"月度 出勤簿"</f>
        <v/>
      </c>
    </row>
    <row r="4">
      <c r="A4" s="9" t="inlineStr">
        <is>
          <t>年</t>
        </is>
      </c>
      <c r="B4" s="10">
        <f>設定!$B$3</f>
        <v/>
      </c>
      <c r="C4" s="9" t="inlineStr">
        <is>
          <t>月</t>
        </is>
      </c>
      <c r="D4" s="10" t="n">
        <v>6</v>
      </c>
      <c r="G4" s="9" t="inlineStr">
        <is>
          <t>所属</t>
        </is>
      </c>
      <c r="H4" s="10">
        <f>設定!$B$5</f>
        <v/>
      </c>
      <c r="I4" s="9" t="inlineStr">
        <is>
          <t>氏名</t>
        </is>
      </c>
      <c r="J4" s="10">
        <f>設定!$B$4</f>
        <v/>
      </c>
    </row>
    <row r="5">
      <c r="A5" s="11" t="inlineStr">
        <is>
          <t>黄色のセルに入力してください（灰色は自動計算）。時刻は 930 のようにコロンなしで入力できます。</t>
        </is>
      </c>
    </row>
    <row r="7" ht="26" customHeight="1">
      <c r="A7" s="12" t="inlineStr">
        <is>
          <t>日</t>
        </is>
      </c>
      <c r="B7" s="12" t="inlineStr">
        <is>
          <t>曜</t>
        </is>
      </c>
      <c r="C7" s="12" t="inlineStr">
        <is>
          <t>出勤</t>
        </is>
      </c>
      <c r="D7" s="12" t="inlineStr">
        <is>
          <t>退勤</t>
        </is>
      </c>
      <c r="E7" s="12" t="inlineStr">
        <is>
          <t>休憩</t>
        </is>
      </c>
      <c r="F7" s="12" t="inlineStr">
        <is>
          <t>実働</t>
        </is>
      </c>
      <c r="G7" s="12" t="inlineStr">
        <is>
          <t>通常残業</t>
        </is>
      </c>
      <c r="H7" s="12" t="inlineStr">
        <is>
          <t>深夜残業</t>
        </is>
      </c>
      <c r="I7" s="12" t="inlineStr">
        <is>
          <t>早朝残業</t>
        </is>
      </c>
      <c r="J7" s="12" t="inlineStr">
        <is>
          <t>遅刻・早退</t>
        </is>
      </c>
      <c r="K7" s="12" t="inlineStr">
        <is>
          <t>祝日</t>
        </is>
      </c>
      <c r="L7" s="12" t="inlineStr">
        <is>
          <t>備考・理由</t>
        </is>
      </c>
    </row>
    <row r="8" ht="19" customHeight="1">
      <c r="A8" s="13">
        <f>DATE($B$4,$D$4,1)</f>
        <v/>
      </c>
      <c r="B8" s="14">
        <f>IF($A8="","",CHOOSE(WEEKDAY($A8,2),"月","火","水","木","金","土","日"))</f>
        <v/>
      </c>
      <c r="C8" s="15" t="n">
        <v>900</v>
      </c>
      <c r="D8" s="15" t="n">
        <v>1500</v>
      </c>
      <c r="E8" s="15" t="n"/>
      <c r="F8" s="16">
        <f>IF(OR($N8="",$O8=""),"",MAX(0,MOD($O8-$N8,1)-IF($P8&lt;&gt;"",$P8,IF(MOD($O8-$N8,1)&gt;設定!$E$8,設定!$E$7,0))))</f>
        <v/>
      </c>
      <c r="G8" s="15" t="n"/>
      <c r="H8" s="15" t="n"/>
      <c r="I8" s="15" t="n"/>
      <c r="J8" s="15" t="n"/>
      <c r="K8" s="17">
        <f>IF($A8="","",IFERROR(VLOOKUP($A8,祝日リスト!$A$2:$C$40,3,0),""))</f>
        <v/>
      </c>
      <c r="L8" s="18" t="n"/>
      <c r="M8" s="19">
        <f>IF($A8="","",IF($K8&lt;&gt;"","祝",IF(WEEKDAY($A8,2)=6,"土",IF(WEEKDAY($A8,2)=7,"日","平"))))</f>
        <v/>
      </c>
      <c r="N8" s="19">
        <f>IF(NOT(ISNUMBER($C8)),"",IF($C8&lt;1,$C8,(INT($C8/100)*60+MOD($C8,100))/1440))</f>
        <v/>
      </c>
      <c r="O8" s="19">
        <f>IF(NOT(ISNUMBER($D8)),"",IF($D8&lt;1,$D8,(INT($D8/100)*60+MOD($D8,100))/1440))</f>
        <v/>
      </c>
      <c r="P8" s="19">
        <f>IF(NOT(ISNUMBER($E8)),"",IF($E8&lt;1,$E8,(INT($E8/100)*60+MOD($E8,100))/1440))</f>
        <v/>
      </c>
      <c r="Q8" s="19">
        <f>IF(NOT(ISNUMBER($G8)),"",IF($G8&lt;1,$G8,(INT($G8/100)*60+MOD($G8,100))/1440))</f>
        <v/>
      </c>
      <c r="R8" s="19">
        <f>IF(NOT(ISNUMBER($H8)),"",IF($H8&lt;1,$H8,(INT($H8/100)*60+MOD($H8,100))/1440))</f>
        <v/>
      </c>
      <c r="S8" s="19">
        <f>IF(NOT(ISNUMBER($I8)),"",IF($I8&lt;1,$I8,(INT($I8/100)*60+MOD($I8,100))/1440))</f>
        <v/>
      </c>
      <c r="T8" s="19">
        <f>IF(NOT(ISNUMBER($J8)),"",IF($J8&lt;1,$J8,(INT($J8/100)*60+MOD($J8,100))/1440))</f>
        <v/>
      </c>
    </row>
    <row r="9" ht="19" customHeight="1">
      <c r="A9" s="13">
        <f>IF(A8="","",IF(MONTH(A8+1)=$D$4,A8+1,""))</f>
        <v/>
      </c>
      <c r="B9" s="14">
        <f>IF($A9="","",CHOOSE(WEEKDAY($A9,2),"月","火","水","木","金","土","日"))</f>
        <v/>
      </c>
      <c r="C9" s="15" t="n">
        <v>900</v>
      </c>
      <c r="D9" s="15" t="n">
        <v>1500</v>
      </c>
      <c r="E9" s="15" t="n"/>
      <c r="F9" s="16">
        <f>IF(OR($N9="",$O9=""),"",MAX(0,MOD($O9-$N9,1)-IF($P9&lt;&gt;"",$P9,IF(MOD($O9-$N9,1)&gt;設定!$E$8,設定!$E$7,0))))</f>
        <v/>
      </c>
      <c r="G9" s="15" t="n"/>
      <c r="H9" s="15" t="n"/>
      <c r="I9" s="15" t="n"/>
      <c r="J9" s="15" t="n"/>
      <c r="K9" s="17">
        <f>IF($A9="","",IFERROR(VLOOKUP($A9,祝日リスト!$A$2:$C$40,3,0),""))</f>
        <v/>
      </c>
      <c r="L9" s="18" t="n"/>
      <c r="M9" s="19">
        <f>IF($A9="","",IF($K9&lt;&gt;"","祝",IF(WEEKDAY($A9,2)=6,"土",IF(WEEKDAY($A9,2)=7,"日","平"))))</f>
        <v/>
      </c>
      <c r="N9" s="19">
        <f>IF(NOT(ISNUMBER($C9)),"",IF($C9&lt;1,$C9,(INT($C9/100)*60+MOD($C9,100))/1440))</f>
        <v/>
      </c>
      <c r="O9" s="19">
        <f>IF(NOT(ISNUMBER($D9)),"",IF($D9&lt;1,$D9,(INT($D9/100)*60+MOD($D9,100))/1440))</f>
        <v/>
      </c>
      <c r="P9" s="19">
        <f>IF(NOT(ISNUMBER($E9)),"",IF($E9&lt;1,$E9,(INT($E9/100)*60+MOD($E9,100))/1440))</f>
        <v/>
      </c>
      <c r="Q9" s="19">
        <f>IF(NOT(ISNUMBER($G9)),"",IF($G9&lt;1,$G9,(INT($G9/100)*60+MOD($G9,100))/1440))</f>
        <v/>
      </c>
      <c r="R9" s="19">
        <f>IF(NOT(ISNUMBER($H9)),"",IF($H9&lt;1,$H9,(INT($H9/100)*60+MOD($H9,100))/1440))</f>
        <v/>
      </c>
      <c r="S9" s="19">
        <f>IF(NOT(ISNUMBER($I9)),"",IF($I9&lt;1,$I9,(INT($I9/100)*60+MOD($I9,100))/1440))</f>
        <v/>
      </c>
      <c r="T9" s="19">
        <f>IF(NOT(ISNUMBER($J9)),"",IF($J9&lt;1,$J9,(INT($J9/100)*60+MOD($J9,100))/1440))</f>
        <v/>
      </c>
    </row>
    <row r="10" ht="19" customHeight="1">
      <c r="A10" s="13">
        <f>IF(A9="","",IF(MONTH(A9+1)=$D$4,A9+1,""))</f>
        <v/>
      </c>
      <c r="B10" s="14">
        <f>IF($A10="","",CHOOSE(WEEKDAY($A10,2),"月","火","水","木","金","土","日"))</f>
        <v/>
      </c>
      <c r="C10" s="15" t="n"/>
      <c r="D10" s="15" t="n"/>
      <c r="E10" s="15" t="n"/>
      <c r="F10" s="16">
        <f>IF(OR($N10="",$O10=""),"",MAX(0,MOD($O10-$N10,1)-IF($P10&lt;&gt;"",$P10,IF(MOD($O10-$N10,1)&gt;設定!$E$8,設定!$E$7,0))))</f>
        <v/>
      </c>
      <c r="G10" s="15" t="n"/>
      <c r="H10" s="15" t="n"/>
      <c r="I10" s="15" t="n"/>
      <c r="J10" s="15" t="n"/>
      <c r="K10" s="17">
        <f>IF($A10="","",IFERROR(VLOOKUP($A10,祝日リスト!$A$2:$C$40,3,0),""))</f>
        <v/>
      </c>
      <c r="L10" s="18" t="inlineStr">
        <is>
          <t>休み</t>
        </is>
      </c>
      <c r="M10" s="19">
        <f>IF($A10="","",IF($K10&lt;&gt;"","祝",IF(WEEKDAY($A10,2)=6,"土",IF(WEEKDAY($A10,2)=7,"日","平"))))</f>
        <v/>
      </c>
      <c r="N10" s="19">
        <f>IF(NOT(ISNUMBER($C10)),"",IF($C10&lt;1,$C10,(INT($C10/100)*60+MOD($C10,100))/1440))</f>
        <v/>
      </c>
      <c r="O10" s="19">
        <f>IF(NOT(ISNUMBER($D10)),"",IF($D10&lt;1,$D10,(INT($D10/100)*60+MOD($D10,100))/1440))</f>
        <v/>
      </c>
      <c r="P10" s="19">
        <f>IF(NOT(ISNUMBER($E10)),"",IF($E10&lt;1,$E10,(INT($E10/100)*60+MOD($E10,100))/1440))</f>
        <v/>
      </c>
      <c r="Q10" s="19">
        <f>IF(NOT(ISNUMBER($G10)),"",IF($G10&lt;1,$G10,(INT($G10/100)*60+MOD($G10,100))/1440))</f>
        <v/>
      </c>
      <c r="R10" s="19">
        <f>IF(NOT(ISNUMBER($H10)),"",IF($H10&lt;1,$H10,(INT($H10/100)*60+MOD($H10,100))/1440))</f>
        <v/>
      </c>
      <c r="S10" s="19">
        <f>IF(NOT(ISNUMBER($I10)),"",IF($I10&lt;1,$I10,(INT($I10/100)*60+MOD($I10,100))/1440))</f>
        <v/>
      </c>
      <c r="T10" s="19">
        <f>IF(NOT(ISNUMBER($J10)),"",IF($J10&lt;1,$J10,(INT($J10/100)*60+MOD($J10,100))/1440))</f>
        <v/>
      </c>
    </row>
    <row r="11" ht="19" customHeight="1">
      <c r="A11" s="13">
        <f>IF(A10="","",IF(MONTH(A10+1)=$D$4,A10+1,""))</f>
        <v/>
      </c>
      <c r="B11" s="14">
        <f>IF($A11="","",CHOOSE(WEEKDAY($A11,2),"月","火","水","木","金","土","日"))</f>
        <v/>
      </c>
      <c r="C11" s="15" t="n">
        <v>900</v>
      </c>
      <c r="D11" s="15" t="n">
        <v>1500</v>
      </c>
      <c r="E11" s="15" t="n"/>
      <c r="F11" s="16">
        <f>IF(OR($N11="",$O11=""),"",MAX(0,MOD($O11-$N11,1)-IF($P11&lt;&gt;"",$P11,IF(MOD($O11-$N11,1)&gt;設定!$E$8,設定!$E$7,0))))</f>
        <v/>
      </c>
      <c r="G11" s="15" t="n"/>
      <c r="H11" s="15" t="n"/>
      <c r="I11" s="15" t="n"/>
      <c r="J11" s="15" t="n"/>
      <c r="K11" s="17">
        <f>IF($A11="","",IFERROR(VLOOKUP($A11,祝日リスト!$A$2:$C$40,3,0),""))</f>
        <v/>
      </c>
      <c r="L11" s="18" t="n"/>
      <c r="M11" s="19">
        <f>IF($A11="","",IF($K11&lt;&gt;"","祝",IF(WEEKDAY($A11,2)=6,"土",IF(WEEKDAY($A11,2)=7,"日","平"))))</f>
        <v/>
      </c>
      <c r="N11" s="19">
        <f>IF(NOT(ISNUMBER($C11)),"",IF($C11&lt;1,$C11,(INT($C11/100)*60+MOD($C11,100))/1440))</f>
        <v/>
      </c>
      <c r="O11" s="19">
        <f>IF(NOT(ISNUMBER($D11)),"",IF($D11&lt;1,$D11,(INT($D11/100)*60+MOD($D11,100))/1440))</f>
        <v/>
      </c>
      <c r="P11" s="19">
        <f>IF(NOT(ISNUMBER($E11)),"",IF($E11&lt;1,$E11,(INT($E11/100)*60+MOD($E11,100))/1440))</f>
        <v/>
      </c>
      <c r="Q11" s="19">
        <f>IF(NOT(ISNUMBER($G11)),"",IF($G11&lt;1,$G11,(INT($G11/100)*60+MOD($G11,100))/1440))</f>
        <v/>
      </c>
      <c r="R11" s="19">
        <f>IF(NOT(ISNUMBER($H11)),"",IF($H11&lt;1,$H11,(INT($H11/100)*60+MOD($H11,100))/1440))</f>
        <v/>
      </c>
      <c r="S11" s="19">
        <f>IF(NOT(ISNUMBER($I11)),"",IF($I11&lt;1,$I11,(INT($I11/100)*60+MOD($I11,100))/1440))</f>
        <v/>
      </c>
      <c r="T11" s="19">
        <f>IF(NOT(ISNUMBER($J11)),"",IF($J11&lt;1,$J11,(INT($J11/100)*60+MOD($J11,100))/1440))</f>
        <v/>
      </c>
    </row>
    <row r="12" ht="19" customHeight="1">
      <c r="A12" s="13">
        <f>IF(A11="","",IF(MONTH(A11+1)=$D$4,A11+1,""))</f>
        <v/>
      </c>
      <c r="B12" s="14">
        <f>IF($A12="","",CHOOSE(WEEKDAY($A12,2),"月","火","水","木","金","土","日"))</f>
        <v/>
      </c>
      <c r="C12" s="15" t="n">
        <v>900</v>
      </c>
      <c r="D12" s="15" t="n">
        <v>1500</v>
      </c>
      <c r="E12" s="15" t="n"/>
      <c r="F12" s="16">
        <f>IF(OR($N12="",$O12=""),"",MAX(0,MOD($O12-$N12,1)-IF($P12&lt;&gt;"",$P12,IF(MOD($O12-$N12,1)&gt;設定!$E$8,設定!$E$7,0))))</f>
        <v/>
      </c>
      <c r="G12" s="15" t="n"/>
      <c r="H12" s="15" t="n"/>
      <c r="I12" s="15" t="n"/>
      <c r="J12" s="15" t="n"/>
      <c r="K12" s="17">
        <f>IF($A12="","",IFERROR(VLOOKUP($A12,祝日リスト!$A$2:$C$40,3,0),""))</f>
        <v/>
      </c>
      <c r="L12" s="18" t="n"/>
      <c r="M12" s="19">
        <f>IF($A12="","",IF($K12&lt;&gt;"","祝",IF(WEEKDAY($A12,2)=6,"土",IF(WEEKDAY($A12,2)=7,"日","平"))))</f>
        <v/>
      </c>
      <c r="N12" s="19">
        <f>IF(NOT(ISNUMBER($C12)),"",IF($C12&lt;1,$C12,(INT($C12/100)*60+MOD($C12,100))/1440))</f>
        <v/>
      </c>
      <c r="O12" s="19">
        <f>IF(NOT(ISNUMBER($D12)),"",IF($D12&lt;1,$D12,(INT($D12/100)*60+MOD($D12,100))/1440))</f>
        <v/>
      </c>
      <c r="P12" s="19">
        <f>IF(NOT(ISNUMBER($E12)),"",IF($E12&lt;1,$E12,(INT($E12/100)*60+MOD($E12,100))/1440))</f>
        <v/>
      </c>
      <c r="Q12" s="19">
        <f>IF(NOT(ISNUMBER($G12)),"",IF($G12&lt;1,$G12,(INT($G12/100)*60+MOD($G12,100))/1440))</f>
        <v/>
      </c>
      <c r="R12" s="19">
        <f>IF(NOT(ISNUMBER($H12)),"",IF($H12&lt;1,$H12,(INT($H12/100)*60+MOD($H12,100))/1440))</f>
        <v/>
      </c>
      <c r="S12" s="19">
        <f>IF(NOT(ISNUMBER($I12)),"",IF($I12&lt;1,$I12,(INT($I12/100)*60+MOD($I12,100))/1440))</f>
        <v/>
      </c>
      <c r="T12" s="19">
        <f>IF(NOT(ISNUMBER($J12)),"",IF($J12&lt;1,$J12,(INT($J12/100)*60+MOD($J12,100))/1440))</f>
        <v/>
      </c>
    </row>
    <row r="13" ht="19" customHeight="1">
      <c r="A13" s="13">
        <f>IF(A12="","",IF(MONTH(A12+1)=$D$4,A12+1,""))</f>
        <v/>
      </c>
      <c r="B13" s="14">
        <f>IF($A13="","",CHOOSE(WEEKDAY($A13,2),"月","火","水","木","金","土","日"))</f>
        <v/>
      </c>
      <c r="C13" s="15" t="n"/>
      <c r="D13" s="15" t="n"/>
      <c r="E13" s="15" t="n"/>
      <c r="F13" s="16">
        <f>IF(OR($N13="",$O13=""),"",MAX(0,MOD($O13-$N13,1)-IF($P13&lt;&gt;"",$P13,IF(MOD($O13-$N13,1)&gt;設定!$E$8,設定!$E$7,0))))</f>
        <v/>
      </c>
      <c r="G13" s="15" t="n"/>
      <c r="H13" s="15" t="n"/>
      <c r="I13" s="15" t="n"/>
      <c r="J13" s="15" t="n"/>
      <c r="K13" s="17">
        <f>IF($A13="","",IFERROR(VLOOKUP($A13,祝日リスト!$A$2:$C$40,3,0),""))</f>
        <v/>
      </c>
      <c r="L13" s="18" t="inlineStr">
        <is>
          <t>休み</t>
        </is>
      </c>
      <c r="M13" s="19">
        <f>IF($A13="","",IF($K13&lt;&gt;"","祝",IF(WEEKDAY($A13,2)=6,"土",IF(WEEKDAY($A13,2)=7,"日","平"))))</f>
        <v/>
      </c>
      <c r="N13" s="19">
        <f>IF(NOT(ISNUMBER($C13)),"",IF($C13&lt;1,$C13,(INT($C13/100)*60+MOD($C13,100))/1440))</f>
        <v/>
      </c>
      <c r="O13" s="19">
        <f>IF(NOT(ISNUMBER($D13)),"",IF($D13&lt;1,$D13,(INT($D13/100)*60+MOD($D13,100))/1440))</f>
        <v/>
      </c>
      <c r="P13" s="19">
        <f>IF(NOT(ISNUMBER($E13)),"",IF($E13&lt;1,$E13,(INT($E13/100)*60+MOD($E13,100))/1440))</f>
        <v/>
      </c>
      <c r="Q13" s="19">
        <f>IF(NOT(ISNUMBER($G13)),"",IF($G13&lt;1,$G13,(INT($G13/100)*60+MOD($G13,100))/1440))</f>
        <v/>
      </c>
      <c r="R13" s="19">
        <f>IF(NOT(ISNUMBER($H13)),"",IF($H13&lt;1,$H13,(INT($H13/100)*60+MOD($H13,100))/1440))</f>
        <v/>
      </c>
      <c r="S13" s="19">
        <f>IF(NOT(ISNUMBER($I13)),"",IF($I13&lt;1,$I13,(INT($I13/100)*60+MOD($I13,100))/1440))</f>
        <v/>
      </c>
      <c r="T13" s="19">
        <f>IF(NOT(ISNUMBER($J13)),"",IF($J13&lt;1,$J13,(INT($J13/100)*60+MOD($J13,100))/1440))</f>
        <v/>
      </c>
    </row>
    <row r="14" ht="19" customHeight="1">
      <c r="A14" s="13">
        <f>IF(A13="","",IF(MONTH(A13+1)=$D$4,A13+1,""))</f>
        <v/>
      </c>
      <c r="B14" s="14">
        <f>IF($A14="","",CHOOSE(WEEKDAY($A14,2),"月","火","水","木","金","土","日"))</f>
        <v/>
      </c>
      <c r="C14" s="15" t="n"/>
      <c r="D14" s="15" t="n"/>
      <c r="E14" s="15" t="n"/>
      <c r="F14" s="16">
        <f>IF(OR($N14="",$O14=""),"",MAX(0,MOD($O14-$N14,1)-IF($P14&lt;&gt;"",$P14,IF(MOD($O14-$N14,1)&gt;設定!$E$8,設定!$E$7,0))))</f>
        <v/>
      </c>
      <c r="G14" s="15" t="n"/>
      <c r="H14" s="15" t="n"/>
      <c r="I14" s="15" t="n"/>
      <c r="J14" s="15" t="n"/>
      <c r="K14" s="17">
        <f>IF($A14="","",IFERROR(VLOOKUP($A14,祝日リスト!$A$2:$C$40,3,0),""))</f>
        <v/>
      </c>
      <c r="L14" s="18" t="inlineStr">
        <is>
          <t>休み</t>
        </is>
      </c>
      <c r="M14" s="19">
        <f>IF($A14="","",IF($K14&lt;&gt;"","祝",IF(WEEKDAY($A14,2)=6,"土",IF(WEEKDAY($A14,2)=7,"日","平"))))</f>
        <v/>
      </c>
      <c r="N14" s="19">
        <f>IF(NOT(ISNUMBER($C14)),"",IF($C14&lt;1,$C14,(INT($C14/100)*60+MOD($C14,100))/1440))</f>
        <v/>
      </c>
      <c r="O14" s="19">
        <f>IF(NOT(ISNUMBER($D14)),"",IF($D14&lt;1,$D14,(INT($D14/100)*60+MOD($D14,100))/1440))</f>
        <v/>
      </c>
      <c r="P14" s="19">
        <f>IF(NOT(ISNUMBER($E14)),"",IF($E14&lt;1,$E14,(INT($E14/100)*60+MOD($E14,100))/1440))</f>
        <v/>
      </c>
      <c r="Q14" s="19">
        <f>IF(NOT(ISNUMBER($G14)),"",IF($G14&lt;1,$G14,(INT($G14/100)*60+MOD($G14,100))/1440))</f>
        <v/>
      </c>
      <c r="R14" s="19">
        <f>IF(NOT(ISNUMBER($H14)),"",IF($H14&lt;1,$H14,(INT($H14/100)*60+MOD($H14,100))/1440))</f>
        <v/>
      </c>
      <c r="S14" s="19">
        <f>IF(NOT(ISNUMBER($I14)),"",IF($I14&lt;1,$I14,(INT($I14/100)*60+MOD($I14,100))/1440))</f>
        <v/>
      </c>
      <c r="T14" s="19">
        <f>IF(NOT(ISNUMBER($J14)),"",IF($J14&lt;1,$J14,(INT($J14/100)*60+MOD($J14,100))/1440))</f>
        <v/>
      </c>
    </row>
    <row r="15" ht="19" customHeight="1">
      <c r="A15" s="13">
        <f>IF(A14="","",IF(MONTH(A14+1)=$D$4,A14+1,""))</f>
        <v/>
      </c>
      <c r="B15" s="14">
        <f>IF($A15="","",CHOOSE(WEEKDAY($A15,2),"月","火","水","木","金","土","日"))</f>
        <v/>
      </c>
      <c r="C15" s="15" t="n">
        <v>900</v>
      </c>
      <c r="D15" s="15" t="n">
        <v>1500</v>
      </c>
      <c r="E15" s="15" t="n"/>
      <c r="F15" s="16">
        <f>IF(OR($N15="",$O15=""),"",MAX(0,MOD($O15-$N15,1)-IF($P15&lt;&gt;"",$P15,IF(MOD($O15-$N15,1)&gt;設定!$E$8,設定!$E$7,0))))</f>
        <v/>
      </c>
      <c r="G15" s="15" t="n"/>
      <c r="H15" s="15" t="n"/>
      <c r="I15" s="15" t="n"/>
      <c r="J15" s="15" t="n"/>
      <c r="K15" s="17">
        <f>IF($A15="","",IFERROR(VLOOKUP($A15,祝日リスト!$A$2:$C$40,3,0),""))</f>
        <v/>
      </c>
      <c r="L15" s="18" t="n"/>
      <c r="M15" s="19">
        <f>IF($A15="","",IF($K15&lt;&gt;"","祝",IF(WEEKDAY($A15,2)=6,"土",IF(WEEKDAY($A15,2)=7,"日","平"))))</f>
        <v/>
      </c>
      <c r="N15" s="19">
        <f>IF(NOT(ISNUMBER($C15)),"",IF($C15&lt;1,$C15,(INT($C15/100)*60+MOD($C15,100))/1440))</f>
        <v/>
      </c>
      <c r="O15" s="19">
        <f>IF(NOT(ISNUMBER($D15)),"",IF($D15&lt;1,$D15,(INT($D15/100)*60+MOD($D15,100))/1440))</f>
        <v/>
      </c>
      <c r="P15" s="19">
        <f>IF(NOT(ISNUMBER($E15)),"",IF($E15&lt;1,$E15,(INT($E15/100)*60+MOD($E15,100))/1440))</f>
        <v/>
      </c>
      <c r="Q15" s="19">
        <f>IF(NOT(ISNUMBER($G15)),"",IF($G15&lt;1,$G15,(INT($G15/100)*60+MOD($G15,100))/1440))</f>
        <v/>
      </c>
      <c r="R15" s="19">
        <f>IF(NOT(ISNUMBER($H15)),"",IF($H15&lt;1,$H15,(INT($H15/100)*60+MOD($H15,100))/1440))</f>
        <v/>
      </c>
      <c r="S15" s="19">
        <f>IF(NOT(ISNUMBER($I15)),"",IF($I15&lt;1,$I15,(INT($I15/100)*60+MOD($I15,100))/1440))</f>
        <v/>
      </c>
      <c r="T15" s="19">
        <f>IF(NOT(ISNUMBER($J15)),"",IF($J15&lt;1,$J15,(INT($J15/100)*60+MOD($J15,100))/1440))</f>
        <v/>
      </c>
    </row>
    <row r="16" ht="19" customHeight="1">
      <c r="A16" s="13">
        <f>IF(A15="","",IF(MONTH(A15+1)=$D$4,A15+1,""))</f>
        <v/>
      </c>
      <c r="B16" s="14">
        <f>IF($A16="","",CHOOSE(WEEKDAY($A16,2),"月","火","水","木","金","土","日"))</f>
        <v/>
      </c>
      <c r="C16" s="15" t="n">
        <v>900</v>
      </c>
      <c r="D16" s="15" t="n">
        <v>1500</v>
      </c>
      <c r="E16" s="15" t="n"/>
      <c r="F16" s="16">
        <f>IF(OR($N16="",$O16=""),"",MAX(0,MOD($O16-$N16,1)-IF($P16&lt;&gt;"",$P16,IF(MOD($O16-$N16,1)&gt;設定!$E$8,設定!$E$7,0))))</f>
        <v/>
      </c>
      <c r="G16" s="15" t="n"/>
      <c r="H16" s="15" t="n"/>
      <c r="I16" s="15" t="n"/>
      <c r="J16" s="15" t="n"/>
      <c r="K16" s="17">
        <f>IF($A16="","",IFERROR(VLOOKUP($A16,祝日リスト!$A$2:$C$40,3,0),""))</f>
        <v/>
      </c>
      <c r="L16" s="18" t="n"/>
      <c r="M16" s="19">
        <f>IF($A16="","",IF($K16&lt;&gt;"","祝",IF(WEEKDAY($A16,2)=6,"土",IF(WEEKDAY($A16,2)=7,"日","平"))))</f>
        <v/>
      </c>
      <c r="N16" s="19">
        <f>IF(NOT(ISNUMBER($C16)),"",IF($C16&lt;1,$C16,(INT($C16/100)*60+MOD($C16,100))/1440))</f>
        <v/>
      </c>
      <c r="O16" s="19">
        <f>IF(NOT(ISNUMBER($D16)),"",IF($D16&lt;1,$D16,(INT($D16/100)*60+MOD($D16,100))/1440))</f>
        <v/>
      </c>
      <c r="P16" s="19">
        <f>IF(NOT(ISNUMBER($E16)),"",IF($E16&lt;1,$E16,(INT($E16/100)*60+MOD($E16,100))/1440))</f>
        <v/>
      </c>
      <c r="Q16" s="19">
        <f>IF(NOT(ISNUMBER($G16)),"",IF($G16&lt;1,$G16,(INT($G16/100)*60+MOD($G16,100))/1440))</f>
        <v/>
      </c>
      <c r="R16" s="19">
        <f>IF(NOT(ISNUMBER($H16)),"",IF($H16&lt;1,$H16,(INT($H16/100)*60+MOD($H16,100))/1440))</f>
        <v/>
      </c>
      <c r="S16" s="19">
        <f>IF(NOT(ISNUMBER($I16)),"",IF($I16&lt;1,$I16,(INT($I16/100)*60+MOD($I16,100))/1440))</f>
        <v/>
      </c>
      <c r="T16" s="19">
        <f>IF(NOT(ISNUMBER($J16)),"",IF($J16&lt;1,$J16,(INT($J16/100)*60+MOD($J16,100))/1440))</f>
        <v/>
      </c>
    </row>
    <row r="17" ht="19" customHeight="1">
      <c r="A17" s="13">
        <f>IF(A16="","",IF(MONTH(A16+1)=$D$4,A16+1,""))</f>
        <v/>
      </c>
      <c r="B17" s="14">
        <f>IF($A17="","",CHOOSE(WEEKDAY($A17,2),"月","火","水","木","金","土","日"))</f>
        <v/>
      </c>
      <c r="C17" s="15" t="n"/>
      <c r="D17" s="15" t="n"/>
      <c r="E17" s="15" t="n"/>
      <c r="F17" s="16">
        <f>IF(OR($N17="",$O17=""),"",MAX(0,MOD($O17-$N17,1)-IF($P17&lt;&gt;"",$P17,IF(MOD($O17-$N17,1)&gt;設定!$E$8,設定!$E$7,0))))</f>
        <v/>
      </c>
      <c r="G17" s="15" t="n"/>
      <c r="H17" s="15" t="n"/>
      <c r="I17" s="15" t="n"/>
      <c r="J17" s="15" t="n"/>
      <c r="K17" s="17">
        <f>IF($A17="","",IFERROR(VLOOKUP($A17,祝日リスト!$A$2:$C$40,3,0),""))</f>
        <v/>
      </c>
      <c r="L17" s="18" t="inlineStr">
        <is>
          <t>休み</t>
        </is>
      </c>
      <c r="M17" s="19">
        <f>IF($A17="","",IF($K17&lt;&gt;"","祝",IF(WEEKDAY($A17,2)=6,"土",IF(WEEKDAY($A17,2)=7,"日","平"))))</f>
        <v/>
      </c>
      <c r="N17" s="19">
        <f>IF(NOT(ISNUMBER($C17)),"",IF($C17&lt;1,$C17,(INT($C17/100)*60+MOD($C17,100))/1440))</f>
        <v/>
      </c>
      <c r="O17" s="19">
        <f>IF(NOT(ISNUMBER($D17)),"",IF($D17&lt;1,$D17,(INT($D17/100)*60+MOD($D17,100))/1440))</f>
        <v/>
      </c>
      <c r="P17" s="19">
        <f>IF(NOT(ISNUMBER($E17)),"",IF($E17&lt;1,$E17,(INT($E17/100)*60+MOD($E17,100))/1440))</f>
        <v/>
      </c>
      <c r="Q17" s="19">
        <f>IF(NOT(ISNUMBER($G17)),"",IF($G17&lt;1,$G17,(INT($G17/100)*60+MOD($G17,100))/1440))</f>
        <v/>
      </c>
      <c r="R17" s="19">
        <f>IF(NOT(ISNUMBER($H17)),"",IF($H17&lt;1,$H17,(INT($H17/100)*60+MOD($H17,100))/1440))</f>
        <v/>
      </c>
      <c r="S17" s="19">
        <f>IF(NOT(ISNUMBER($I17)),"",IF($I17&lt;1,$I17,(INT($I17/100)*60+MOD($I17,100))/1440))</f>
        <v/>
      </c>
      <c r="T17" s="19">
        <f>IF(NOT(ISNUMBER($J17)),"",IF($J17&lt;1,$J17,(INT($J17/100)*60+MOD($J17,100))/1440))</f>
        <v/>
      </c>
    </row>
    <row r="18" ht="19" customHeight="1">
      <c r="A18" s="13">
        <f>IF(A17="","",IF(MONTH(A17+1)=$D$4,A17+1,""))</f>
        <v/>
      </c>
      <c r="B18" s="14">
        <f>IF($A18="","",CHOOSE(WEEKDAY($A18,2),"月","火","水","木","金","土","日"))</f>
        <v/>
      </c>
      <c r="C18" s="15" t="n">
        <v>900</v>
      </c>
      <c r="D18" s="15" t="n">
        <v>1500</v>
      </c>
      <c r="E18" s="15" t="n"/>
      <c r="F18" s="16">
        <f>IF(OR($N18="",$O18=""),"",MAX(0,MOD($O18-$N18,1)-IF($P18&lt;&gt;"",$P18,IF(MOD($O18-$N18,1)&gt;設定!$E$8,設定!$E$7,0))))</f>
        <v/>
      </c>
      <c r="G18" s="15" t="n"/>
      <c r="H18" s="15" t="n"/>
      <c r="I18" s="15" t="n"/>
      <c r="J18" s="15" t="n"/>
      <c r="K18" s="17">
        <f>IF($A18="","",IFERROR(VLOOKUP($A18,祝日リスト!$A$2:$C$40,3,0),""))</f>
        <v/>
      </c>
      <c r="L18" s="18" t="n"/>
      <c r="M18" s="19">
        <f>IF($A18="","",IF($K18&lt;&gt;"","祝",IF(WEEKDAY($A18,2)=6,"土",IF(WEEKDAY($A18,2)=7,"日","平"))))</f>
        <v/>
      </c>
      <c r="N18" s="19">
        <f>IF(NOT(ISNUMBER($C18)),"",IF($C18&lt;1,$C18,(INT($C18/100)*60+MOD($C18,100))/1440))</f>
        <v/>
      </c>
      <c r="O18" s="19">
        <f>IF(NOT(ISNUMBER($D18)),"",IF($D18&lt;1,$D18,(INT($D18/100)*60+MOD($D18,100))/1440))</f>
        <v/>
      </c>
      <c r="P18" s="19">
        <f>IF(NOT(ISNUMBER($E18)),"",IF($E18&lt;1,$E18,(INT($E18/100)*60+MOD($E18,100))/1440))</f>
        <v/>
      </c>
      <c r="Q18" s="19">
        <f>IF(NOT(ISNUMBER($G18)),"",IF($G18&lt;1,$G18,(INT($G18/100)*60+MOD($G18,100))/1440))</f>
        <v/>
      </c>
      <c r="R18" s="19">
        <f>IF(NOT(ISNUMBER($H18)),"",IF($H18&lt;1,$H18,(INT($H18/100)*60+MOD($H18,100))/1440))</f>
        <v/>
      </c>
      <c r="S18" s="19">
        <f>IF(NOT(ISNUMBER($I18)),"",IF($I18&lt;1,$I18,(INT($I18/100)*60+MOD($I18,100))/1440))</f>
        <v/>
      </c>
      <c r="T18" s="19">
        <f>IF(NOT(ISNUMBER($J18)),"",IF($J18&lt;1,$J18,(INT($J18/100)*60+MOD($J18,100))/1440))</f>
        <v/>
      </c>
    </row>
    <row r="19" ht="19" customHeight="1">
      <c r="A19" s="13">
        <f>IF(A18="","",IF(MONTH(A18+1)=$D$4,A18+1,""))</f>
        <v/>
      </c>
      <c r="B19" s="14">
        <f>IF($A19="","",CHOOSE(WEEKDAY($A19,2),"月","火","水","木","金","土","日"))</f>
        <v/>
      </c>
      <c r="C19" s="15" t="n">
        <v>900</v>
      </c>
      <c r="D19" s="15" t="n">
        <v>1500</v>
      </c>
      <c r="E19" s="15" t="n"/>
      <c r="F19" s="16">
        <f>IF(OR($N19="",$O19=""),"",MAX(0,MOD($O19-$N19,1)-IF($P19&lt;&gt;"",$P19,IF(MOD($O19-$N19,1)&gt;設定!$E$8,設定!$E$7,0))))</f>
        <v/>
      </c>
      <c r="G19" s="15" t="n"/>
      <c r="H19" s="15" t="n"/>
      <c r="I19" s="15" t="n"/>
      <c r="J19" s="15" t="n"/>
      <c r="K19" s="17">
        <f>IF($A19="","",IFERROR(VLOOKUP($A19,祝日リスト!$A$2:$C$40,3,0),""))</f>
        <v/>
      </c>
      <c r="L19" s="18" t="n"/>
      <c r="M19" s="19">
        <f>IF($A19="","",IF($K19&lt;&gt;"","祝",IF(WEEKDAY($A19,2)=6,"土",IF(WEEKDAY($A19,2)=7,"日","平"))))</f>
        <v/>
      </c>
      <c r="N19" s="19">
        <f>IF(NOT(ISNUMBER($C19)),"",IF($C19&lt;1,$C19,(INT($C19/100)*60+MOD($C19,100))/1440))</f>
        <v/>
      </c>
      <c r="O19" s="19">
        <f>IF(NOT(ISNUMBER($D19)),"",IF($D19&lt;1,$D19,(INT($D19/100)*60+MOD($D19,100))/1440))</f>
        <v/>
      </c>
      <c r="P19" s="19">
        <f>IF(NOT(ISNUMBER($E19)),"",IF($E19&lt;1,$E19,(INT($E19/100)*60+MOD($E19,100))/1440))</f>
        <v/>
      </c>
      <c r="Q19" s="19">
        <f>IF(NOT(ISNUMBER($G19)),"",IF($G19&lt;1,$G19,(INT($G19/100)*60+MOD($G19,100))/1440))</f>
        <v/>
      </c>
      <c r="R19" s="19">
        <f>IF(NOT(ISNUMBER($H19)),"",IF($H19&lt;1,$H19,(INT($H19/100)*60+MOD($H19,100))/1440))</f>
        <v/>
      </c>
      <c r="S19" s="19">
        <f>IF(NOT(ISNUMBER($I19)),"",IF($I19&lt;1,$I19,(INT($I19/100)*60+MOD($I19,100))/1440))</f>
        <v/>
      </c>
      <c r="T19" s="19">
        <f>IF(NOT(ISNUMBER($J19)),"",IF($J19&lt;1,$J19,(INT($J19/100)*60+MOD($J19,100))/1440))</f>
        <v/>
      </c>
    </row>
    <row r="20" ht="19" customHeight="1">
      <c r="A20" s="13">
        <f>IF(A19="","",IF(MONTH(A19+1)=$D$4,A19+1,""))</f>
        <v/>
      </c>
      <c r="B20" s="14">
        <f>IF($A20="","",CHOOSE(WEEKDAY($A20,2),"月","火","水","木","金","土","日"))</f>
        <v/>
      </c>
      <c r="C20" s="15" t="n"/>
      <c r="D20" s="15" t="n"/>
      <c r="E20" s="15" t="n"/>
      <c r="F20" s="16">
        <f>IF(OR($N20="",$O20=""),"",MAX(0,MOD($O20-$N20,1)-IF($P20&lt;&gt;"",$P20,IF(MOD($O20-$N20,1)&gt;設定!$E$8,設定!$E$7,0))))</f>
        <v/>
      </c>
      <c r="G20" s="15" t="n"/>
      <c r="H20" s="15" t="n"/>
      <c r="I20" s="15" t="n"/>
      <c r="J20" s="15" t="n"/>
      <c r="K20" s="17">
        <f>IF($A20="","",IFERROR(VLOOKUP($A20,祝日リスト!$A$2:$C$40,3,0),""))</f>
        <v/>
      </c>
      <c r="L20" s="18" t="inlineStr">
        <is>
          <t>休み</t>
        </is>
      </c>
      <c r="M20" s="19">
        <f>IF($A20="","",IF($K20&lt;&gt;"","祝",IF(WEEKDAY($A20,2)=6,"土",IF(WEEKDAY($A20,2)=7,"日","平"))))</f>
        <v/>
      </c>
      <c r="N20" s="19">
        <f>IF(NOT(ISNUMBER($C20)),"",IF($C20&lt;1,$C20,(INT($C20/100)*60+MOD($C20,100))/1440))</f>
        <v/>
      </c>
      <c r="O20" s="19">
        <f>IF(NOT(ISNUMBER($D20)),"",IF($D20&lt;1,$D20,(INT($D20/100)*60+MOD($D20,100))/1440))</f>
        <v/>
      </c>
      <c r="P20" s="19">
        <f>IF(NOT(ISNUMBER($E20)),"",IF($E20&lt;1,$E20,(INT($E20/100)*60+MOD($E20,100))/1440))</f>
        <v/>
      </c>
      <c r="Q20" s="19">
        <f>IF(NOT(ISNUMBER($G20)),"",IF($G20&lt;1,$G20,(INT($G20/100)*60+MOD($G20,100))/1440))</f>
        <v/>
      </c>
      <c r="R20" s="19">
        <f>IF(NOT(ISNUMBER($H20)),"",IF($H20&lt;1,$H20,(INT($H20/100)*60+MOD($H20,100))/1440))</f>
        <v/>
      </c>
      <c r="S20" s="19">
        <f>IF(NOT(ISNUMBER($I20)),"",IF($I20&lt;1,$I20,(INT($I20/100)*60+MOD($I20,100))/1440))</f>
        <v/>
      </c>
      <c r="T20" s="19">
        <f>IF(NOT(ISNUMBER($J20)),"",IF($J20&lt;1,$J20,(INT($J20/100)*60+MOD($J20,100))/1440))</f>
        <v/>
      </c>
    </row>
    <row r="21" ht="19" customHeight="1">
      <c r="A21" s="13">
        <f>IF(A20="","",IF(MONTH(A20+1)=$D$4,A20+1,""))</f>
        <v/>
      </c>
      <c r="B21" s="14">
        <f>IF($A21="","",CHOOSE(WEEKDAY($A21,2),"月","火","水","木","金","土","日"))</f>
        <v/>
      </c>
      <c r="C21" s="15" t="n"/>
      <c r="D21" s="15" t="n"/>
      <c r="E21" s="15" t="n"/>
      <c r="F21" s="16">
        <f>IF(OR($N21="",$O21=""),"",MAX(0,MOD($O21-$N21,1)-IF($P21&lt;&gt;"",$P21,IF(MOD($O21-$N21,1)&gt;設定!$E$8,設定!$E$7,0))))</f>
        <v/>
      </c>
      <c r="G21" s="15" t="n"/>
      <c r="H21" s="15" t="n"/>
      <c r="I21" s="15" t="n"/>
      <c r="J21" s="15" t="n"/>
      <c r="K21" s="17">
        <f>IF($A21="","",IFERROR(VLOOKUP($A21,祝日リスト!$A$2:$C$40,3,0),""))</f>
        <v/>
      </c>
      <c r="L21" s="18" t="inlineStr">
        <is>
          <t>休み</t>
        </is>
      </c>
      <c r="M21" s="19">
        <f>IF($A21="","",IF($K21&lt;&gt;"","祝",IF(WEEKDAY($A21,2)=6,"土",IF(WEEKDAY($A21,2)=7,"日","平"))))</f>
        <v/>
      </c>
      <c r="N21" s="19">
        <f>IF(NOT(ISNUMBER($C21)),"",IF($C21&lt;1,$C21,(INT($C21/100)*60+MOD($C21,100))/1440))</f>
        <v/>
      </c>
      <c r="O21" s="19">
        <f>IF(NOT(ISNUMBER($D21)),"",IF($D21&lt;1,$D21,(INT($D21/100)*60+MOD($D21,100))/1440))</f>
        <v/>
      </c>
      <c r="P21" s="19">
        <f>IF(NOT(ISNUMBER($E21)),"",IF($E21&lt;1,$E21,(INT($E21/100)*60+MOD($E21,100))/1440))</f>
        <v/>
      </c>
      <c r="Q21" s="19">
        <f>IF(NOT(ISNUMBER($G21)),"",IF($G21&lt;1,$G21,(INT($G21/100)*60+MOD($G21,100))/1440))</f>
        <v/>
      </c>
      <c r="R21" s="19">
        <f>IF(NOT(ISNUMBER($H21)),"",IF($H21&lt;1,$H21,(INT($H21/100)*60+MOD($H21,100))/1440))</f>
        <v/>
      </c>
      <c r="S21" s="19">
        <f>IF(NOT(ISNUMBER($I21)),"",IF($I21&lt;1,$I21,(INT($I21/100)*60+MOD($I21,100))/1440))</f>
        <v/>
      </c>
      <c r="T21" s="19">
        <f>IF(NOT(ISNUMBER($J21)),"",IF($J21&lt;1,$J21,(INT($J21/100)*60+MOD($J21,100))/1440))</f>
        <v/>
      </c>
    </row>
    <row r="22" ht="19" customHeight="1">
      <c r="A22" s="13">
        <f>IF(A21="","",IF(MONTH(A21+1)=$D$4,A21+1,""))</f>
        <v/>
      </c>
      <c r="B22" s="14">
        <f>IF($A22="","",CHOOSE(WEEKDAY($A22,2),"月","火","水","木","金","土","日"))</f>
        <v/>
      </c>
      <c r="C22" s="15" t="n">
        <v>900</v>
      </c>
      <c r="D22" s="15" t="n">
        <v>1500</v>
      </c>
      <c r="E22" s="15" t="n"/>
      <c r="F22" s="16">
        <f>IF(OR($N22="",$O22=""),"",MAX(0,MOD($O22-$N22,1)-IF($P22&lt;&gt;"",$P22,IF(MOD($O22-$N22,1)&gt;設定!$E$8,設定!$E$7,0))))</f>
        <v/>
      </c>
      <c r="G22" s="15" t="n"/>
      <c r="H22" s="15" t="n"/>
      <c r="I22" s="15" t="n"/>
      <c r="J22" s="15" t="n"/>
      <c r="K22" s="17">
        <f>IF($A22="","",IFERROR(VLOOKUP($A22,祝日リスト!$A$2:$C$40,3,0),""))</f>
        <v/>
      </c>
      <c r="L22" s="18" t="n"/>
      <c r="M22" s="19">
        <f>IF($A22="","",IF($K22&lt;&gt;"","祝",IF(WEEKDAY($A22,2)=6,"土",IF(WEEKDAY($A22,2)=7,"日","平"))))</f>
        <v/>
      </c>
      <c r="N22" s="19">
        <f>IF(NOT(ISNUMBER($C22)),"",IF($C22&lt;1,$C22,(INT($C22/100)*60+MOD($C22,100))/1440))</f>
        <v/>
      </c>
      <c r="O22" s="19">
        <f>IF(NOT(ISNUMBER($D22)),"",IF($D22&lt;1,$D22,(INT($D22/100)*60+MOD($D22,100))/1440))</f>
        <v/>
      </c>
      <c r="P22" s="19">
        <f>IF(NOT(ISNUMBER($E22)),"",IF($E22&lt;1,$E22,(INT($E22/100)*60+MOD($E22,100))/1440))</f>
        <v/>
      </c>
      <c r="Q22" s="19">
        <f>IF(NOT(ISNUMBER($G22)),"",IF($G22&lt;1,$G22,(INT($G22/100)*60+MOD($G22,100))/1440))</f>
        <v/>
      </c>
      <c r="R22" s="19">
        <f>IF(NOT(ISNUMBER($H22)),"",IF($H22&lt;1,$H22,(INT($H22/100)*60+MOD($H22,100))/1440))</f>
        <v/>
      </c>
      <c r="S22" s="19">
        <f>IF(NOT(ISNUMBER($I22)),"",IF($I22&lt;1,$I22,(INT($I22/100)*60+MOD($I22,100))/1440))</f>
        <v/>
      </c>
      <c r="T22" s="19">
        <f>IF(NOT(ISNUMBER($J22)),"",IF($J22&lt;1,$J22,(INT($J22/100)*60+MOD($J22,100))/1440))</f>
        <v/>
      </c>
    </row>
    <row r="23" ht="19" customHeight="1">
      <c r="A23" s="13">
        <f>IF(A22="","",IF(MONTH(A22+1)=$D$4,A22+1,""))</f>
        <v/>
      </c>
      <c r="B23" s="14">
        <f>IF($A23="","",CHOOSE(WEEKDAY($A23,2),"月","火","水","木","金","土","日"))</f>
        <v/>
      </c>
      <c r="C23" s="15" t="n">
        <v>900</v>
      </c>
      <c r="D23" s="15" t="n">
        <v>1500</v>
      </c>
      <c r="E23" s="15" t="n"/>
      <c r="F23" s="16">
        <f>IF(OR($N23="",$O23=""),"",MAX(0,MOD($O23-$N23,1)-IF($P23&lt;&gt;"",$P23,IF(MOD($O23-$N23,1)&gt;設定!$E$8,設定!$E$7,0))))</f>
        <v/>
      </c>
      <c r="G23" s="15" t="n"/>
      <c r="H23" s="15" t="n"/>
      <c r="I23" s="15" t="n"/>
      <c r="J23" s="15" t="n"/>
      <c r="K23" s="17">
        <f>IF($A23="","",IFERROR(VLOOKUP($A23,祝日リスト!$A$2:$C$40,3,0),""))</f>
        <v/>
      </c>
      <c r="L23" s="18" t="n"/>
      <c r="M23" s="19">
        <f>IF($A23="","",IF($K23&lt;&gt;"","祝",IF(WEEKDAY($A23,2)=6,"土",IF(WEEKDAY($A23,2)=7,"日","平"))))</f>
        <v/>
      </c>
      <c r="N23" s="19">
        <f>IF(NOT(ISNUMBER($C23)),"",IF($C23&lt;1,$C23,(INT($C23/100)*60+MOD($C23,100))/1440))</f>
        <v/>
      </c>
      <c r="O23" s="19">
        <f>IF(NOT(ISNUMBER($D23)),"",IF($D23&lt;1,$D23,(INT($D23/100)*60+MOD($D23,100))/1440))</f>
        <v/>
      </c>
      <c r="P23" s="19">
        <f>IF(NOT(ISNUMBER($E23)),"",IF($E23&lt;1,$E23,(INT($E23/100)*60+MOD($E23,100))/1440))</f>
        <v/>
      </c>
      <c r="Q23" s="19">
        <f>IF(NOT(ISNUMBER($G23)),"",IF($G23&lt;1,$G23,(INT($G23/100)*60+MOD($G23,100))/1440))</f>
        <v/>
      </c>
      <c r="R23" s="19">
        <f>IF(NOT(ISNUMBER($H23)),"",IF($H23&lt;1,$H23,(INT($H23/100)*60+MOD($H23,100))/1440))</f>
        <v/>
      </c>
      <c r="S23" s="19">
        <f>IF(NOT(ISNUMBER($I23)),"",IF($I23&lt;1,$I23,(INT($I23/100)*60+MOD($I23,100))/1440))</f>
        <v/>
      </c>
      <c r="T23" s="19">
        <f>IF(NOT(ISNUMBER($J23)),"",IF($J23&lt;1,$J23,(INT($J23/100)*60+MOD($J23,100))/1440))</f>
        <v/>
      </c>
    </row>
    <row r="24" ht="19" customHeight="1">
      <c r="A24" s="13">
        <f>IF(A23="","",IF(MONTH(A23+1)=$D$4,A23+1,""))</f>
        <v/>
      </c>
      <c r="B24" s="14">
        <f>IF($A24="","",CHOOSE(WEEKDAY($A24,2),"月","火","水","木","金","土","日"))</f>
        <v/>
      </c>
      <c r="C24" s="15" t="n"/>
      <c r="D24" s="15" t="n"/>
      <c r="E24" s="15" t="n"/>
      <c r="F24" s="16">
        <f>IF(OR($N24="",$O24=""),"",MAX(0,MOD($O24-$N24,1)-IF($P24&lt;&gt;"",$P24,IF(MOD($O24-$N24,1)&gt;設定!$E$8,設定!$E$7,0))))</f>
        <v/>
      </c>
      <c r="G24" s="15" t="n"/>
      <c r="H24" s="15" t="n"/>
      <c r="I24" s="15" t="n"/>
      <c r="J24" s="15" t="n"/>
      <c r="K24" s="17">
        <f>IF($A24="","",IFERROR(VLOOKUP($A24,祝日リスト!$A$2:$C$40,3,0),""))</f>
        <v/>
      </c>
      <c r="L24" s="18" t="inlineStr">
        <is>
          <t>休み</t>
        </is>
      </c>
      <c r="M24" s="19">
        <f>IF($A24="","",IF($K24&lt;&gt;"","祝",IF(WEEKDAY($A24,2)=6,"土",IF(WEEKDAY($A24,2)=7,"日","平"))))</f>
        <v/>
      </c>
      <c r="N24" s="19">
        <f>IF(NOT(ISNUMBER($C24)),"",IF($C24&lt;1,$C24,(INT($C24/100)*60+MOD($C24,100))/1440))</f>
        <v/>
      </c>
      <c r="O24" s="19">
        <f>IF(NOT(ISNUMBER($D24)),"",IF($D24&lt;1,$D24,(INT($D24/100)*60+MOD($D24,100))/1440))</f>
        <v/>
      </c>
      <c r="P24" s="19">
        <f>IF(NOT(ISNUMBER($E24)),"",IF($E24&lt;1,$E24,(INT($E24/100)*60+MOD($E24,100))/1440))</f>
        <v/>
      </c>
      <c r="Q24" s="19">
        <f>IF(NOT(ISNUMBER($G24)),"",IF($G24&lt;1,$G24,(INT($G24/100)*60+MOD($G24,100))/1440))</f>
        <v/>
      </c>
      <c r="R24" s="19">
        <f>IF(NOT(ISNUMBER($H24)),"",IF($H24&lt;1,$H24,(INT($H24/100)*60+MOD($H24,100))/1440))</f>
        <v/>
      </c>
      <c r="S24" s="19">
        <f>IF(NOT(ISNUMBER($I24)),"",IF($I24&lt;1,$I24,(INT($I24/100)*60+MOD($I24,100))/1440))</f>
        <v/>
      </c>
      <c r="T24" s="19">
        <f>IF(NOT(ISNUMBER($J24)),"",IF($J24&lt;1,$J24,(INT($J24/100)*60+MOD($J24,100))/1440))</f>
        <v/>
      </c>
    </row>
    <row r="25" ht="19" customHeight="1">
      <c r="A25" s="13">
        <f>IF(A24="","",IF(MONTH(A24+1)=$D$4,A24+1,""))</f>
        <v/>
      </c>
      <c r="B25" s="14">
        <f>IF($A25="","",CHOOSE(WEEKDAY($A25,2),"月","火","水","木","金","土","日"))</f>
        <v/>
      </c>
      <c r="C25" s="15" t="n">
        <v>900</v>
      </c>
      <c r="D25" s="15" t="n">
        <v>1500</v>
      </c>
      <c r="E25" s="15" t="n"/>
      <c r="F25" s="16">
        <f>IF(OR($N25="",$O25=""),"",MAX(0,MOD($O25-$N25,1)-IF($P25&lt;&gt;"",$P25,IF(MOD($O25-$N25,1)&gt;設定!$E$8,設定!$E$7,0))))</f>
        <v/>
      </c>
      <c r="G25" s="15" t="n"/>
      <c r="H25" s="15" t="n"/>
      <c r="I25" s="15" t="n"/>
      <c r="J25" s="15" t="n"/>
      <c r="K25" s="17">
        <f>IF($A25="","",IFERROR(VLOOKUP($A25,祝日リスト!$A$2:$C$40,3,0),""))</f>
        <v/>
      </c>
      <c r="L25" s="18" t="n"/>
      <c r="M25" s="19">
        <f>IF($A25="","",IF($K25&lt;&gt;"","祝",IF(WEEKDAY($A25,2)=6,"土",IF(WEEKDAY($A25,2)=7,"日","平"))))</f>
        <v/>
      </c>
      <c r="N25" s="19">
        <f>IF(NOT(ISNUMBER($C25)),"",IF($C25&lt;1,$C25,(INT($C25/100)*60+MOD($C25,100))/1440))</f>
        <v/>
      </c>
      <c r="O25" s="19">
        <f>IF(NOT(ISNUMBER($D25)),"",IF($D25&lt;1,$D25,(INT($D25/100)*60+MOD($D25,100))/1440))</f>
        <v/>
      </c>
      <c r="P25" s="19">
        <f>IF(NOT(ISNUMBER($E25)),"",IF($E25&lt;1,$E25,(INT($E25/100)*60+MOD($E25,100))/1440))</f>
        <v/>
      </c>
      <c r="Q25" s="19">
        <f>IF(NOT(ISNUMBER($G25)),"",IF($G25&lt;1,$G25,(INT($G25/100)*60+MOD($G25,100))/1440))</f>
        <v/>
      </c>
      <c r="R25" s="19">
        <f>IF(NOT(ISNUMBER($H25)),"",IF($H25&lt;1,$H25,(INT($H25/100)*60+MOD($H25,100))/1440))</f>
        <v/>
      </c>
      <c r="S25" s="19">
        <f>IF(NOT(ISNUMBER($I25)),"",IF($I25&lt;1,$I25,(INT($I25/100)*60+MOD($I25,100))/1440))</f>
        <v/>
      </c>
      <c r="T25" s="19">
        <f>IF(NOT(ISNUMBER($J25)),"",IF($J25&lt;1,$J25,(INT($J25/100)*60+MOD($J25,100))/1440))</f>
        <v/>
      </c>
    </row>
    <row r="26" ht="19" customHeight="1">
      <c r="A26" s="13">
        <f>IF(A25="","",IF(MONTH(A25+1)=$D$4,A25+1,""))</f>
        <v/>
      </c>
      <c r="B26" s="14">
        <f>IF($A26="","",CHOOSE(WEEKDAY($A26,2),"月","火","水","木","金","土","日"))</f>
        <v/>
      </c>
      <c r="C26" s="15" t="n">
        <v>900</v>
      </c>
      <c r="D26" s="15" t="n">
        <v>1500</v>
      </c>
      <c r="E26" s="15" t="n"/>
      <c r="F26" s="16">
        <f>IF(OR($N26="",$O26=""),"",MAX(0,MOD($O26-$N26,1)-IF($P26&lt;&gt;"",$P26,IF(MOD($O26-$N26,1)&gt;設定!$E$8,設定!$E$7,0))))</f>
        <v/>
      </c>
      <c r="G26" s="15" t="n"/>
      <c r="H26" s="15" t="n"/>
      <c r="I26" s="15" t="n"/>
      <c r="J26" s="15" t="n"/>
      <c r="K26" s="17">
        <f>IF($A26="","",IFERROR(VLOOKUP($A26,祝日リスト!$A$2:$C$40,3,0),""))</f>
        <v/>
      </c>
      <c r="L26" s="18" t="n"/>
      <c r="M26" s="19">
        <f>IF($A26="","",IF($K26&lt;&gt;"","祝",IF(WEEKDAY($A26,2)=6,"土",IF(WEEKDAY($A26,2)=7,"日","平"))))</f>
        <v/>
      </c>
      <c r="N26" s="19">
        <f>IF(NOT(ISNUMBER($C26)),"",IF($C26&lt;1,$C26,(INT($C26/100)*60+MOD($C26,100))/1440))</f>
        <v/>
      </c>
      <c r="O26" s="19">
        <f>IF(NOT(ISNUMBER($D26)),"",IF($D26&lt;1,$D26,(INT($D26/100)*60+MOD($D26,100))/1440))</f>
        <v/>
      </c>
      <c r="P26" s="19">
        <f>IF(NOT(ISNUMBER($E26)),"",IF($E26&lt;1,$E26,(INT($E26/100)*60+MOD($E26,100))/1440))</f>
        <v/>
      </c>
      <c r="Q26" s="19">
        <f>IF(NOT(ISNUMBER($G26)),"",IF($G26&lt;1,$G26,(INT($G26/100)*60+MOD($G26,100))/1440))</f>
        <v/>
      </c>
      <c r="R26" s="19">
        <f>IF(NOT(ISNUMBER($H26)),"",IF($H26&lt;1,$H26,(INT($H26/100)*60+MOD($H26,100))/1440))</f>
        <v/>
      </c>
      <c r="S26" s="19">
        <f>IF(NOT(ISNUMBER($I26)),"",IF($I26&lt;1,$I26,(INT($I26/100)*60+MOD($I26,100))/1440))</f>
        <v/>
      </c>
      <c r="T26" s="19">
        <f>IF(NOT(ISNUMBER($J26)),"",IF($J26&lt;1,$J26,(INT($J26/100)*60+MOD($J26,100))/1440))</f>
        <v/>
      </c>
    </row>
    <row r="27" ht="19" customHeight="1">
      <c r="A27" s="13">
        <f>IF(A26="","",IF(MONTH(A26+1)=$D$4,A26+1,""))</f>
        <v/>
      </c>
      <c r="B27" s="14">
        <f>IF($A27="","",CHOOSE(WEEKDAY($A27,2),"月","火","水","木","金","土","日"))</f>
        <v/>
      </c>
      <c r="C27" s="15" t="n"/>
      <c r="D27" s="15" t="n"/>
      <c r="E27" s="15" t="n"/>
      <c r="F27" s="16">
        <f>IF(OR($N27="",$O27=""),"",MAX(0,MOD($O27-$N27,1)-IF($P27&lt;&gt;"",$P27,IF(MOD($O27-$N27,1)&gt;設定!$E$8,設定!$E$7,0))))</f>
        <v/>
      </c>
      <c r="G27" s="15" t="n"/>
      <c r="H27" s="15" t="n"/>
      <c r="I27" s="15" t="n"/>
      <c r="J27" s="15" t="n"/>
      <c r="K27" s="17">
        <f>IF($A27="","",IFERROR(VLOOKUP($A27,祝日リスト!$A$2:$C$40,3,0),""))</f>
        <v/>
      </c>
      <c r="L27" s="18" t="inlineStr">
        <is>
          <t>休み</t>
        </is>
      </c>
      <c r="M27" s="19">
        <f>IF($A27="","",IF($K27&lt;&gt;"","祝",IF(WEEKDAY($A27,2)=6,"土",IF(WEEKDAY($A27,2)=7,"日","平"))))</f>
        <v/>
      </c>
      <c r="N27" s="19">
        <f>IF(NOT(ISNUMBER($C27)),"",IF($C27&lt;1,$C27,(INT($C27/100)*60+MOD($C27,100))/1440))</f>
        <v/>
      </c>
      <c r="O27" s="19">
        <f>IF(NOT(ISNUMBER($D27)),"",IF($D27&lt;1,$D27,(INT($D27/100)*60+MOD($D27,100))/1440))</f>
        <v/>
      </c>
      <c r="P27" s="19">
        <f>IF(NOT(ISNUMBER($E27)),"",IF($E27&lt;1,$E27,(INT($E27/100)*60+MOD($E27,100))/1440))</f>
        <v/>
      </c>
      <c r="Q27" s="19">
        <f>IF(NOT(ISNUMBER($G27)),"",IF($G27&lt;1,$G27,(INT($G27/100)*60+MOD($G27,100))/1440))</f>
        <v/>
      </c>
      <c r="R27" s="19">
        <f>IF(NOT(ISNUMBER($H27)),"",IF($H27&lt;1,$H27,(INT($H27/100)*60+MOD($H27,100))/1440))</f>
        <v/>
      </c>
      <c r="S27" s="19">
        <f>IF(NOT(ISNUMBER($I27)),"",IF($I27&lt;1,$I27,(INT($I27/100)*60+MOD($I27,100))/1440))</f>
        <v/>
      </c>
      <c r="T27" s="19">
        <f>IF(NOT(ISNUMBER($J27)),"",IF($J27&lt;1,$J27,(INT($J27/100)*60+MOD($J27,100))/1440))</f>
        <v/>
      </c>
    </row>
    <row r="28" ht="19" customHeight="1">
      <c r="A28" s="13">
        <f>IF(A27="","",IF(MONTH(A27+1)=$D$4,A27+1,""))</f>
        <v/>
      </c>
      <c r="B28" s="14">
        <f>IF($A28="","",CHOOSE(WEEKDAY($A28,2),"月","火","水","木","金","土","日"))</f>
        <v/>
      </c>
      <c r="C28" s="15" t="n"/>
      <c r="D28" s="15" t="n"/>
      <c r="E28" s="15" t="n"/>
      <c r="F28" s="16">
        <f>IF(OR($N28="",$O28=""),"",MAX(0,MOD($O28-$N28,1)-IF($P28&lt;&gt;"",$P28,IF(MOD($O28-$N28,1)&gt;設定!$E$8,設定!$E$7,0))))</f>
        <v/>
      </c>
      <c r="G28" s="15" t="n"/>
      <c r="H28" s="15" t="n"/>
      <c r="I28" s="15" t="n"/>
      <c r="J28" s="15" t="n"/>
      <c r="K28" s="17">
        <f>IF($A28="","",IFERROR(VLOOKUP($A28,祝日リスト!$A$2:$C$40,3,0),""))</f>
        <v/>
      </c>
      <c r="L28" s="18" t="inlineStr">
        <is>
          <t>休み</t>
        </is>
      </c>
      <c r="M28" s="19">
        <f>IF($A28="","",IF($K28&lt;&gt;"","祝",IF(WEEKDAY($A28,2)=6,"土",IF(WEEKDAY($A28,2)=7,"日","平"))))</f>
        <v/>
      </c>
      <c r="N28" s="19">
        <f>IF(NOT(ISNUMBER($C28)),"",IF($C28&lt;1,$C28,(INT($C28/100)*60+MOD($C28,100))/1440))</f>
        <v/>
      </c>
      <c r="O28" s="19">
        <f>IF(NOT(ISNUMBER($D28)),"",IF($D28&lt;1,$D28,(INT($D28/100)*60+MOD($D28,100))/1440))</f>
        <v/>
      </c>
      <c r="P28" s="19">
        <f>IF(NOT(ISNUMBER($E28)),"",IF($E28&lt;1,$E28,(INT($E28/100)*60+MOD($E28,100))/1440))</f>
        <v/>
      </c>
      <c r="Q28" s="19">
        <f>IF(NOT(ISNUMBER($G28)),"",IF($G28&lt;1,$G28,(INT($G28/100)*60+MOD($G28,100))/1440))</f>
        <v/>
      </c>
      <c r="R28" s="19">
        <f>IF(NOT(ISNUMBER($H28)),"",IF($H28&lt;1,$H28,(INT($H28/100)*60+MOD($H28,100))/1440))</f>
        <v/>
      </c>
      <c r="S28" s="19">
        <f>IF(NOT(ISNUMBER($I28)),"",IF($I28&lt;1,$I28,(INT($I28/100)*60+MOD($I28,100))/1440))</f>
        <v/>
      </c>
      <c r="T28" s="19">
        <f>IF(NOT(ISNUMBER($J28)),"",IF($J28&lt;1,$J28,(INT($J28/100)*60+MOD($J28,100))/1440))</f>
        <v/>
      </c>
    </row>
    <row r="29" ht="19" customHeight="1">
      <c r="A29" s="13">
        <f>IF(A28="","",IF(MONTH(A28+1)=$D$4,A28+1,""))</f>
        <v/>
      </c>
      <c r="B29" s="14">
        <f>IF($A29="","",CHOOSE(WEEKDAY($A29,2),"月","火","水","木","金","土","日"))</f>
        <v/>
      </c>
      <c r="C29" s="15" t="n">
        <v>900</v>
      </c>
      <c r="D29" s="15" t="n">
        <v>1500</v>
      </c>
      <c r="E29" s="15" t="n"/>
      <c r="F29" s="16">
        <f>IF(OR($N29="",$O29=""),"",MAX(0,MOD($O29-$N29,1)-IF($P29&lt;&gt;"",$P29,IF(MOD($O29-$N29,1)&gt;設定!$E$8,設定!$E$7,0))))</f>
        <v/>
      </c>
      <c r="G29" s="15" t="n"/>
      <c r="H29" s="15" t="n"/>
      <c r="I29" s="15" t="n"/>
      <c r="J29" s="15" t="n"/>
      <c r="K29" s="17">
        <f>IF($A29="","",IFERROR(VLOOKUP($A29,祝日リスト!$A$2:$C$40,3,0),""))</f>
        <v/>
      </c>
      <c r="L29" s="18" t="n"/>
      <c r="M29" s="19">
        <f>IF($A29="","",IF($K29&lt;&gt;"","祝",IF(WEEKDAY($A29,2)=6,"土",IF(WEEKDAY($A29,2)=7,"日","平"))))</f>
        <v/>
      </c>
      <c r="N29" s="19">
        <f>IF(NOT(ISNUMBER($C29)),"",IF($C29&lt;1,$C29,(INT($C29/100)*60+MOD($C29,100))/1440))</f>
        <v/>
      </c>
      <c r="O29" s="19">
        <f>IF(NOT(ISNUMBER($D29)),"",IF($D29&lt;1,$D29,(INT($D29/100)*60+MOD($D29,100))/1440))</f>
        <v/>
      </c>
      <c r="P29" s="19">
        <f>IF(NOT(ISNUMBER($E29)),"",IF($E29&lt;1,$E29,(INT($E29/100)*60+MOD($E29,100))/1440))</f>
        <v/>
      </c>
      <c r="Q29" s="19">
        <f>IF(NOT(ISNUMBER($G29)),"",IF($G29&lt;1,$G29,(INT($G29/100)*60+MOD($G29,100))/1440))</f>
        <v/>
      </c>
      <c r="R29" s="19">
        <f>IF(NOT(ISNUMBER($H29)),"",IF($H29&lt;1,$H29,(INT($H29/100)*60+MOD($H29,100))/1440))</f>
        <v/>
      </c>
      <c r="S29" s="19">
        <f>IF(NOT(ISNUMBER($I29)),"",IF($I29&lt;1,$I29,(INT($I29/100)*60+MOD($I29,100))/1440))</f>
        <v/>
      </c>
      <c r="T29" s="19">
        <f>IF(NOT(ISNUMBER($J29)),"",IF($J29&lt;1,$J29,(INT($J29/100)*60+MOD($J29,100))/1440))</f>
        <v/>
      </c>
    </row>
    <row r="30" ht="19" customHeight="1">
      <c r="A30" s="13">
        <f>IF(A29="","",IF(MONTH(A29+1)=$D$4,A29+1,""))</f>
        <v/>
      </c>
      <c r="B30" s="14">
        <f>IF($A30="","",CHOOSE(WEEKDAY($A30,2),"月","火","水","木","金","土","日"))</f>
        <v/>
      </c>
      <c r="C30" s="15" t="n">
        <v>900</v>
      </c>
      <c r="D30" s="15" t="n">
        <v>1500</v>
      </c>
      <c r="E30" s="15" t="n"/>
      <c r="F30" s="16">
        <f>IF(OR($N30="",$O30=""),"",MAX(0,MOD($O30-$N30,1)-IF($P30&lt;&gt;"",$P30,IF(MOD($O30-$N30,1)&gt;設定!$E$8,設定!$E$7,0))))</f>
        <v/>
      </c>
      <c r="G30" s="15" t="n"/>
      <c r="H30" s="15" t="n"/>
      <c r="I30" s="15" t="n"/>
      <c r="J30" s="15" t="n"/>
      <c r="K30" s="17">
        <f>IF($A30="","",IFERROR(VLOOKUP($A30,祝日リスト!$A$2:$C$40,3,0),""))</f>
        <v/>
      </c>
      <c r="L30" s="18" t="n"/>
      <c r="M30" s="19">
        <f>IF($A30="","",IF($K30&lt;&gt;"","祝",IF(WEEKDAY($A30,2)=6,"土",IF(WEEKDAY($A30,2)=7,"日","平"))))</f>
        <v/>
      </c>
      <c r="N30" s="19">
        <f>IF(NOT(ISNUMBER($C30)),"",IF($C30&lt;1,$C30,(INT($C30/100)*60+MOD($C30,100))/1440))</f>
        <v/>
      </c>
      <c r="O30" s="19">
        <f>IF(NOT(ISNUMBER($D30)),"",IF($D30&lt;1,$D30,(INT($D30/100)*60+MOD($D30,100))/1440))</f>
        <v/>
      </c>
      <c r="P30" s="19">
        <f>IF(NOT(ISNUMBER($E30)),"",IF($E30&lt;1,$E30,(INT($E30/100)*60+MOD($E30,100))/1440))</f>
        <v/>
      </c>
      <c r="Q30" s="19">
        <f>IF(NOT(ISNUMBER($G30)),"",IF($G30&lt;1,$G30,(INT($G30/100)*60+MOD($G30,100))/1440))</f>
        <v/>
      </c>
      <c r="R30" s="19">
        <f>IF(NOT(ISNUMBER($H30)),"",IF($H30&lt;1,$H30,(INT($H30/100)*60+MOD($H30,100))/1440))</f>
        <v/>
      </c>
      <c r="S30" s="19">
        <f>IF(NOT(ISNUMBER($I30)),"",IF($I30&lt;1,$I30,(INT($I30/100)*60+MOD($I30,100))/1440))</f>
        <v/>
      </c>
      <c r="T30" s="19">
        <f>IF(NOT(ISNUMBER($J30)),"",IF($J30&lt;1,$J30,(INT($J30/100)*60+MOD($J30,100))/1440))</f>
        <v/>
      </c>
    </row>
    <row r="31" ht="19" customHeight="1">
      <c r="A31" s="13">
        <f>IF(A30="","",IF(MONTH(A30+1)=$D$4,A30+1,""))</f>
        <v/>
      </c>
      <c r="B31" s="14">
        <f>IF($A31="","",CHOOSE(WEEKDAY($A31,2),"月","火","水","木","金","土","日"))</f>
        <v/>
      </c>
      <c r="C31" s="15" t="n"/>
      <c r="D31" s="15" t="n"/>
      <c r="E31" s="15" t="n"/>
      <c r="F31" s="16">
        <f>IF(OR($N31="",$O31=""),"",MAX(0,MOD($O31-$N31,1)-IF($P31&lt;&gt;"",$P31,IF(MOD($O31-$N31,1)&gt;設定!$E$8,設定!$E$7,0))))</f>
        <v/>
      </c>
      <c r="G31" s="15" t="n"/>
      <c r="H31" s="15" t="n"/>
      <c r="I31" s="15" t="n"/>
      <c r="J31" s="15" t="n"/>
      <c r="K31" s="17">
        <f>IF($A31="","",IFERROR(VLOOKUP($A31,祝日リスト!$A$2:$C$40,3,0),""))</f>
        <v/>
      </c>
      <c r="L31" s="18" t="inlineStr">
        <is>
          <t>休み</t>
        </is>
      </c>
      <c r="M31" s="19">
        <f>IF($A31="","",IF($K31&lt;&gt;"","祝",IF(WEEKDAY($A31,2)=6,"土",IF(WEEKDAY($A31,2)=7,"日","平"))))</f>
        <v/>
      </c>
      <c r="N31" s="19">
        <f>IF(NOT(ISNUMBER($C31)),"",IF($C31&lt;1,$C31,(INT($C31/100)*60+MOD($C31,100))/1440))</f>
        <v/>
      </c>
      <c r="O31" s="19">
        <f>IF(NOT(ISNUMBER($D31)),"",IF($D31&lt;1,$D31,(INT($D31/100)*60+MOD($D31,100))/1440))</f>
        <v/>
      </c>
      <c r="P31" s="19">
        <f>IF(NOT(ISNUMBER($E31)),"",IF($E31&lt;1,$E31,(INT($E31/100)*60+MOD($E31,100))/1440))</f>
        <v/>
      </c>
      <c r="Q31" s="19">
        <f>IF(NOT(ISNUMBER($G31)),"",IF($G31&lt;1,$G31,(INT($G31/100)*60+MOD($G31,100))/1440))</f>
        <v/>
      </c>
      <c r="R31" s="19">
        <f>IF(NOT(ISNUMBER($H31)),"",IF($H31&lt;1,$H31,(INT($H31/100)*60+MOD($H31,100))/1440))</f>
        <v/>
      </c>
      <c r="S31" s="19">
        <f>IF(NOT(ISNUMBER($I31)),"",IF($I31&lt;1,$I31,(INT($I31/100)*60+MOD($I31,100))/1440))</f>
        <v/>
      </c>
      <c r="T31" s="19">
        <f>IF(NOT(ISNUMBER($J31)),"",IF($J31&lt;1,$J31,(INT($J31/100)*60+MOD($J31,100))/1440))</f>
        <v/>
      </c>
    </row>
    <row r="32" ht="19" customHeight="1">
      <c r="A32" s="13">
        <f>IF(A31="","",IF(MONTH(A31+1)=$D$4,A31+1,""))</f>
        <v/>
      </c>
      <c r="B32" s="14">
        <f>IF($A32="","",CHOOSE(WEEKDAY($A32,2),"月","火","水","木","金","土","日"))</f>
        <v/>
      </c>
      <c r="C32" s="15" t="n">
        <v>900</v>
      </c>
      <c r="D32" s="15" t="n">
        <v>1500</v>
      </c>
      <c r="E32" s="15" t="n"/>
      <c r="F32" s="16">
        <f>IF(OR($N32="",$O32=""),"",MAX(0,MOD($O32-$N32,1)-IF($P32&lt;&gt;"",$P32,IF(MOD($O32-$N32,1)&gt;設定!$E$8,設定!$E$7,0))))</f>
        <v/>
      </c>
      <c r="G32" s="15" t="n"/>
      <c r="H32" s="15" t="n"/>
      <c r="I32" s="15" t="n"/>
      <c r="J32" s="15" t="n"/>
      <c r="K32" s="17">
        <f>IF($A32="","",IFERROR(VLOOKUP($A32,祝日リスト!$A$2:$C$40,3,0),""))</f>
        <v/>
      </c>
      <c r="L32" s="18" t="n"/>
      <c r="M32" s="19">
        <f>IF($A32="","",IF($K32&lt;&gt;"","祝",IF(WEEKDAY($A32,2)=6,"土",IF(WEEKDAY($A32,2)=7,"日","平"))))</f>
        <v/>
      </c>
      <c r="N32" s="19">
        <f>IF(NOT(ISNUMBER($C32)),"",IF($C32&lt;1,$C32,(INT($C32/100)*60+MOD($C32,100))/1440))</f>
        <v/>
      </c>
      <c r="O32" s="19">
        <f>IF(NOT(ISNUMBER($D32)),"",IF($D32&lt;1,$D32,(INT($D32/100)*60+MOD($D32,100))/1440))</f>
        <v/>
      </c>
      <c r="P32" s="19">
        <f>IF(NOT(ISNUMBER($E32)),"",IF($E32&lt;1,$E32,(INT($E32/100)*60+MOD($E32,100))/1440))</f>
        <v/>
      </c>
      <c r="Q32" s="19">
        <f>IF(NOT(ISNUMBER($G32)),"",IF($G32&lt;1,$G32,(INT($G32/100)*60+MOD($G32,100))/1440))</f>
        <v/>
      </c>
      <c r="R32" s="19">
        <f>IF(NOT(ISNUMBER($H32)),"",IF($H32&lt;1,$H32,(INT($H32/100)*60+MOD($H32,100))/1440))</f>
        <v/>
      </c>
      <c r="S32" s="19">
        <f>IF(NOT(ISNUMBER($I32)),"",IF($I32&lt;1,$I32,(INT($I32/100)*60+MOD($I32,100))/1440))</f>
        <v/>
      </c>
      <c r="T32" s="19">
        <f>IF(NOT(ISNUMBER($J32)),"",IF($J32&lt;1,$J32,(INT($J32/100)*60+MOD($J32,100))/1440))</f>
        <v/>
      </c>
    </row>
    <row r="33" ht="19" customHeight="1">
      <c r="A33" s="13">
        <f>IF(A32="","",IF(MONTH(A32+1)=$D$4,A32+1,""))</f>
        <v/>
      </c>
      <c r="B33" s="14">
        <f>IF($A33="","",CHOOSE(WEEKDAY($A33,2),"月","火","水","木","金","土","日"))</f>
        <v/>
      </c>
      <c r="C33" s="15" t="n">
        <v>900</v>
      </c>
      <c r="D33" s="15" t="n">
        <v>1500</v>
      </c>
      <c r="E33" s="15" t="n"/>
      <c r="F33" s="16">
        <f>IF(OR($N33="",$O33=""),"",MAX(0,MOD($O33-$N33,1)-IF($P33&lt;&gt;"",$P33,IF(MOD($O33-$N33,1)&gt;設定!$E$8,設定!$E$7,0))))</f>
        <v/>
      </c>
      <c r="G33" s="15" t="n"/>
      <c r="H33" s="15" t="n"/>
      <c r="I33" s="15" t="n"/>
      <c r="J33" s="15" t="n"/>
      <c r="K33" s="17">
        <f>IF($A33="","",IFERROR(VLOOKUP($A33,祝日リスト!$A$2:$C$40,3,0),""))</f>
        <v/>
      </c>
      <c r="L33" s="18" t="n"/>
      <c r="M33" s="19">
        <f>IF($A33="","",IF($K33&lt;&gt;"","祝",IF(WEEKDAY($A33,2)=6,"土",IF(WEEKDAY($A33,2)=7,"日","平"))))</f>
        <v/>
      </c>
      <c r="N33" s="19">
        <f>IF(NOT(ISNUMBER($C33)),"",IF($C33&lt;1,$C33,(INT($C33/100)*60+MOD($C33,100))/1440))</f>
        <v/>
      </c>
      <c r="O33" s="19">
        <f>IF(NOT(ISNUMBER($D33)),"",IF($D33&lt;1,$D33,(INT($D33/100)*60+MOD($D33,100))/1440))</f>
        <v/>
      </c>
      <c r="P33" s="19">
        <f>IF(NOT(ISNUMBER($E33)),"",IF($E33&lt;1,$E33,(INT($E33/100)*60+MOD($E33,100))/1440))</f>
        <v/>
      </c>
      <c r="Q33" s="19">
        <f>IF(NOT(ISNUMBER($G33)),"",IF($G33&lt;1,$G33,(INT($G33/100)*60+MOD($G33,100))/1440))</f>
        <v/>
      </c>
      <c r="R33" s="19">
        <f>IF(NOT(ISNUMBER($H33)),"",IF($H33&lt;1,$H33,(INT($H33/100)*60+MOD($H33,100))/1440))</f>
        <v/>
      </c>
      <c r="S33" s="19">
        <f>IF(NOT(ISNUMBER($I33)),"",IF($I33&lt;1,$I33,(INT($I33/100)*60+MOD($I33,100))/1440))</f>
        <v/>
      </c>
      <c r="T33" s="19">
        <f>IF(NOT(ISNUMBER($J33)),"",IF($J33&lt;1,$J33,(INT($J33/100)*60+MOD($J33,100))/1440))</f>
        <v/>
      </c>
    </row>
    <row r="34" ht="19" customHeight="1">
      <c r="A34" s="13">
        <f>IF(A33="","",IF(MONTH(A33+1)=$D$4,A33+1,""))</f>
        <v/>
      </c>
      <c r="B34" s="14">
        <f>IF($A34="","",CHOOSE(WEEKDAY($A34,2),"月","火","水","木","金","土","日"))</f>
        <v/>
      </c>
      <c r="C34" s="15" t="n"/>
      <c r="D34" s="15" t="n"/>
      <c r="E34" s="15" t="n"/>
      <c r="F34" s="16">
        <f>IF(OR($N34="",$O34=""),"",MAX(0,MOD($O34-$N34,1)-IF($P34&lt;&gt;"",$P34,IF(MOD($O34-$N34,1)&gt;設定!$E$8,設定!$E$7,0))))</f>
        <v/>
      </c>
      <c r="G34" s="15" t="n"/>
      <c r="H34" s="15" t="n"/>
      <c r="I34" s="15" t="n"/>
      <c r="J34" s="15" t="n"/>
      <c r="K34" s="17">
        <f>IF($A34="","",IFERROR(VLOOKUP($A34,祝日リスト!$A$2:$C$40,3,0),""))</f>
        <v/>
      </c>
      <c r="L34" s="18" t="inlineStr">
        <is>
          <t>休み</t>
        </is>
      </c>
      <c r="M34" s="19">
        <f>IF($A34="","",IF($K34&lt;&gt;"","祝",IF(WEEKDAY($A34,2)=6,"土",IF(WEEKDAY($A34,2)=7,"日","平"))))</f>
        <v/>
      </c>
      <c r="N34" s="19">
        <f>IF(NOT(ISNUMBER($C34)),"",IF($C34&lt;1,$C34,(INT($C34/100)*60+MOD($C34,100))/1440))</f>
        <v/>
      </c>
      <c r="O34" s="19">
        <f>IF(NOT(ISNUMBER($D34)),"",IF($D34&lt;1,$D34,(INT($D34/100)*60+MOD($D34,100))/1440))</f>
        <v/>
      </c>
      <c r="P34" s="19">
        <f>IF(NOT(ISNUMBER($E34)),"",IF($E34&lt;1,$E34,(INT($E34/100)*60+MOD($E34,100))/1440))</f>
        <v/>
      </c>
      <c r="Q34" s="19">
        <f>IF(NOT(ISNUMBER($G34)),"",IF($G34&lt;1,$G34,(INT($G34/100)*60+MOD($G34,100))/1440))</f>
        <v/>
      </c>
      <c r="R34" s="19">
        <f>IF(NOT(ISNUMBER($H34)),"",IF($H34&lt;1,$H34,(INT($H34/100)*60+MOD($H34,100))/1440))</f>
        <v/>
      </c>
      <c r="S34" s="19">
        <f>IF(NOT(ISNUMBER($I34)),"",IF($I34&lt;1,$I34,(INT($I34/100)*60+MOD($I34,100))/1440))</f>
        <v/>
      </c>
      <c r="T34" s="19">
        <f>IF(NOT(ISNUMBER($J34)),"",IF($J34&lt;1,$J34,(INT($J34/100)*60+MOD($J34,100))/1440))</f>
        <v/>
      </c>
    </row>
    <row r="35" ht="19" customHeight="1">
      <c r="A35" s="13">
        <f>IF(A34="","",IF(MONTH(A34+1)=$D$4,A34+1,""))</f>
        <v/>
      </c>
      <c r="B35" s="14">
        <f>IF($A35="","",CHOOSE(WEEKDAY($A35,2),"月","火","水","木","金","土","日"))</f>
        <v/>
      </c>
      <c r="C35" s="15" t="n"/>
      <c r="D35" s="15" t="n"/>
      <c r="E35" s="15" t="n"/>
      <c r="F35" s="16">
        <f>IF(OR($N35="",$O35=""),"",MAX(0,MOD($O35-$N35,1)-IF($P35&lt;&gt;"",$P35,IF(MOD($O35-$N35,1)&gt;設定!$E$8,設定!$E$7,0))))</f>
        <v/>
      </c>
      <c r="G35" s="15" t="n"/>
      <c r="H35" s="15" t="n"/>
      <c r="I35" s="15" t="n"/>
      <c r="J35" s="15" t="n"/>
      <c r="K35" s="17">
        <f>IF($A35="","",IFERROR(VLOOKUP($A35,祝日リスト!$A$2:$C$40,3,0),""))</f>
        <v/>
      </c>
      <c r="L35" s="18" t="inlineStr">
        <is>
          <t>休み</t>
        </is>
      </c>
      <c r="M35" s="19">
        <f>IF($A35="","",IF($K35&lt;&gt;"","祝",IF(WEEKDAY($A35,2)=6,"土",IF(WEEKDAY($A35,2)=7,"日","平"))))</f>
        <v/>
      </c>
      <c r="N35" s="19">
        <f>IF(NOT(ISNUMBER($C35)),"",IF($C35&lt;1,$C35,(INT($C35/100)*60+MOD($C35,100))/1440))</f>
        <v/>
      </c>
      <c r="O35" s="19">
        <f>IF(NOT(ISNUMBER($D35)),"",IF($D35&lt;1,$D35,(INT($D35/100)*60+MOD($D35,100))/1440))</f>
        <v/>
      </c>
      <c r="P35" s="19">
        <f>IF(NOT(ISNUMBER($E35)),"",IF($E35&lt;1,$E35,(INT($E35/100)*60+MOD($E35,100))/1440))</f>
        <v/>
      </c>
      <c r="Q35" s="19">
        <f>IF(NOT(ISNUMBER($G35)),"",IF($G35&lt;1,$G35,(INT($G35/100)*60+MOD($G35,100))/1440))</f>
        <v/>
      </c>
      <c r="R35" s="19">
        <f>IF(NOT(ISNUMBER($H35)),"",IF($H35&lt;1,$H35,(INT($H35/100)*60+MOD($H35,100))/1440))</f>
        <v/>
      </c>
      <c r="S35" s="19">
        <f>IF(NOT(ISNUMBER($I35)),"",IF($I35&lt;1,$I35,(INT($I35/100)*60+MOD($I35,100))/1440))</f>
        <v/>
      </c>
      <c r="T35" s="19">
        <f>IF(NOT(ISNUMBER($J35)),"",IF($J35&lt;1,$J35,(INT($J35/100)*60+MOD($J35,100))/1440))</f>
        <v/>
      </c>
    </row>
    <row r="36" ht="19" customHeight="1">
      <c r="A36" s="13">
        <f>IF(A35="","",IF(MONTH(A35+1)=$D$4,A35+1,""))</f>
        <v/>
      </c>
      <c r="B36" s="14">
        <f>IF($A36="","",CHOOSE(WEEKDAY($A36,2),"月","火","水","木","金","土","日"))</f>
        <v/>
      </c>
      <c r="C36" s="15" t="n">
        <v>900</v>
      </c>
      <c r="D36" s="15" t="n">
        <v>1500</v>
      </c>
      <c r="E36" s="15" t="n"/>
      <c r="F36" s="16">
        <f>IF(OR($N36="",$O36=""),"",MAX(0,MOD($O36-$N36,1)-IF($P36&lt;&gt;"",$P36,IF(MOD($O36-$N36,1)&gt;設定!$E$8,設定!$E$7,0))))</f>
        <v/>
      </c>
      <c r="G36" s="15" t="n"/>
      <c r="H36" s="15" t="n"/>
      <c r="I36" s="15" t="n"/>
      <c r="J36" s="15" t="n"/>
      <c r="K36" s="17">
        <f>IF($A36="","",IFERROR(VLOOKUP($A36,祝日リスト!$A$2:$C$40,3,0),""))</f>
        <v/>
      </c>
      <c r="L36" s="18" t="n"/>
      <c r="M36" s="19">
        <f>IF($A36="","",IF($K36&lt;&gt;"","祝",IF(WEEKDAY($A36,2)=6,"土",IF(WEEKDAY($A36,2)=7,"日","平"))))</f>
        <v/>
      </c>
      <c r="N36" s="19">
        <f>IF(NOT(ISNUMBER($C36)),"",IF($C36&lt;1,$C36,(INT($C36/100)*60+MOD($C36,100))/1440))</f>
        <v/>
      </c>
      <c r="O36" s="19">
        <f>IF(NOT(ISNUMBER($D36)),"",IF($D36&lt;1,$D36,(INT($D36/100)*60+MOD($D36,100))/1440))</f>
        <v/>
      </c>
      <c r="P36" s="19">
        <f>IF(NOT(ISNUMBER($E36)),"",IF($E36&lt;1,$E36,(INT($E36/100)*60+MOD($E36,100))/1440))</f>
        <v/>
      </c>
      <c r="Q36" s="19">
        <f>IF(NOT(ISNUMBER($G36)),"",IF($G36&lt;1,$G36,(INT($G36/100)*60+MOD($G36,100))/1440))</f>
        <v/>
      </c>
      <c r="R36" s="19">
        <f>IF(NOT(ISNUMBER($H36)),"",IF($H36&lt;1,$H36,(INT($H36/100)*60+MOD($H36,100))/1440))</f>
        <v/>
      </c>
      <c r="S36" s="19">
        <f>IF(NOT(ISNUMBER($I36)),"",IF($I36&lt;1,$I36,(INT($I36/100)*60+MOD($I36,100))/1440))</f>
        <v/>
      </c>
      <c r="T36" s="19">
        <f>IF(NOT(ISNUMBER($J36)),"",IF($J36&lt;1,$J36,(INT($J36/100)*60+MOD($J36,100))/1440))</f>
        <v/>
      </c>
    </row>
    <row r="37" ht="19" customHeight="1">
      <c r="A37" s="13">
        <f>IF(A36="","",IF(MONTH(A36+1)=$D$4,A36+1,""))</f>
        <v/>
      </c>
      <c r="B37" s="14">
        <f>IF($A37="","",CHOOSE(WEEKDAY($A37,2),"月","火","水","木","金","土","日"))</f>
        <v/>
      </c>
      <c r="C37" s="15" t="n">
        <v>900</v>
      </c>
      <c r="D37" s="15" t="n">
        <v>1500</v>
      </c>
      <c r="E37" s="15" t="n"/>
      <c r="F37" s="16">
        <f>IF(OR($N37="",$O37=""),"",MAX(0,MOD($O37-$N37,1)-IF($P37&lt;&gt;"",$P37,IF(MOD($O37-$N37,1)&gt;設定!$E$8,設定!$E$7,0))))</f>
        <v/>
      </c>
      <c r="G37" s="15" t="n"/>
      <c r="H37" s="15" t="n"/>
      <c r="I37" s="15" t="n"/>
      <c r="J37" s="15" t="n"/>
      <c r="K37" s="17">
        <f>IF($A37="","",IFERROR(VLOOKUP($A37,祝日リスト!$A$2:$C$40,3,0),""))</f>
        <v/>
      </c>
      <c r="L37" s="18" t="n"/>
      <c r="M37" s="19">
        <f>IF($A37="","",IF($K37&lt;&gt;"","祝",IF(WEEKDAY($A37,2)=6,"土",IF(WEEKDAY($A37,2)=7,"日","平"))))</f>
        <v/>
      </c>
      <c r="N37" s="19">
        <f>IF(NOT(ISNUMBER($C37)),"",IF($C37&lt;1,$C37,(INT($C37/100)*60+MOD($C37,100))/1440))</f>
        <v/>
      </c>
      <c r="O37" s="19">
        <f>IF(NOT(ISNUMBER($D37)),"",IF($D37&lt;1,$D37,(INT($D37/100)*60+MOD($D37,100))/1440))</f>
        <v/>
      </c>
      <c r="P37" s="19">
        <f>IF(NOT(ISNUMBER($E37)),"",IF($E37&lt;1,$E37,(INT($E37/100)*60+MOD($E37,100))/1440))</f>
        <v/>
      </c>
      <c r="Q37" s="19">
        <f>IF(NOT(ISNUMBER($G37)),"",IF($G37&lt;1,$G37,(INT($G37/100)*60+MOD($G37,100))/1440))</f>
        <v/>
      </c>
      <c r="R37" s="19">
        <f>IF(NOT(ISNUMBER($H37)),"",IF($H37&lt;1,$H37,(INT($H37/100)*60+MOD($H37,100))/1440))</f>
        <v/>
      </c>
      <c r="S37" s="19">
        <f>IF(NOT(ISNUMBER($I37)),"",IF($I37&lt;1,$I37,(INT($I37/100)*60+MOD($I37,100))/1440))</f>
        <v/>
      </c>
      <c r="T37" s="19">
        <f>IF(NOT(ISNUMBER($J37)),"",IF($J37&lt;1,$J37,(INT($J37/100)*60+MOD($J37,100))/1440))</f>
        <v/>
      </c>
    </row>
    <row r="38" ht="19" customHeight="1">
      <c r="A38" s="20">
        <f>IF(A37="","",IF(MONTH(A37+1)=$D$4,A37+1,""))</f>
        <v/>
      </c>
      <c r="B38" s="21">
        <f>IF($A38="","",CHOOSE(WEEKDAY($A38,2),"月","火","水","木","金","土","日"))</f>
        <v/>
      </c>
      <c r="C38" s="22" t="n"/>
      <c r="D38" s="22" t="n"/>
      <c r="E38" s="22" t="n"/>
      <c r="F38" s="23">
        <f>IF(OR($N38="",$O38=""),"",MAX(0,MOD($O38-$N38,1)-IF($P38&lt;&gt;"",$P38,IF(MOD($O38-$N38,1)&gt;設定!$E$8,設定!$E$7,0))))</f>
        <v/>
      </c>
      <c r="G38" s="22" t="n"/>
      <c r="H38" s="22" t="n"/>
      <c r="I38" s="22" t="n"/>
      <c r="J38" s="22" t="n"/>
      <c r="K38" s="24">
        <f>IF($A38="","",IFERROR(VLOOKUP($A38,祝日リスト!$A$2:$C$40,3,0),""))</f>
        <v/>
      </c>
      <c r="L38" s="25" t="n"/>
      <c r="M38" s="19">
        <f>IF($A38="","",IF($K38&lt;&gt;"","祝",IF(WEEKDAY($A38,2)=6,"土",IF(WEEKDAY($A38,2)=7,"日","平"))))</f>
        <v/>
      </c>
      <c r="N38" s="19">
        <f>IF(NOT(ISNUMBER($C38)),"",IF($C38&lt;1,$C38,(INT($C38/100)*60+MOD($C38,100))/1440))</f>
        <v/>
      </c>
      <c r="O38" s="19">
        <f>IF(NOT(ISNUMBER($D38)),"",IF($D38&lt;1,$D38,(INT($D38/100)*60+MOD($D38,100))/1440))</f>
        <v/>
      </c>
      <c r="P38" s="19">
        <f>IF(NOT(ISNUMBER($E38)),"",IF($E38&lt;1,$E38,(INT($E38/100)*60+MOD($E38,100))/1440))</f>
        <v/>
      </c>
      <c r="Q38" s="19">
        <f>IF(NOT(ISNUMBER($G38)),"",IF($G38&lt;1,$G38,(INT($G38/100)*60+MOD($G38,100))/1440))</f>
        <v/>
      </c>
      <c r="R38" s="19">
        <f>IF(NOT(ISNUMBER($H38)),"",IF($H38&lt;1,$H38,(INT($H38/100)*60+MOD($H38,100))/1440))</f>
        <v/>
      </c>
      <c r="S38" s="19">
        <f>IF(NOT(ISNUMBER($I38)),"",IF($I38&lt;1,$I38,(INT($I38/100)*60+MOD($I38,100))/1440))</f>
        <v/>
      </c>
      <c r="T38" s="19">
        <f>IF(NOT(ISNUMBER($J38)),"",IF($J38&lt;1,$J38,(INT($J38/100)*60+MOD($J38,100))/1440))</f>
        <v/>
      </c>
    </row>
    <row r="40" ht="20" customHeight="1">
      <c r="A40" s="26" t="inlineStr">
        <is>
          <t>月次集計</t>
        </is>
      </c>
    </row>
    <row r="41" ht="18" customHeight="1">
      <c r="A41" s="27" t="inlineStr">
        <is>
          <t>出勤日数</t>
        </is>
      </c>
      <c r="D41" s="28">
        <f>COUNT($N$8:$N$38)</f>
        <v/>
      </c>
      <c r="E41" s="29" t="inlineStr">
        <is>
          <t>日</t>
        </is>
      </c>
      <c r="G41" s="27" t="inlineStr">
        <is>
          <t>通常残業</t>
        </is>
      </c>
      <c r="K41" s="30">
        <f>SUM($Q$8:$Q$38)</f>
        <v/>
      </c>
    </row>
    <row r="42" ht="18" customHeight="1">
      <c r="A42" s="27" t="inlineStr">
        <is>
          <t>実働時間 合計</t>
        </is>
      </c>
      <c r="D42" s="30">
        <f>SUM($F$8:$F$38)</f>
        <v/>
      </c>
      <c r="G42" s="27" t="inlineStr">
        <is>
          <t>深夜残業</t>
        </is>
      </c>
      <c r="K42" s="30">
        <f>SUM($R$8:$R$38)</f>
        <v/>
      </c>
    </row>
    <row r="43" ht="18" customHeight="1">
      <c r="A43" s="31" t="inlineStr">
        <is>
          <t xml:space="preserve">　うち 平日</t>
        </is>
      </c>
      <c r="D43" s="30">
        <f>SUMIF($M$8:$M$38,"平",$F$8:$F$38)</f>
        <v/>
      </c>
      <c r="G43" s="27" t="inlineStr">
        <is>
          <t>早朝残業</t>
        </is>
      </c>
      <c r="K43" s="30">
        <f>SUM($S$8:$S$38)</f>
        <v/>
      </c>
    </row>
    <row r="44" ht="18" customHeight="1">
      <c r="A44" s="31" t="inlineStr">
        <is>
          <t xml:space="preserve">　うち 土曜</t>
        </is>
      </c>
      <c r="D44" s="30">
        <f>SUMIF($M$8:$M$38,"土",$F$8:$F$38)</f>
        <v/>
      </c>
      <c r="G44" s="27" t="inlineStr">
        <is>
          <t>遅刻・早退</t>
        </is>
      </c>
      <c r="K44" s="30">
        <f>SUM($T$8:$T$38)</f>
        <v/>
      </c>
    </row>
    <row r="45" ht="18" customHeight="1">
      <c r="A45" s="31" t="inlineStr">
        <is>
          <t xml:space="preserve">　うち 日曜・祝日</t>
        </is>
      </c>
      <c r="D45" s="30">
        <f>SUMIF($M$8:$M$38,"日",$F$8:$F$38)+SUMIF($M$8:$M$38,"祝",$F$8:$F$38)</f>
        <v/>
      </c>
      <c r="G45" s="27" t="inlineStr">
        <is>
          <t>所定超過(実働-所定×出勤日数)</t>
        </is>
      </c>
      <c r="K45" s="30">
        <f>MAX(0,SUM($F$8:$F$38)-設定!$E$6*COUNT($N$8:$N$38))</f>
        <v/>
      </c>
    </row>
    <row r="47">
      <c r="A47" s="11" t="inlineStr">
        <is>
          <t>※ 残業欄は実働時間の内数です。実働は「退勤－出勤－休憩」で自動計算されます。</t>
        </is>
      </c>
    </row>
    <row r="49" ht="30" customHeight="1">
      <c r="G49" s="9" t="inlineStr">
        <is>
          <t>承認</t>
        </is>
      </c>
      <c r="H49" s="32" t="n"/>
      <c r="J49" s="32" t="n"/>
    </row>
    <row r="50">
      <c r="H50" s="33" t="inlineStr">
        <is>
          <t>本人</t>
        </is>
      </c>
      <c r="J50" s="33" t="inlineStr">
        <is>
          <t>上長</t>
        </is>
      </c>
    </row>
  </sheetData>
  <mergeCells count="15">
    <mergeCell ref="G44:J44"/>
    <mergeCell ref="A42:C42"/>
    <mergeCell ref="A41:C41"/>
    <mergeCell ref="A44:C44"/>
    <mergeCell ref="A45:C45"/>
    <mergeCell ref="G43:J43"/>
    <mergeCell ref="H49:I49"/>
    <mergeCell ref="J49:K49"/>
    <mergeCell ref="A40:L40"/>
    <mergeCell ref="J4:L4"/>
    <mergeCell ref="A2:D2"/>
    <mergeCell ref="G41:J41"/>
    <mergeCell ref="A43:C43"/>
    <mergeCell ref="G45:J45"/>
    <mergeCell ref="G42:J42"/>
  </mergeCells>
  <conditionalFormatting sqref="A8:L38">
    <cfRule type="expression" priority="1" dxfId="0" stopIfTrue="1">
      <formula>$A8=""</formula>
    </cfRule>
    <cfRule type="expression" priority="2" dxfId="1">
      <formula>OR($M8="祝",$M8="日")</formula>
    </cfRule>
    <cfRule type="expression" priority="3" dxfId="2">
      <formula>$M8="土"</formula>
    </cfRule>
  </conditionalFormatting>
  <conditionalFormatting sqref="D8:D38">
    <cfRule type="expression" priority="4" dxfId="3">
      <formula>AND($N8&lt;&gt;"",$O8="")</formula>
    </cfRule>
  </conditionalFormatting>
  <conditionalFormatting sqref="C8:C38">
    <cfRule type="expression" priority="5" dxfId="3">
      <formula>AND($O8&lt;&gt;"",$N8="")</formula>
    </cfRule>
  </conditionalFormatting>
  <dataValidations count="2">
    <dataValidation sqref="L8:L38" showDropDown="0" showInputMessage="1" showErrorMessage="0" allowBlank="1" promptTitle="備考" prompt="選択、または自由入力できます" type="list">
      <formula1>"有給,半休,欠勤,遅刻,早退,休日出勤,振替休日,直行,直帰,出張,特別休暇"</formula1>
    </dataValidation>
    <dataValidation sqref="C8:C38 D8:D38 E8:E38 G8:G38 H8:H38 I8:I38 J8:J38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=OR(AND(C8&gt;=0,C8&lt;1),AND(C8=INT(C8),C8&lt;=2359,MOD(C8,100)&lt;60))</formula1>
    </dataValidation>
  </dataValidations>
  <pageMargins left="0.3" right="0.3" top="0.4" bottom="0.4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FF4472C4"/>
    <outlinePr summaryBelow="1" summaryRight="1"/>
    <pageSetUpPr fitToPage="1"/>
  </sheetPr>
  <dimension ref="A2:T5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.5" customWidth="1" min="1" max="1"/>
    <col width="4.5" customWidth="1" min="2" max="2"/>
    <col width="8.5" customWidth="1" min="3" max="3"/>
    <col width="8.5" customWidth="1" min="4" max="4"/>
    <col width="8" customWidth="1" min="5" max="5"/>
    <col width="8.5" customWidth="1" min="6" max="6"/>
    <col width="9" customWidth="1" min="7" max="7"/>
    <col width="9" customWidth="1" min="8" max="8"/>
    <col width="9" customWidth="1" min="9" max="9"/>
    <col width="10" customWidth="1" min="10" max="10"/>
    <col width="14" customWidth="1" min="11" max="11"/>
    <col width="26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2" ht="24" customHeight="1">
      <c r="A2" s="8">
        <f>設定!$B$4&amp;"　"&amp;設定!$B$3&amp;"年"&amp;7&amp;"月度 出勤簿"</f>
        <v/>
      </c>
    </row>
    <row r="4">
      <c r="A4" s="9" t="inlineStr">
        <is>
          <t>年</t>
        </is>
      </c>
      <c r="B4" s="10">
        <f>設定!$B$3</f>
        <v/>
      </c>
      <c r="C4" s="9" t="inlineStr">
        <is>
          <t>月</t>
        </is>
      </c>
      <c r="D4" s="10" t="n">
        <v>7</v>
      </c>
      <c r="G4" s="9" t="inlineStr">
        <is>
          <t>所属</t>
        </is>
      </c>
      <c r="H4" s="10">
        <f>設定!$B$5</f>
        <v/>
      </c>
      <c r="I4" s="9" t="inlineStr">
        <is>
          <t>氏名</t>
        </is>
      </c>
      <c r="J4" s="10">
        <f>設定!$B$4</f>
        <v/>
      </c>
    </row>
    <row r="5">
      <c r="A5" s="11" t="inlineStr">
        <is>
          <t>黄色のセルに入力してください（灰色は自動計算）。時刻は 930 のようにコロンなしで入力できます。</t>
        </is>
      </c>
    </row>
    <row r="7" ht="26" customHeight="1">
      <c r="A7" s="12" t="inlineStr">
        <is>
          <t>日</t>
        </is>
      </c>
      <c r="B7" s="12" t="inlineStr">
        <is>
          <t>曜</t>
        </is>
      </c>
      <c r="C7" s="12" t="inlineStr">
        <is>
          <t>出勤</t>
        </is>
      </c>
      <c r="D7" s="12" t="inlineStr">
        <is>
          <t>退勤</t>
        </is>
      </c>
      <c r="E7" s="12" t="inlineStr">
        <is>
          <t>休憩</t>
        </is>
      </c>
      <c r="F7" s="12" t="inlineStr">
        <is>
          <t>実働</t>
        </is>
      </c>
      <c r="G7" s="12" t="inlineStr">
        <is>
          <t>通常残業</t>
        </is>
      </c>
      <c r="H7" s="12" t="inlineStr">
        <is>
          <t>深夜残業</t>
        </is>
      </c>
      <c r="I7" s="12" t="inlineStr">
        <is>
          <t>早朝残業</t>
        </is>
      </c>
      <c r="J7" s="12" t="inlineStr">
        <is>
          <t>遅刻・早退</t>
        </is>
      </c>
      <c r="K7" s="12" t="inlineStr">
        <is>
          <t>祝日</t>
        </is>
      </c>
      <c r="L7" s="12" t="inlineStr">
        <is>
          <t>備考・理由</t>
        </is>
      </c>
    </row>
    <row r="8" ht="19" customHeight="1">
      <c r="A8" s="13">
        <f>DATE($B$4,$D$4,1)</f>
        <v/>
      </c>
      <c r="B8" s="14">
        <f>IF($A8="","",CHOOSE(WEEKDAY($A8,2),"月","火","水","木","金","土","日"))</f>
        <v/>
      </c>
      <c r="C8" s="15" t="n"/>
      <c r="D8" s="15" t="n"/>
      <c r="E8" s="15" t="n"/>
      <c r="F8" s="16">
        <f>IF(OR($N8="",$O8=""),"",MAX(0,MOD($O8-$N8,1)-IF($P8&lt;&gt;"",$P8,IF(MOD($O8-$N8,1)&gt;設定!$E$8,設定!$E$7,0))))</f>
        <v/>
      </c>
      <c r="G8" s="15" t="n"/>
      <c r="H8" s="15" t="n"/>
      <c r="I8" s="15" t="n"/>
      <c r="J8" s="15" t="n"/>
      <c r="K8" s="17">
        <f>IF($A8="","",IFERROR(VLOOKUP($A8,祝日リスト!$A$2:$C$40,3,0),""))</f>
        <v/>
      </c>
      <c r="L8" s="18" t="inlineStr">
        <is>
          <t>休</t>
        </is>
      </c>
      <c r="M8" s="19">
        <f>IF($A8="","",IF($K8&lt;&gt;"","祝",IF(WEEKDAY($A8,2)=6,"土",IF(WEEKDAY($A8,2)=7,"日","平"))))</f>
        <v/>
      </c>
      <c r="N8" s="19">
        <f>IF(NOT(ISNUMBER($C8)),"",IF($C8&lt;1,$C8,(INT($C8/100)*60+MOD($C8,100))/1440))</f>
        <v/>
      </c>
      <c r="O8" s="19">
        <f>IF(NOT(ISNUMBER($D8)),"",IF($D8&lt;1,$D8,(INT($D8/100)*60+MOD($D8,100))/1440))</f>
        <v/>
      </c>
      <c r="P8" s="19">
        <f>IF(NOT(ISNUMBER($E8)),"",IF($E8&lt;1,$E8,(INT($E8/100)*60+MOD($E8,100))/1440))</f>
        <v/>
      </c>
      <c r="Q8" s="19">
        <f>IF(NOT(ISNUMBER($G8)),"",IF($G8&lt;1,$G8,(INT($G8/100)*60+MOD($G8,100))/1440))</f>
        <v/>
      </c>
      <c r="R8" s="19">
        <f>IF(NOT(ISNUMBER($H8)),"",IF($H8&lt;1,$H8,(INT($H8/100)*60+MOD($H8,100))/1440))</f>
        <v/>
      </c>
      <c r="S8" s="19">
        <f>IF(NOT(ISNUMBER($I8)),"",IF($I8&lt;1,$I8,(INT($I8/100)*60+MOD($I8,100))/1440))</f>
        <v/>
      </c>
      <c r="T8" s="19">
        <f>IF(NOT(ISNUMBER($J8)),"",IF($J8&lt;1,$J8,(INT($J8/100)*60+MOD($J8,100))/1440))</f>
        <v/>
      </c>
    </row>
    <row r="9" ht="19" customHeight="1">
      <c r="A9" s="13">
        <f>IF(A8="","",IF(MONTH(A8+1)=$D$4,A8+1,""))</f>
        <v/>
      </c>
      <c r="B9" s="14">
        <f>IF($A9="","",CHOOSE(WEEKDAY($A9,2),"月","火","水","木","金","土","日"))</f>
        <v/>
      </c>
      <c r="C9" s="15" t="n">
        <v>900</v>
      </c>
      <c r="D9" s="15" t="n">
        <v>1500</v>
      </c>
      <c r="E9" s="15" t="n"/>
      <c r="F9" s="16">
        <f>IF(OR($N9="",$O9=""),"",MAX(0,MOD($O9-$N9,1)-IF($P9&lt;&gt;"",$P9,IF(MOD($O9-$N9,1)&gt;設定!$E$8,設定!$E$7,0))))</f>
        <v/>
      </c>
      <c r="G9" s="15" t="n"/>
      <c r="H9" s="15" t="n"/>
      <c r="I9" s="15" t="n"/>
      <c r="J9" s="15" t="n"/>
      <c r="K9" s="17">
        <f>IF($A9="","",IFERROR(VLOOKUP($A9,祝日リスト!$A$2:$C$40,3,0),""))</f>
        <v/>
      </c>
      <c r="L9" s="18" t="n"/>
      <c r="M9" s="19">
        <f>IF($A9="","",IF($K9&lt;&gt;"","祝",IF(WEEKDAY($A9,2)=6,"土",IF(WEEKDAY($A9,2)=7,"日","平"))))</f>
        <v/>
      </c>
      <c r="N9" s="19">
        <f>IF(NOT(ISNUMBER($C9)),"",IF($C9&lt;1,$C9,(INT($C9/100)*60+MOD($C9,100))/1440))</f>
        <v/>
      </c>
      <c r="O9" s="19">
        <f>IF(NOT(ISNUMBER($D9)),"",IF($D9&lt;1,$D9,(INT($D9/100)*60+MOD($D9,100))/1440))</f>
        <v/>
      </c>
      <c r="P9" s="19">
        <f>IF(NOT(ISNUMBER($E9)),"",IF($E9&lt;1,$E9,(INT($E9/100)*60+MOD($E9,100))/1440))</f>
        <v/>
      </c>
      <c r="Q9" s="19">
        <f>IF(NOT(ISNUMBER($G9)),"",IF($G9&lt;1,$G9,(INT($G9/100)*60+MOD($G9,100))/1440))</f>
        <v/>
      </c>
      <c r="R9" s="19">
        <f>IF(NOT(ISNUMBER($H9)),"",IF($H9&lt;1,$H9,(INT($H9/100)*60+MOD($H9,100))/1440))</f>
        <v/>
      </c>
      <c r="S9" s="19">
        <f>IF(NOT(ISNUMBER($I9)),"",IF($I9&lt;1,$I9,(INT($I9/100)*60+MOD($I9,100))/1440))</f>
        <v/>
      </c>
      <c r="T9" s="19">
        <f>IF(NOT(ISNUMBER($J9)),"",IF($J9&lt;1,$J9,(INT($J9/100)*60+MOD($J9,100))/1440))</f>
        <v/>
      </c>
    </row>
    <row r="10" ht="19" customHeight="1">
      <c r="A10" s="13">
        <f>IF(A9="","",IF(MONTH(A9+1)=$D$4,A9+1,""))</f>
        <v/>
      </c>
      <c r="B10" s="14">
        <f>IF($A10="","",CHOOSE(WEEKDAY($A10,2),"月","火","水","木","金","土","日"))</f>
        <v/>
      </c>
      <c r="C10" s="15" t="n">
        <v>900</v>
      </c>
      <c r="D10" s="15" t="n">
        <v>1500</v>
      </c>
      <c r="E10" s="15" t="n"/>
      <c r="F10" s="16">
        <f>IF(OR($N10="",$O10=""),"",MAX(0,MOD($O10-$N10,1)-IF($P10&lt;&gt;"",$P10,IF(MOD($O10-$N10,1)&gt;設定!$E$8,設定!$E$7,0))))</f>
        <v/>
      </c>
      <c r="G10" s="15" t="n"/>
      <c r="H10" s="15" t="n"/>
      <c r="I10" s="15" t="n"/>
      <c r="J10" s="15" t="n"/>
      <c r="K10" s="17">
        <f>IF($A10="","",IFERROR(VLOOKUP($A10,祝日リスト!$A$2:$C$40,3,0),""))</f>
        <v/>
      </c>
      <c r="L10" s="18" t="n"/>
      <c r="M10" s="19">
        <f>IF($A10="","",IF($K10&lt;&gt;"","祝",IF(WEEKDAY($A10,2)=6,"土",IF(WEEKDAY($A10,2)=7,"日","平"))))</f>
        <v/>
      </c>
      <c r="N10" s="19">
        <f>IF(NOT(ISNUMBER($C10)),"",IF($C10&lt;1,$C10,(INT($C10/100)*60+MOD($C10,100))/1440))</f>
        <v/>
      </c>
      <c r="O10" s="19">
        <f>IF(NOT(ISNUMBER($D10)),"",IF($D10&lt;1,$D10,(INT($D10/100)*60+MOD($D10,100))/1440))</f>
        <v/>
      </c>
      <c r="P10" s="19">
        <f>IF(NOT(ISNUMBER($E10)),"",IF($E10&lt;1,$E10,(INT($E10/100)*60+MOD($E10,100))/1440))</f>
        <v/>
      </c>
      <c r="Q10" s="19">
        <f>IF(NOT(ISNUMBER($G10)),"",IF($G10&lt;1,$G10,(INT($G10/100)*60+MOD($G10,100))/1440))</f>
        <v/>
      </c>
      <c r="R10" s="19">
        <f>IF(NOT(ISNUMBER($H10)),"",IF($H10&lt;1,$H10,(INT($H10/100)*60+MOD($H10,100))/1440))</f>
        <v/>
      </c>
      <c r="S10" s="19">
        <f>IF(NOT(ISNUMBER($I10)),"",IF($I10&lt;1,$I10,(INT($I10/100)*60+MOD($I10,100))/1440))</f>
        <v/>
      </c>
      <c r="T10" s="19">
        <f>IF(NOT(ISNUMBER($J10)),"",IF($J10&lt;1,$J10,(INT($J10/100)*60+MOD($J10,100))/1440))</f>
        <v/>
      </c>
    </row>
    <row r="11" ht="19" customHeight="1">
      <c r="A11" s="13">
        <f>IF(A10="","",IF(MONTH(A10+1)=$D$4,A10+1,""))</f>
        <v/>
      </c>
      <c r="B11" s="14">
        <f>IF($A11="","",CHOOSE(WEEKDAY($A11,2),"月","火","水","木","金","土","日"))</f>
        <v/>
      </c>
      <c r="C11" s="15" t="n"/>
      <c r="D11" s="15" t="n"/>
      <c r="E11" s="15" t="n"/>
      <c r="F11" s="16">
        <f>IF(OR($N11="",$O11=""),"",MAX(0,MOD($O11-$N11,1)-IF($P11&lt;&gt;"",$P11,IF(MOD($O11-$N11,1)&gt;設定!$E$8,設定!$E$7,0))))</f>
        <v/>
      </c>
      <c r="G11" s="15" t="n"/>
      <c r="H11" s="15" t="n"/>
      <c r="I11" s="15" t="n"/>
      <c r="J11" s="15" t="n"/>
      <c r="K11" s="17">
        <f>IF($A11="","",IFERROR(VLOOKUP($A11,祝日リスト!$A$2:$C$40,3,0),""))</f>
        <v/>
      </c>
      <c r="L11" s="18" t="inlineStr">
        <is>
          <t>休</t>
        </is>
      </c>
      <c r="M11" s="19">
        <f>IF($A11="","",IF($K11&lt;&gt;"","祝",IF(WEEKDAY($A11,2)=6,"土",IF(WEEKDAY($A11,2)=7,"日","平"))))</f>
        <v/>
      </c>
      <c r="N11" s="19">
        <f>IF(NOT(ISNUMBER($C11)),"",IF($C11&lt;1,$C11,(INT($C11/100)*60+MOD($C11,100))/1440))</f>
        <v/>
      </c>
      <c r="O11" s="19">
        <f>IF(NOT(ISNUMBER($D11)),"",IF($D11&lt;1,$D11,(INT($D11/100)*60+MOD($D11,100))/1440))</f>
        <v/>
      </c>
      <c r="P11" s="19">
        <f>IF(NOT(ISNUMBER($E11)),"",IF($E11&lt;1,$E11,(INT($E11/100)*60+MOD($E11,100))/1440))</f>
        <v/>
      </c>
      <c r="Q11" s="19">
        <f>IF(NOT(ISNUMBER($G11)),"",IF($G11&lt;1,$G11,(INT($G11/100)*60+MOD($G11,100))/1440))</f>
        <v/>
      </c>
      <c r="R11" s="19">
        <f>IF(NOT(ISNUMBER($H11)),"",IF($H11&lt;1,$H11,(INT($H11/100)*60+MOD($H11,100))/1440))</f>
        <v/>
      </c>
      <c r="S11" s="19">
        <f>IF(NOT(ISNUMBER($I11)),"",IF($I11&lt;1,$I11,(INT($I11/100)*60+MOD($I11,100))/1440))</f>
        <v/>
      </c>
      <c r="T11" s="19">
        <f>IF(NOT(ISNUMBER($J11)),"",IF($J11&lt;1,$J11,(INT($J11/100)*60+MOD($J11,100))/1440))</f>
        <v/>
      </c>
    </row>
    <row r="12" ht="19" customHeight="1">
      <c r="A12" s="13">
        <f>IF(A11="","",IF(MONTH(A11+1)=$D$4,A11+1,""))</f>
        <v/>
      </c>
      <c r="B12" s="14">
        <f>IF($A12="","",CHOOSE(WEEKDAY($A12,2),"月","火","水","木","金","土","日"))</f>
        <v/>
      </c>
      <c r="C12" s="15" t="n"/>
      <c r="D12" s="15" t="n"/>
      <c r="E12" s="15" t="n"/>
      <c r="F12" s="16">
        <f>IF(OR($N12="",$O12=""),"",MAX(0,MOD($O12-$N12,1)-IF($P12&lt;&gt;"",$P12,IF(MOD($O12-$N12,1)&gt;設定!$E$8,設定!$E$7,0))))</f>
        <v/>
      </c>
      <c r="G12" s="15" t="n"/>
      <c r="H12" s="15" t="n"/>
      <c r="I12" s="15" t="n"/>
      <c r="J12" s="15" t="n"/>
      <c r="K12" s="17">
        <f>IF($A12="","",IFERROR(VLOOKUP($A12,祝日リスト!$A$2:$C$40,3,0),""))</f>
        <v/>
      </c>
      <c r="L12" s="18" t="inlineStr">
        <is>
          <t>休</t>
        </is>
      </c>
      <c r="M12" s="19">
        <f>IF($A12="","",IF($K12&lt;&gt;"","祝",IF(WEEKDAY($A12,2)=6,"土",IF(WEEKDAY($A12,2)=7,"日","平"))))</f>
        <v/>
      </c>
      <c r="N12" s="19">
        <f>IF(NOT(ISNUMBER($C12)),"",IF($C12&lt;1,$C12,(INT($C12/100)*60+MOD($C12,100))/1440))</f>
        <v/>
      </c>
      <c r="O12" s="19">
        <f>IF(NOT(ISNUMBER($D12)),"",IF($D12&lt;1,$D12,(INT($D12/100)*60+MOD($D12,100))/1440))</f>
        <v/>
      </c>
      <c r="P12" s="19">
        <f>IF(NOT(ISNUMBER($E12)),"",IF($E12&lt;1,$E12,(INT($E12/100)*60+MOD($E12,100))/1440))</f>
        <v/>
      </c>
      <c r="Q12" s="19">
        <f>IF(NOT(ISNUMBER($G12)),"",IF($G12&lt;1,$G12,(INT($G12/100)*60+MOD($G12,100))/1440))</f>
        <v/>
      </c>
      <c r="R12" s="19">
        <f>IF(NOT(ISNUMBER($H12)),"",IF($H12&lt;1,$H12,(INT($H12/100)*60+MOD($H12,100))/1440))</f>
        <v/>
      </c>
      <c r="S12" s="19">
        <f>IF(NOT(ISNUMBER($I12)),"",IF($I12&lt;1,$I12,(INT($I12/100)*60+MOD($I12,100))/1440))</f>
        <v/>
      </c>
      <c r="T12" s="19">
        <f>IF(NOT(ISNUMBER($J12)),"",IF($J12&lt;1,$J12,(INT($J12/100)*60+MOD($J12,100))/1440))</f>
        <v/>
      </c>
    </row>
    <row r="13" ht="19" customHeight="1">
      <c r="A13" s="13">
        <f>IF(A12="","",IF(MONTH(A12+1)=$D$4,A12+1,""))</f>
        <v/>
      </c>
      <c r="B13" s="14">
        <f>IF($A13="","",CHOOSE(WEEKDAY($A13,2),"月","火","水","木","金","土","日"))</f>
        <v/>
      </c>
      <c r="C13" s="15" t="n">
        <v>900</v>
      </c>
      <c r="D13" s="15" t="n">
        <v>1500</v>
      </c>
      <c r="E13" s="15" t="n"/>
      <c r="F13" s="16">
        <f>IF(OR($N13="",$O13=""),"",MAX(0,MOD($O13-$N13,1)-IF($P13&lt;&gt;"",$P13,IF(MOD($O13-$N13,1)&gt;設定!$E$8,設定!$E$7,0))))</f>
        <v/>
      </c>
      <c r="G13" s="15" t="n"/>
      <c r="H13" s="15" t="n"/>
      <c r="I13" s="15" t="n"/>
      <c r="J13" s="15" t="n"/>
      <c r="K13" s="17">
        <f>IF($A13="","",IFERROR(VLOOKUP($A13,祝日リスト!$A$2:$C$40,3,0),""))</f>
        <v/>
      </c>
      <c r="L13" s="18" t="n"/>
      <c r="M13" s="19">
        <f>IF($A13="","",IF($K13&lt;&gt;"","祝",IF(WEEKDAY($A13,2)=6,"土",IF(WEEKDAY($A13,2)=7,"日","平"))))</f>
        <v/>
      </c>
      <c r="N13" s="19">
        <f>IF(NOT(ISNUMBER($C13)),"",IF($C13&lt;1,$C13,(INT($C13/100)*60+MOD($C13,100))/1440))</f>
        <v/>
      </c>
      <c r="O13" s="19">
        <f>IF(NOT(ISNUMBER($D13)),"",IF($D13&lt;1,$D13,(INT($D13/100)*60+MOD($D13,100))/1440))</f>
        <v/>
      </c>
      <c r="P13" s="19">
        <f>IF(NOT(ISNUMBER($E13)),"",IF($E13&lt;1,$E13,(INT($E13/100)*60+MOD($E13,100))/1440))</f>
        <v/>
      </c>
      <c r="Q13" s="19">
        <f>IF(NOT(ISNUMBER($G13)),"",IF($G13&lt;1,$G13,(INT($G13/100)*60+MOD($G13,100))/1440))</f>
        <v/>
      </c>
      <c r="R13" s="19">
        <f>IF(NOT(ISNUMBER($H13)),"",IF($H13&lt;1,$H13,(INT($H13/100)*60+MOD($H13,100))/1440))</f>
        <v/>
      </c>
      <c r="S13" s="19">
        <f>IF(NOT(ISNUMBER($I13)),"",IF($I13&lt;1,$I13,(INT($I13/100)*60+MOD($I13,100))/1440))</f>
        <v/>
      </c>
      <c r="T13" s="19">
        <f>IF(NOT(ISNUMBER($J13)),"",IF($J13&lt;1,$J13,(INT($J13/100)*60+MOD($J13,100))/1440))</f>
        <v/>
      </c>
    </row>
    <row r="14" ht="19" customHeight="1">
      <c r="A14" s="13">
        <f>IF(A13="","",IF(MONTH(A13+1)=$D$4,A13+1,""))</f>
        <v/>
      </c>
      <c r="B14" s="14">
        <f>IF($A14="","",CHOOSE(WEEKDAY($A14,2),"月","火","水","木","金","土","日"))</f>
        <v/>
      </c>
      <c r="C14" s="15" t="n">
        <v>900</v>
      </c>
      <c r="D14" s="15" t="n">
        <v>1500</v>
      </c>
      <c r="E14" s="15" t="n"/>
      <c r="F14" s="16">
        <f>IF(OR($N14="",$O14=""),"",MAX(0,MOD($O14-$N14,1)-IF($P14&lt;&gt;"",$P14,IF(MOD($O14-$N14,1)&gt;設定!$E$8,設定!$E$7,0))))</f>
        <v/>
      </c>
      <c r="G14" s="15" t="n"/>
      <c r="H14" s="15" t="n"/>
      <c r="I14" s="15" t="n"/>
      <c r="J14" s="15" t="n"/>
      <c r="K14" s="17">
        <f>IF($A14="","",IFERROR(VLOOKUP($A14,祝日リスト!$A$2:$C$40,3,0),""))</f>
        <v/>
      </c>
      <c r="L14" s="18" t="n"/>
      <c r="M14" s="19">
        <f>IF($A14="","",IF($K14&lt;&gt;"","祝",IF(WEEKDAY($A14,2)=6,"土",IF(WEEKDAY($A14,2)=7,"日","平"))))</f>
        <v/>
      </c>
      <c r="N14" s="19">
        <f>IF(NOT(ISNUMBER($C14)),"",IF($C14&lt;1,$C14,(INT($C14/100)*60+MOD($C14,100))/1440))</f>
        <v/>
      </c>
      <c r="O14" s="19">
        <f>IF(NOT(ISNUMBER($D14)),"",IF($D14&lt;1,$D14,(INT($D14/100)*60+MOD($D14,100))/1440))</f>
        <v/>
      </c>
      <c r="P14" s="19">
        <f>IF(NOT(ISNUMBER($E14)),"",IF($E14&lt;1,$E14,(INT($E14/100)*60+MOD($E14,100))/1440))</f>
        <v/>
      </c>
      <c r="Q14" s="19">
        <f>IF(NOT(ISNUMBER($G14)),"",IF($G14&lt;1,$G14,(INT($G14/100)*60+MOD($G14,100))/1440))</f>
        <v/>
      </c>
      <c r="R14" s="19">
        <f>IF(NOT(ISNUMBER($H14)),"",IF($H14&lt;1,$H14,(INT($H14/100)*60+MOD($H14,100))/1440))</f>
        <v/>
      </c>
      <c r="S14" s="19">
        <f>IF(NOT(ISNUMBER($I14)),"",IF($I14&lt;1,$I14,(INT($I14/100)*60+MOD($I14,100))/1440))</f>
        <v/>
      </c>
      <c r="T14" s="19">
        <f>IF(NOT(ISNUMBER($J14)),"",IF($J14&lt;1,$J14,(INT($J14/100)*60+MOD($J14,100))/1440))</f>
        <v/>
      </c>
    </row>
    <row r="15" ht="19" customHeight="1">
      <c r="A15" s="13">
        <f>IF(A14="","",IF(MONTH(A14+1)=$D$4,A14+1,""))</f>
        <v/>
      </c>
      <c r="B15" s="14">
        <f>IF($A15="","",CHOOSE(WEEKDAY($A15,2),"月","火","水","木","金","土","日"))</f>
        <v/>
      </c>
      <c r="C15" s="15" t="n"/>
      <c r="D15" s="15" t="n"/>
      <c r="E15" s="15" t="n"/>
      <c r="F15" s="16">
        <f>IF(OR($N15="",$O15=""),"",MAX(0,MOD($O15-$N15,1)-IF($P15&lt;&gt;"",$P15,IF(MOD($O15-$N15,1)&gt;設定!$E$8,設定!$E$7,0))))</f>
        <v/>
      </c>
      <c r="G15" s="15" t="n"/>
      <c r="H15" s="15" t="n"/>
      <c r="I15" s="15" t="n"/>
      <c r="J15" s="15" t="n"/>
      <c r="K15" s="17">
        <f>IF($A15="","",IFERROR(VLOOKUP($A15,祝日リスト!$A$2:$C$40,3,0),""))</f>
        <v/>
      </c>
      <c r="L15" s="18" t="inlineStr">
        <is>
          <t>休</t>
        </is>
      </c>
      <c r="M15" s="19">
        <f>IF($A15="","",IF($K15&lt;&gt;"","祝",IF(WEEKDAY($A15,2)=6,"土",IF(WEEKDAY($A15,2)=7,"日","平"))))</f>
        <v/>
      </c>
      <c r="N15" s="19">
        <f>IF(NOT(ISNUMBER($C15)),"",IF($C15&lt;1,$C15,(INT($C15/100)*60+MOD($C15,100))/1440))</f>
        <v/>
      </c>
      <c r="O15" s="19">
        <f>IF(NOT(ISNUMBER($D15)),"",IF($D15&lt;1,$D15,(INT($D15/100)*60+MOD($D15,100))/1440))</f>
        <v/>
      </c>
      <c r="P15" s="19">
        <f>IF(NOT(ISNUMBER($E15)),"",IF($E15&lt;1,$E15,(INT($E15/100)*60+MOD($E15,100))/1440))</f>
        <v/>
      </c>
      <c r="Q15" s="19">
        <f>IF(NOT(ISNUMBER($G15)),"",IF($G15&lt;1,$G15,(INT($G15/100)*60+MOD($G15,100))/1440))</f>
        <v/>
      </c>
      <c r="R15" s="19">
        <f>IF(NOT(ISNUMBER($H15)),"",IF($H15&lt;1,$H15,(INT($H15/100)*60+MOD($H15,100))/1440))</f>
        <v/>
      </c>
      <c r="S15" s="19">
        <f>IF(NOT(ISNUMBER($I15)),"",IF($I15&lt;1,$I15,(INT($I15/100)*60+MOD($I15,100))/1440))</f>
        <v/>
      </c>
      <c r="T15" s="19">
        <f>IF(NOT(ISNUMBER($J15)),"",IF($J15&lt;1,$J15,(INT($J15/100)*60+MOD($J15,100))/1440))</f>
        <v/>
      </c>
    </row>
    <row r="16" ht="19" customHeight="1">
      <c r="A16" s="13">
        <f>IF(A15="","",IF(MONTH(A15+1)=$D$4,A15+1,""))</f>
        <v/>
      </c>
      <c r="B16" s="14">
        <f>IF($A16="","",CHOOSE(WEEKDAY($A16,2),"月","火","水","木","金","土","日"))</f>
        <v/>
      </c>
      <c r="C16" s="15" t="n">
        <v>900</v>
      </c>
      <c r="D16" s="15" t="n">
        <v>1500</v>
      </c>
      <c r="E16" s="15" t="n"/>
      <c r="F16" s="16">
        <f>IF(OR($N16="",$O16=""),"",MAX(0,MOD($O16-$N16,1)-IF($P16&lt;&gt;"",$P16,IF(MOD($O16-$N16,1)&gt;設定!$E$8,設定!$E$7,0))))</f>
        <v/>
      </c>
      <c r="G16" s="15" t="n"/>
      <c r="H16" s="15" t="n"/>
      <c r="I16" s="15" t="n"/>
      <c r="J16" s="15" t="n"/>
      <c r="K16" s="17">
        <f>IF($A16="","",IFERROR(VLOOKUP($A16,祝日リスト!$A$2:$C$40,3,0),""))</f>
        <v/>
      </c>
      <c r="L16" s="18" t="n"/>
      <c r="M16" s="19">
        <f>IF($A16="","",IF($K16&lt;&gt;"","祝",IF(WEEKDAY($A16,2)=6,"土",IF(WEEKDAY($A16,2)=7,"日","平"))))</f>
        <v/>
      </c>
      <c r="N16" s="19">
        <f>IF(NOT(ISNUMBER($C16)),"",IF($C16&lt;1,$C16,(INT($C16/100)*60+MOD($C16,100))/1440))</f>
        <v/>
      </c>
      <c r="O16" s="19">
        <f>IF(NOT(ISNUMBER($D16)),"",IF($D16&lt;1,$D16,(INT($D16/100)*60+MOD($D16,100))/1440))</f>
        <v/>
      </c>
      <c r="P16" s="19">
        <f>IF(NOT(ISNUMBER($E16)),"",IF($E16&lt;1,$E16,(INT($E16/100)*60+MOD($E16,100))/1440))</f>
        <v/>
      </c>
      <c r="Q16" s="19">
        <f>IF(NOT(ISNUMBER($G16)),"",IF($G16&lt;1,$G16,(INT($G16/100)*60+MOD($G16,100))/1440))</f>
        <v/>
      </c>
      <c r="R16" s="19">
        <f>IF(NOT(ISNUMBER($H16)),"",IF($H16&lt;1,$H16,(INT($H16/100)*60+MOD($H16,100))/1440))</f>
        <v/>
      </c>
      <c r="S16" s="19">
        <f>IF(NOT(ISNUMBER($I16)),"",IF($I16&lt;1,$I16,(INT($I16/100)*60+MOD($I16,100))/1440))</f>
        <v/>
      </c>
      <c r="T16" s="19">
        <f>IF(NOT(ISNUMBER($J16)),"",IF($J16&lt;1,$J16,(INT($J16/100)*60+MOD($J16,100))/1440))</f>
        <v/>
      </c>
    </row>
    <row r="17" ht="19" customHeight="1">
      <c r="A17" s="13">
        <f>IF(A16="","",IF(MONTH(A16+1)=$D$4,A16+1,""))</f>
        <v/>
      </c>
      <c r="B17" s="14">
        <f>IF($A17="","",CHOOSE(WEEKDAY($A17,2),"月","火","水","木","金","土","日"))</f>
        <v/>
      </c>
      <c r="C17" s="15" t="n">
        <v>900</v>
      </c>
      <c r="D17" s="15" t="n">
        <v>1500</v>
      </c>
      <c r="E17" s="15" t="n"/>
      <c r="F17" s="16">
        <f>IF(OR($N17="",$O17=""),"",MAX(0,MOD($O17-$N17,1)-IF($P17&lt;&gt;"",$P17,IF(MOD($O17-$N17,1)&gt;設定!$E$8,設定!$E$7,0))))</f>
        <v/>
      </c>
      <c r="G17" s="15" t="n"/>
      <c r="H17" s="15" t="n"/>
      <c r="I17" s="15" t="n"/>
      <c r="J17" s="15" t="n"/>
      <c r="K17" s="17">
        <f>IF($A17="","",IFERROR(VLOOKUP($A17,祝日リスト!$A$2:$C$40,3,0),""))</f>
        <v/>
      </c>
      <c r="L17" s="18" t="n"/>
      <c r="M17" s="19">
        <f>IF($A17="","",IF($K17&lt;&gt;"","祝",IF(WEEKDAY($A17,2)=6,"土",IF(WEEKDAY($A17,2)=7,"日","平"))))</f>
        <v/>
      </c>
      <c r="N17" s="19">
        <f>IF(NOT(ISNUMBER($C17)),"",IF($C17&lt;1,$C17,(INT($C17/100)*60+MOD($C17,100))/1440))</f>
        <v/>
      </c>
      <c r="O17" s="19">
        <f>IF(NOT(ISNUMBER($D17)),"",IF($D17&lt;1,$D17,(INT($D17/100)*60+MOD($D17,100))/1440))</f>
        <v/>
      </c>
      <c r="P17" s="19">
        <f>IF(NOT(ISNUMBER($E17)),"",IF($E17&lt;1,$E17,(INT($E17/100)*60+MOD($E17,100))/1440))</f>
        <v/>
      </c>
      <c r="Q17" s="19">
        <f>IF(NOT(ISNUMBER($G17)),"",IF($G17&lt;1,$G17,(INT($G17/100)*60+MOD($G17,100))/1440))</f>
        <v/>
      </c>
      <c r="R17" s="19">
        <f>IF(NOT(ISNUMBER($H17)),"",IF($H17&lt;1,$H17,(INT($H17/100)*60+MOD($H17,100))/1440))</f>
        <v/>
      </c>
      <c r="S17" s="19">
        <f>IF(NOT(ISNUMBER($I17)),"",IF($I17&lt;1,$I17,(INT($I17/100)*60+MOD($I17,100))/1440))</f>
        <v/>
      </c>
      <c r="T17" s="19">
        <f>IF(NOT(ISNUMBER($J17)),"",IF($J17&lt;1,$J17,(INT($J17/100)*60+MOD($J17,100))/1440))</f>
        <v/>
      </c>
    </row>
    <row r="18" ht="19" customHeight="1">
      <c r="A18" s="13">
        <f>IF(A17="","",IF(MONTH(A17+1)=$D$4,A17+1,""))</f>
        <v/>
      </c>
      <c r="B18" s="14">
        <f>IF($A18="","",CHOOSE(WEEKDAY($A18,2),"月","火","水","木","金","土","日"))</f>
        <v/>
      </c>
      <c r="C18" s="15" t="n"/>
      <c r="D18" s="15" t="n"/>
      <c r="E18" s="15" t="n"/>
      <c r="F18" s="16">
        <f>IF(OR($N18="",$O18=""),"",MAX(0,MOD($O18-$N18,1)-IF($P18&lt;&gt;"",$P18,IF(MOD($O18-$N18,1)&gt;設定!$E$8,設定!$E$7,0))))</f>
        <v/>
      </c>
      <c r="G18" s="15" t="n"/>
      <c r="H18" s="15" t="n"/>
      <c r="I18" s="15" t="n"/>
      <c r="J18" s="15" t="n"/>
      <c r="K18" s="17">
        <f>IF($A18="","",IFERROR(VLOOKUP($A18,祝日リスト!$A$2:$C$40,3,0),""))</f>
        <v/>
      </c>
      <c r="L18" s="18" t="inlineStr">
        <is>
          <t>休</t>
        </is>
      </c>
      <c r="M18" s="19">
        <f>IF($A18="","",IF($K18&lt;&gt;"","祝",IF(WEEKDAY($A18,2)=6,"土",IF(WEEKDAY($A18,2)=7,"日","平"))))</f>
        <v/>
      </c>
      <c r="N18" s="19">
        <f>IF(NOT(ISNUMBER($C18)),"",IF($C18&lt;1,$C18,(INT($C18/100)*60+MOD($C18,100))/1440))</f>
        <v/>
      </c>
      <c r="O18" s="19">
        <f>IF(NOT(ISNUMBER($D18)),"",IF($D18&lt;1,$D18,(INT($D18/100)*60+MOD($D18,100))/1440))</f>
        <v/>
      </c>
      <c r="P18" s="19">
        <f>IF(NOT(ISNUMBER($E18)),"",IF($E18&lt;1,$E18,(INT($E18/100)*60+MOD($E18,100))/1440))</f>
        <v/>
      </c>
      <c r="Q18" s="19">
        <f>IF(NOT(ISNUMBER($G18)),"",IF($G18&lt;1,$G18,(INT($G18/100)*60+MOD($G18,100))/1440))</f>
        <v/>
      </c>
      <c r="R18" s="19">
        <f>IF(NOT(ISNUMBER($H18)),"",IF($H18&lt;1,$H18,(INT($H18/100)*60+MOD($H18,100))/1440))</f>
        <v/>
      </c>
      <c r="S18" s="19">
        <f>IF(NOT(ISNUMBER($I18)),"",IF($I18&lt;1,$I18,(INT($I18/100)*60+MOD($I18,100))/1440))</f>
        <v/>
      </c>
      <c r="T18" s="19">
        <f>IF(NOT(ISNUMBER($J18)),"",IF($J18&lt;1,$J18,(INT($J18/100)*60+MOD($J18,100))/1440))</f>
        <v/>
      </c>
    </row>
    <row r="19" ht="19" customHeight="1">
      <c r="A19" s="13">
        <f>IF(A18="","",IF(MONTH(A18+1)=$D$4,A18+1,""))</f>
        <v/>
      </c>
      <c r="B19" s="14">
        <f>IF($A19="","",CHOOSE(WEEKDAY($A19,2),"月","火","水","木","金","土","日"))</f>
        <v/>
      </c>
      <c r="C19" s="15" t="n"/>
      <c r="D19" s="15" t="n"/>
      <c r="E19" s="15" t="n"/>
      <c r="F19" s="16">
        <f>IF(OR($N19="",$O19=""),"",MAX(0,MOD($O19-$N19,1)-IF($P19&lt;&gt;"",$P19,IF(MOD($O19-$N19,1)&gt;設定!$E$8,設定!$E$7,0))))</f>
        <v/>
      </c>
      <c r="G19" s="15" t="n"/>
      <c r="H19" s="15" t="n"/>
      <c r="I19" s="15" t="n"/>
      <c r="J19" s="15" t="n"/>
      <c r="K19" s="17">
        <f>IF($A19="","",IFERROR(VLOOKUP($A19,祝日リスト!$A$2:$C$40,3,0),""))</f>
        <v/>
      </c>
      <c r="L19" s="18" t="inlineStr">
        <is>
          <t>休</t>
        </is>
      </c>
      <c r="M19" s="19">
        <f>IF($A19="","",IF($K19&lt;&gt;"","祝",IF(WEEKDAY($A19,2)=6,"土",IF(WEEKDAY($A19,2)=7,"日","平"))))</f>
        <v/>
      </c>
      <c r="N19" s="19">
        <f>IF(NOT(ISNUMBER($C19)),"",IF($C19&lt;1,$C19,(INT($C19/100)*60+MOD($C19,100))/1440))</f>
        <v/>
      </c>
      <c r="O19" s="19">
        <f>IF(NOT(ISNUMBER($D19)),"",IF($D19&lt;1,$D19,(INT($D19/100)*60+MOD($D19,100))/1440))</f>
        <v/>
      </c>
      <c r="P19" s="19">
        <f>IF(NOT(ISNUMBER($E19)),"",IF($E19&lt;1,$E19,(INT($E19/100)*60+MOD($E19,100))/1440))</f>
        <v/>
      </c>
      <c r="Q19" s="19">
        <f>IF(NOT(ISNUMBER($G19)),"",IF($G19&lt;1,$G19,(INT($G19/100)*60+MOD($G19,100))/1440))</f>
        <v/>
      </c>
      <c r="R19" s="19">
        <f>IF(NOT(ISNUMBER($H19)),"",IF($H19&lt;1,$H19,(INT($H19/100)*60+MOD($H19,100))/1440))</f>
        <v/>
      </c>
      <c r="S19" s="19">
        <f>IF(NOT(ISNUMBER($I19)),"",IF($I19&lt;1,$I19,(INT($I19/100)*60+MOD($I19,100))/1440))</f>
        <v/>
      </c>
      <c r="T19" s="19">
        <f>IF(NOT(ISNUMBER($J19)),"",IF($J19&lt;1,$J19,(INT($J19/100)*60+MOD($J19,100))/1440))</f>
        <v/>
      </c>
    </row>
    <row r="20" ht="19" customHeight="1">
      <c r="A20" s="13">
        <f>IF(A19="","",IF(MONTH(A19+1)=$D$4,A19+1,""))</f>
        <v/>
      </c>
      <c r="B20" s="14">
        <f>IF($A20="","",CHOOSE(WEEKDAY($A20,2),"月","火","水","木","金","土","日"))</f>
        <v/>
      </c>
      <c r="C20" s="15" t="n">
        <v>900</v>
      </c>
      <c r="D20" s="15" t="n">
        <v>1500</v>
      </c>
      <c r="E20" s="15" t="n"/>
      <c r="F20" s="16">
        <f>IF(OR($N20="",$O20=""),"",MAX(0,MOD($O20-$N20,1)-IF($P20&lt;&gt;"",$P20,IF(MOD($O20-$N20,1)&gt;設定!$E$8,設定!$E$7,0))))</f>
        <v/>
      </c>
      <c r="G20" s="15" t="n"/>
      <c r="H20" s="15" t="n"/>
      <c r="I20" s="15" t="n"/>
      <c r="J20" s="15" t="n"/>
      <c r="K20" s="17">
        <f>IF($A20="","",IFERROR(VLOOKUP($A20,祝日リスト!$A$2:$C$40,3,0),""))</f>
        <v/>
      </c>
      <c r="L20" s="18" t="n"/>
      <c r="M20" s="19">
        <f>IF($A20="","",IF($K20&lt;&gt;"","祝",IF(WEEKDAY($A20,2)=6,"土",IF(WEEKDAY($A20,2)=7,"日","平"))))</f>
        <v/>
      </c>
      <c r="N20" s="19">
        <f>IF(NOT(ISNUMBER($C20)),"",IF($C20&lt;1,$C20,(INT($C20/100)*60+MOD($C20,100))/1440))</f>
        <v/>
      </c>
      <c r="O20" s="19">
        <f>IF(NOT(ISNUMBER($D20)),"",IF($D20&lt;1,$D20,(INT($D20/100)*60+MOD($D20,100))/1440))</f>
        <v/>
      </c>
      <c r="P20" s="19">
        <f>IF(NOT(ISNUMBER($E20)),"",IF($E20&lt;1,$E20,(INT($E20/100)*60+MOD($E20,100))/1440))</f>
        <v/>
      </c>
      <c r="Q20" s="19">
        <f>IF(NOT(ISNUMBER($G20)),"",IF($G20&lt;1,$G20,(INT($G20/100)*60+MOD($G20,100))/1440))</f>
        <v/>
      </c>
      <c r="R20" s="19">
        <f>IF(NOT(ISNUMBER($H20)),"",IF($H20&lt;1,$H20,(INT($H20/100)*60+MOD($H20,100))/1440))</f>
        <v/>
      </c>
      <c r="S20" s="19">
        <f>IF(NOT(ISNUMBER($I20)),"",IF($I20&lt;1,$I20,(INT($I20/100)*60+MOD($I20,100))/1440))</f>
        <v/>
      </c>
      <c r="T20" s="19">
        <f>IF(NOT(ISNUMBER($J20)),"",IF($J20&lt;1,$J20,(INT($J20/100)*60+MOD($J20,100))/1440))</f>
        <v/>
      </c>
    </row>
    <row r="21" ht="19" customHeight="1">
      <c r="A21" s="13">
        <f>IF(A20="","",IF(MONTH(A20+1)=$D$4,A20+1,""))</f>
        <v/>
      </c>
      <c r="B21" s="14">
        <f>IF($A21="","",CHOOSE(WEEKDAY($A21,2),"月","火","水","木","金","土","日"))</f>
        <v/>
      </c>
      <c r="C21" s="15" t="n">
        <v>900</v>
      </c>
      <c r="D21" s="15" t="n">
        <v>1500</v>
      </c>
      <c r="E21" s="15" t="n"/>
      <c r="F21" s="16">
        <f>IF(OR($N21="",$O21=""),"",MAX(0,MOD($O21-$N21,1)-IF($P21&lt;&gt;"",$P21,IF(MOD($O21-$N21,1)&gt;設定!$E$8,設定!$E$7,0))))</f>
        <v/>
      </c>
      <c r="G21" s="15" t="n"/>
      <c r="H21" s="15" t="n"/>
      <c r="I21" s="15" t="n"/>
      <c r="J21" s="15" t="n"/>
      <c r="K21" s="17">
        <f>IF($A21="","",IFERROR(VLOOKUP($A21,祝日リスト!$A$2:$C$40,3,0),""))</f>
        <v/>
      </c>
      <c r="L21" s="18" t="n"/>
      <c r="M21" s="19">
        <f>IF($A21="","",IF($K21&lt;&gt;"","祝",IF(WEEKDAY($A21,2)=6,"土",IF(WEEKDAY($A21,2)=7,"日","平"))))</f>
        <v/>
      </c>
      <c r="N21" s="19">
        <f>IF(NOT(ISNUMBER($C21)),"",IF($C21&lt;1,$C21,(INT($C21/100)*60+MOD($C21,100))/1440))</f>
        <v/>
      </c>
      <c r="O21" s="19">
        <f>IF(NOT(ISNUMBER($D21)),"",IF($D21&lt;1,$D21,(INT($D21/100)*60+MOD($D21,100))/1440))</f>
        <v/>
      </c>
      <c r="P21" s="19">
        <f>IF(NOT(ISNUMBER($E21)),"",IF($E21&lt;1,$E21,(INT($E21/100)*60+MOD($E21,100))/1440))</f>
        <v/>
      </c>
      <c r="Q21" s="19">
        <f>IF(NOT(ISNUMBER($G21)),"",IF($G21&lt;1,$G21,(INT($G21/100)*60+MOD($G21,100))/1440))</f>
        <v/>
      </c>
      <c r="R21" s="19">
        <f>IF(NOT(ISNUMBER($H21)),"",IF($H21&lt;1,$H21,(INT($H21/100)*60+MOD($H21,100))/1440))</f>
        <v/>
      </c>
      <c r="S21" s="19">
        <f>IF(NOT(ISNUMBER($I21)),"",IF($I21&lt;1,$I21,(INT($I21/100)*60+MOD($I21,100))/1440))</f>
        <v/>
      </c>
      <c r="T21" s="19">
        <f>IF(NOT(ISNUMBER($J21)),"",IF($J21&lt;1,$J21,(INT($J21/100)*60+MOD($J21,100))/1440))</f>
        <v/>
      </c>
    </row>
    <row r="22" ht="19" customHeight="1">
      <c r="A22" s="13">
        <f>IF(A21="","",IF(MONTH(A21+1)=$D$4,A21+1,""))</f>
        <v/>
      </c>
      <c r="B22" s="14">
        <f>IF($A22="","",CHOOSE(WEEKDAY($A22,2),"月","火","水","木","金","土","日"))</f>
        <v/>
      </c>
      <c r="C22" s="15" t="n"/>
      <c r="D22" s="15" t="n"/>
      <c r="E22" s="15" t="n"/>
      <c r="F22" s="16">
        <f>IF(OR($N22="",$O22=""),"",MAX(0,MOD($O22-$N22,1)-IF($P22&lt;&gt;"",$P22,IF(MOD($O22-$N22,1)&gt;設定!$E$8,設定!$E$7,0))))</f>
        <v/>
      </c>
      <c r="G22" s="15" t="n"/>
      <c r="H22" s="15" t="n"/>
      <c r="I22" s="15" t="n"/>
      <c r="J22" s="15" t="n"/>
      <c r="K22" s="17">
        <f>IF($A22="","",IFERROR(VLOOKUP($A22,祝日リスト!$A$2:$C$40,3,0),""))</f>
        <v/>
      </c>
      <c r="L22" s="18" t="inlineStr">
        <is>
          <t>休</t>
        </is>
      </c>
      <c r="M22" s="19">
        <f>IF($A22="","",IF($K22&lt;&gt;"","祝",IF(WEEKDAY($A22,2)=6,"土",IF(WEEKDAY($A22,2)=7,"日","平"))))</f>
        <v/>
      </c>
      <c r="N22" s="19">
        <f>IF(NOT(ISNUMBER($C22)),"",IF($C22&lt;1,$C22,(INT($C22/100)*60+MOD($C22,100))/1440))</f>
        <v/>
      </c>
      <c r="O22" s="19">
        <f>IF(NOT(ISNUMBER($D22)),"",IF($D22&lt;1,$D22,(INT($D22/100)*60+MOD($D22,100))/1440))</f>
        <v/>
      </c>
      <c r="P22" s="19">
        <f>IF(NOT(ISNUMBER($E22)),"",IF($E22&lt;1,$E22,(INT($E22/100)*60+MOD($E22,100))/1440))</f>
        <v/>
      </c>
      <c r="Q22" s="19">
        <f>IF(NOT(ISNUMBER($G22)),"",IF($G22&lt;1,$G22,(INT($G22/100)*60+MOD($G22,100))/1440))</f>
        <v/>
      </c>
      <c r="R22" s="19">
        <f>IF(NOT(ISNUMBER($H22)),"",IF($H22&lt;1,$H22,(INT($H22/100)*60+MOD($H22,100))/1440))</f>
        <v/>
      </c>
      <c r="S22" s="19">
        <f>IF(NOT(ISNUMBER($I22)),"",IF($I22&lt;1,$I22,(INT($I22/100)*60+MOD($I22,100))/1440))</f>
        <v/>
      </c>
      <c r="T22" s="19">
        <f>IF(NOT(ISNUMBER($J22)),"",IF($J22&lt;1,$J22,(INT($J22/100)*60+MOD($J22,100))/1440))</f>
        <v/>
      </c>
    </row>
    <row r="23" ht="19" customHeight="1">
      <c r="A23" s="13">
        <f>IF(A22="","",IF(MONTH(A22+1)=$D$4,A22+1,""))</f>
        <v/>
      </c>
      <c r="B23" s="14">
        <f>IF($A23="","",CHOOSE(WEEKDAY($A23,2),"月","火","水","木","金","土","日"))</f>
        <v/>
      </c>
      <c r="C23" s="15" t="n">
        <v>900</v>
      </c>
      <c r="D23" s="15" t="n">
        <v>1500</v>
      </c>
      <c r="E23" s="15" t="n"/>
      <c r="F23" s="16">
        <f>IF(OR($N23="",$O23=""),"",MAX(0,MOD($O23-$N23,1)-IF($P23&lt;&gt;"",$P23,IF(MOD($O23-$N23,1)&gt;設定!$E$8,設定!$E$7,0))))</f>
        <v/>
      </c>
      <c r="G23" s="15" t="n"/>
      <c r="H23" s="15" t="n"/>
      <c r="I23" s="15" t="n"/>
      <c r="J23" s="15" t="n"/>
      <c r="K23" s="17">
        <f>IF($A23="","",IFERROR(VLOOKUP($A23,祝日リスト!$A$2:$C$40,3,0),""))</f>
        <v/>
      </c>
      <c r="L23" s="18" t="n"/>
      <c r="M23" s="19">
        <f>IF($A23="","",IF($K23&lt;&gt;"","祝",IF(WEEKDAY($A23,2)=6,"土",IF(WEEKDAY($A23,2)=7,"日","平"))))</f>
        <v/>
      </c>
      <c r="N23" s="19">
        <f>IF(NOT(ISNUMBER($C23)),"",IF($C23&lt;1,$C23,(INT($C23/100)*60+MOD($C23,100))/1440))</f>
        <v/>
      </c>
      <c r="O23" s="19">
        <f>IF(NOT(ISNUMBER($D23)),"",IF($D23&lt;1,$D23,(INT($D23/100)*60+MOD($D23,100))/1440))</f>
        <v/>
      </c>
      <c r="P23" s="19">
        <f>IF(NOT(ISNUMBER($E23)),"",IF($E23&lt;1,$E23,(INT($E23/100)*60+MOD($E23,100))/1440))</f>
        <v/>
      </c>
      <c r="Q23" s="19">
        <f>IF(NOT(ISNUMBER($G23)),"",IF($G23&lt;1,$G23,(INT($G23/100)*60+MOD($G23,100))/1440))</f>
        <v/>
      </c>
      <c r="R23" s="19">
        <f>IF(NOT(ISNUMBER($H23)),"",IF($H23&lt;1,$H23,(INT($H23/100)*60+MOD($H23,100))/1440))</f>
        <v/>
      </c>
      <c r="S23" s="19">
        <f>IF(NOT(ISNUMBER($I23)),"",IF($I23&lt;1,$I23,(INT($I23/100)*60+MOD($I23,100))/1440))</f>
        <v/>
      </c>
      <c r="T23" s="19">
        <f>IF(NOT(ISNUMBER($J23)),"",IF($J23&lt;1,$J23,(INT($J23/100)*60+MOD($J23,100))/1440))</f>
        <v/>
      </c>
    </row>
    <row r="24" ht="19" customHeight="1">
      <c r="A24" s="13">
        <f>IF(A23="","",IF(MONTH(A23+1)=$D$4,A23+1,""))</f>
        <v/>
      </c>
      <c r="B24" s="14">
        <f>IF($A24="","",CHOOSE(WEEKDAY($A24,2),"月","火","水","木","金","土","日"))</f>
        <v/>
      </c>
      <c r="C24" s="15" t="n">
        <v>900</v>
      </c>
      <c r="D24" s="15" t="n">
        <v>1500</v>
      </c>
      <c r="E24" s="15" t="n"/>
      <c r="F24" s="16">
        <f>IF(OR($N24="",$O24=""),"",MAX(0,MOD($O24-$N24,1)-IF($P24&lt;&gt;"",$P24,IF(MOD($O24-$N24,1)&gt;設定!$E$8,設定!$E$7,0))))</f>
        <v/>
      </c>
      <c r="G24" s="15" t="n"/>
      <c r="H24" s="15" t="n"/>
      <c r="I24" s="15" t="n"/>
      <c r="J24" s="15" t="n"/>
      <c r="K24" s="17">
        <f>IF($A24="","",IFERROR(VLOOKUP($A24,祝日リスト!$A$2:$C$40,3,0),""))</f>
        <v/>
      </c>
      <c r="L24" s="18" t="n"/>
      <c r="M24" s="19">
        <f>IF($A24="","",IF($K24&lt;&gt;"","祝",IF(WEEKDAY($A24,2)=6,"土",IF(WEEKDAY($A24,2)=7,"日","平"))))</f>
        <v/>
      </c>
      <c r="N24" s="19">
        <f>IF(NOT(ISNUMBER($C24)),"",IF($C24&lt;1,$C24,(INT($C24/100)*60+MOD($C24,100))/1440))</f>
        <v/>
      </c>
      <c r="O24" s="19">
        <f>IF(NOT(ISNUMBER($D24)),"",IF($D24&lt;1,$D24,(INT($D24/100)*60+MOD($D24,100))/1440))</f>
        <v/>
      </c>
      <c r="P24" s="19">
        <f>IF(NOT(ISNUMBER($E24)),"",IF($E24&lt;1,$E24,(INT($E24/100)*60+MOD($E24,100))/1440))</f>
        <v/>
      </c>
      <c r="Q24" s="19">
        <f>IF(NOT(ISNUMBER($G24)),"",IF($G24&lt;1,$G24,(INT($G24/100)*60+MOD($G24,100))/1440))</f>
        <v/>
      </c>
      <c r="R24" s="19">
        <f>IF(NOT(ISNUMBER($H24)),"",IF($H24&lt;1,$H24,(INT($H24/100)*60+MOD($H24,100))/1440))</f>
        <v/>
      </c>
      <c r="S24" s="19">
        <f>IF(NOT(ISNUMBER($I24)),"",IF($I24&lt;1,$I24,(INT($I24/100)*60+MOD($I24,100))/1440))</f>
        <v/>
      </c>
      <c r="T24" s="19">
        <f>IF(NOT(ISNUMBER($J24)),"",IF($J24&lt;1,$J24,(INT($J24/100)*60+MOD($J24,100))/1440))</f>
        <v/>
      </c>
    </row>
    <row r="25" ht="19" customHeight="1">
      <c r="A25" s="13">
        <f>IF(A24="","",IF(MONTH(A24+1)=$D$4,A24+1,""))</f>
        <v/>
      </c>
      <c r="B25" s="14">
        <f>IF($A25="","",CHOOSE(WEEKDAY($A25,2),"月","火","水","木","金","土","日"))</f>
        <v/>
      </c>
      <c r="C25" s="15" t="n"/>
      <c r="D25" s="15" t="n"/>
      <c r="E25" s="15" t="n"/>
      <c r="F25" s="16">
        <f>IF(OR($N25="",$O25=""),"",MAX(0,MOD($O25-$N25,1)-IF($P25&lt;&gt;"",$P25,IF(MOD($O25-$N25,1)&gt;設定!$E$8,設定!$E$7,0))))</f>
        <v/>
      </c>
      <c r="G25" s="15" t="n"/>
      <c r="H25" s="15" t="n"/>
      <c r="I25" s="15" t="n"/>
      <c r="J25" s="15" t="n"/>
      <c r="K25" s="17">
        <f>IF($A25="","",IFERROR(VLOOKUP($A25,祝日リスト!$A$2:$C$40,3,0),""))</f>
        <v/>
      </c>
      <c r="L25" s="18" t="inlineStr">
        <is>
          <t>休</t>
        </is>
      </c>
      <c r="M25" s="19">
        <f>IF($A25="","",IF($K25&lt;&gt;"","祝",IF(WEEKDAY($A25,2)=6,"土",IF(WEEKDAY($A25,2)=7,"日","平"))))</f>
        <v/>
      </c>
      <c r="N25" s="19">
        <f>IF(NOT(ISNUMBER($C25)),"",IF($C25&lt;1,$C25,(INT($C25/100)*60+MOD($C25,100))/1440))</f>
        <v/>
      </c>
      <c r="O25" s="19">
        <f>IF(NOT(ISNUMBER($D25)),"",IF($D25&lt;1,$D25,(INT($D25/100)*60+MOD($D25,100))/1440))</f>
        <v/>
      </c>
      <c r="P25" s="19">
        <f>IF(NOT(ISNUMBER($E25)),"",IF($E25&lt;1,$E25,(INT($E25/100)*60+MOD($E25,100))/1440))</f>
        <v/>
      </c>
      <c r="Q25" s="19">
        <f>IF(NOT(ISNUMBER($G25)),"",IF($G25&lt;1,$G25,(INT($G25/100)*60+MOD($G25,100))/1440))</f>
        <v/>
      </c>
      <c r="R25" s="19">
        <f>IF(NOT(ISNUMBER($H25)),"",IF($H25&lt;1,$H25,(INT($H25/100)*60+MOD($H25,100))/1440))</f>
        <v/>
      </c>
      <c r="S25" s="19">
        <f>IF(NOT(ISNUMBER($I25)),"",IF($I25&lt;1,$I25,(INT($I25/100)*60+MOD($I25,100))/1440))</f>
        <v/>
      </c>
      <c r="T25" s="19">
        <f>IF(NOT(ISNUMBER($J25)),"",IF($J25&lt;1,$J25,(INT($J25/100)*60+MOD($J25,100))/1440))</f>
        <v/>
      </c>
    </row>
    <row r="26" ht="19" customHeight="1">
      <c r="A26" s="13">
        <f>IF(A25="","",IF(MONTH(A25+1)=$D$4,A25+1,""))</f>
        <v/>
      </c>
      <c r="B26" s="14">
        <f>IF($A26="","",CHOOSE(WEEKDAY($A26,2),"月","火","水","木","金","土","日"))</f>
        <v/>
      </c>
      <c r="C26" s="15" t="n"/>
      <c r="D26" s="15" t="n"/>
      <c r="E26" s="15" t="n"/>
      <c r="F26" s="16">
        <f>IF(OR($N26="",$O26=""),"",MAX(0,MOD($O26-$N26,1)-IF($P26&lt;&gt;"",$P26,IF(MOD($O26-$N26,1)&gt;設定!$E$8,設定!$E$7,0))))</f>
        <v/>
      </c>
      <c r="G26" s="15" t="n"/>
      <c r="H26" s="15" t="n"/>
      <c r="I26" s="15" t="n"/>
      <c r="J26" s="15" t="n"/>
      <c r="K26" s="17">
        <f>IF($A26="","",IFERROR(VLOOKUP($A26,祝日リスト!$A$2:$C$40,3,0),""))</f>
        <v/>
      </c>
      <c r="L26" s="18" t="inlineStr">
        <is>
          <t>休</t>
        </is>
      </c>
      <c r="M26" s="19">
        <f>IF($A26="","",IF($K26&lt;&gt;"","祝",IF(WEEKDAY($A26,2)=6,"土",IF(WEEKDAY($A26,2)=7,"日","平"))))</f>
        <v/>
      </c>
      <c r="N26" s="19">
        <f>IF(NOT(ISNUMBER($C26)),"",IF($C26&lt;1,$C26,(INT($C26/100)*60+MOD($C26,100))/1440))</f>
        <v/>
      </c>
      <c r="O26" s="19">
        <f>IF(NOT(ISNUMBER($D26)),"",IF($D26&lt;1,$D26,(INT($D26/100)*60+MOD($D26,100))/1440))</f>
        <v/>
      </c>
      <c r="P26" s="19">
        <f>IF(NOT(ISNUMBER($E26)),"",IF($E26&lt;1,$E26,(INT($E26/100)*60+MOD($E26,100))/1440))</f>
        <v/>
      </c>
      <c r="Q26" s="19">
        <f>IF(NOT(ISNUMBER($G26)),"",IF($G26&lt;1,$G26,(INT($G26/100)*60+MOD($G26,100))/1440))</f>
        <v/>
      </c>
      <c r="R26" s="19">
        <f>IF(NOT(ISNUMBER($H26)),"",IF($H26&lt;1,$H26,(INT($H26/100)*60+MOD($H26,100))/1440))</f>
        <v/>
      </c>
      <c r="S26" s="19">
        <f>IF(NOT(ISNUMBER($I26)),"",IF($I26&lt;1,$I26,(INT($I26/100)*60+MOD($I26,100))/1440))</f>
        <v/>
      </c>
      <c r="T26" s="19">
        <f>IF(NOT(ISNUMBER($J26)),"",IF($J26&lt;1,$J26,(INT($J26/100)*60+MOD($J26,100))/1440))</f>
        <v/>
      </c>
    </row>
    <row r="27" ht="19" customHeight="1">
      <c r="A27" s="13">
        <f>IF(A26="","",IF(MONTH(A26+1)=$D$4,A26+1,""))</f>
        <v/>
      </c>
      <c r="B27" s="14">
        <f>IF($A27="","",CHOOSE(WEEKDAY($A27,2),"月","火","水","木","金","土","日"))</f>
        <v/>
      </c>
      <c r="C27" s="15" t="n"/>
      <c r="D27" s="15" t="n"/>
      <c r="E27" s="15" t="n"/>
      <c r="F27" s="16">
        <f>IF(OR($N27="",$O27=""),"",MAX(0,MOD($O27-$N27,1)-IF($P27&lt;&gt;"",$P27,IF(MOD($O27-$N27,1)&gt;設定!$E$8,設定!$E$7,0))))</f>
        <v/>
      </c>
      <c r="G27" s="15" t="n"/>
      <c r="H27" s="15" t="n"/>
      <c r="I27" s="15" t="n"/>
      <c r="J27" s="15" t="n"/>
      <c r="K27" s="17">
        <f>IF($A27="","",IFERROR(VLOOKUP($A27,祝日リスト!$A$2:$C$40,3,0),""))</f>
        <v/>
      </c>
      <c r="L27" s="18" t="inlineStr">
        <is>
          <t>休</t>
        </is>
      </c>
      <c r="M27" s="19">
        <f>IF($A27="","",IF($K27&lt;&gt;"","祝",IF(WEEKDAY($A27,2)=6,"土",IF(WEEKDAY($A27,2)=7,"日","平"))))</f>
        <v/>
      </c>
      <c r="N27" s="19">
        <f>IF(NOT(ISNUMBER($C27)),"",IF($C27&lt;1,$C27,(INT($C27/100)*60+MOD($C27,100))/1440))</f>
        <v/>
      </c>
      <c r="O27" s="19">
        <f>IF(NOT(ISNUMBER($D27)),"",IF($D27&lt;1,$D27,(INT($D27/100)*60+MOD($D27,100))/1440))</f>
        <v/>
      </c>
      <c r="P27" s="19">
        <f>IF(NOT(ISNUMBER($E27)),"",IF($E27&lt;1,$E27,(INT($E27/100)*60+MOD($E27,100))/1440))</f>
        <v/>
      </c>
      <c r="Q27" s="19">
        <f>IF(NOT(ISNUMBER($G27)),"",IF($G27&lt;1,$G27,(INT($G27/100)*60+MOD($G27,100))/1440))</f>
        <v/>
      </c>
      <c r="R27" s="19">
        <f>IF(NOT(ISNUMBER($H27)),"",IF($H27&lt;1,$H27,(INT($H27/100)*60+MOD($H27,100))/1440))</f>
        <v/>
      </c>
      <c r="S27" s="19">
        <f>IF(NOT(ISNUMBER($I27)),"",IF($I27&lt;1,$I27,(INT($I27/100)*60+MOD($I27,100))/1440))</f>
        <v/>
      </c>
      <c r="T27" s="19">
        <f>IF(NOT(ISNUMBER($J27)),"",IF($J27&lt;1,$J27,(INT($J27/100)*60+MOD($J27,100))/1440))</f>
        <v/>
      </c>
    </row>
    <row r="28" ht="19" customHeight="1">
      <c r="A28" s="13">
        <f>IF(A27="","",IF(MONTH(A27+1)=$D$4,A27+1,""))</f>
        <v/>
      </c>
      <c r="B28" s="14">
        <f>IF($A28="","",CHOOSE(WEEKDAY($A28,2),"月","火","水","木","金","土","日"))</f>
        <v/>
      </c>
      <c r="C28" s="15" t="n">
        <v>900</v>
      </c>
      <c r="D28" s="15" t="n">
        <v>1500</v>
      </c>
      <c r="E28" s="15" t="n"/>
      <c r="F28" s="16">
        <f>IF(OR($N28="",$O28=""),"",MAX(0,MOD($O28-$N28,1)-IF($P28&lt;&gt;"",$P28,IF(MOD($O28-$N28,1)&gt;設定!$E$8,設定!$E$7,0))))</f>
        <v/>
      </c>
      <c r="G28" s="15" t="n"/>
      <c r="H28" s="15" t="n"/>
      <c r="I28" s="15" t="n"/>
      <c r="J28" s="15" t="n"/>
      <c r="K28" s="17">
        <f>IF($A28="","",IFERROR(VLOOKUP($A28,祝日リスト!$A$2:$C$40,3,0),""))</f>
        <v/>
      </c>
      <c r="L28" s="18" t="n"/>
      <c r="M28" s="19">
        <f>IF($A28="","",IF($K28&lt;&gt;"","祝",IF(WEEKDAY($A28,2)=6,"土",IF(WEEKDAY($A28,2)=7,"日","平"))))</f>
        <v/>
      </c>
      <c r="N28" s="19">
        <f>IF(NOT(ISNUMBER($C28)),"",IF($C28&lt;1,$C28,(INT($C28/100)*60+MOD($C28,100))/1440))</f>
        <v/>
      </c>
      <c r="O28" s="19">
        <f>IF(NOT(ISNUMBER($D28)),"",IF($D28&lt;1,$D28,(INT($D28/100)*60+MOD($D28,100))/1440))</f>
        <v/>
      </c>
      <c r="P28" s="19">
        <f>IF(NOT(ISNUMBER($E28)),"",IF($E28&lt;1,$E28,(INT($E28/100)*60+MOD($E28,100))/1440))</f>
        <v/>
      </c>
      <c r="Q28" s="19">
        <f>IF(NOT(ISNUMBER($G28)),"",IF($G28&lt;1,$G28,(INT($G28/100)*60+MOD($G28,100))/1440))</f>
        <v/>
      </c>
      <c r="R28" s="19">
        <f>IF(NOT(ISNUMBER($H28)),"",IF($H28&lt;1,$H28,(INT($H28/100)*60+MOD($H28,100))/1440))</f>
        <v/>
      </c>
      <c r="S28" s="19">
        <f>IF(NOT(ISNUMBER($I28)),"",IF($I28&lt;1,$I28,(INT($I28/100)*60+MOD($I28,100))/1440))</f>
        <v/>
      </c>
      <c r="T28" s="19">
        <f>IF(NOT(ISNUMBER($J28)),"",IF($J28&lt;1,$J28,(INT($J28/100)*60+MOD($J28,100))/1440))</f>
        <v/>
      </c>
    </row>
    <row r="29" ht="19" customHeight="1">
      <c r="A29" s="13">
        <f>IF(A28="","",IF(MONTH(A28+1)=$D$4,A28+1,""))</f>
        <v/>
      </c>
      <c r="B29" s="14">
        <f>IF($A29="","",CHOOSE(WEEKDAY($A29,2),"月","火","水","木","金","土","日"))</f>
        <v/>
      </c>
      <c r="C29" s="15" t="n"/>
      <c r="D29" s="15" t="n"/>
      <c r="E29" s="15" t="n"/>
      <c r="F29" s="16">
        <f>IF(OR($N29="",$O29=""),"",MAX(0,MOD($O29-$N29,1)-IF($P29&lt;&gt;"",$P29,IF(MOD($O29-$N29,1)&gt;設定!$E$8,設定!$E$7,0))))</f>
        <v/>
      </c>
      <c r="G29" s="15" t="n"/>
      <c r="H29" s="15" t="n"/>
      <c r="I29" s="15" t="n"/>
      <c r="J29" s="15" t="n"/>
      <c r="K29" s="17">
        <f>IF($A29="","",IFERROR(VLOOKUP($A29,祝日リスト!$A$2:$C$40,3,0),""))</f>
        <v/>
      </c>
      <c r="L29" s="18" t="inlineStr">
        <is>
          <t>休</t>
        </is>
      </c>
      <c r="M29" s="19">
        <f>IF($A29="","",IF($K29&lt;&gt;"","祝",IF(WEEKDAY($A29,2)=6,"土",IF(WEEKDAY($A29,2)=7,"日","平"))))</f>
        <v/>
      </c>
      <c r="N29" s="19">
        <f>IF(NOT(ISNUMBER($C29)),"",IF($C29&lt;1,$C29,(INT($C29/100)*60+MOD($C29,100))/1440))</f>
        <v/>
      </c>
      <c r="O29" s="19">
        <f>IF(NOT(ISNUMBER($D29)),"",IF($D29&lt;1,$D29,(INT($D29/100)*60+MOD($D29,100))/1440))</f>
        <v/>
      </c>
      <c r="P29" s="19">
        <f>IF(NOT(ISNUMBER($E29)),"",IF($E29&lt;1,$E29,(INT($E29/100)*60+MOD($E29,100))/1440))</f>
        <v/>
      </c>
      <c r="Q29" s="19">
        <f>IF(NOT(ISNUMBER($G29)),"",IF($G29&lt;1,$G29,(INT($G29/100)*60+MOD($G29,100))/1440))</f>
        <v/>
      </c>
      <c r="R29" s="19">
        <f>IF(NOT(ISNUMBER($H29)),"",IF($H29&lt;1,$H29,(INT($H29/100)*60+MOD($H29,100))/1440))</f>
        <v/>
      </c>
      <c r="S29" s="19">
        <f>IF(NOT(ISNUMBER($I29)),"",IF($I29&lt;1,$I29,(INT($I29/100)*60+MOD($I29,100))/1440))</f>
        <v/>
      </c>
      <c r="T29" s="19">
        <f>IF(NOT(ISNUMBER($J29)),"",IF($J29&lt;1,$J29,(INT($J29/100)*60+MOD($J29,100))/1440))</f>
        <v/>
      </c>
    </row>
    <row r="30" ht="19" customHeight="1">
      <c r="A30" s="13">
        <f>IF(A29="","",IF(MONTH(A29+1)=$D$4,A29+1,""))</f>
        <v/>
      </c>
      <c r="B30" s="14">
        <f>IF($A30="","",CHOOSE(WEEKDAY($A30,2),"月","火","水","木","金","土","日"))</f>
        <v/>
      </c>
      <c r="C30" s="15" t="n">
        <v>900</v>
      </c>
      <c r="D30" s="15" t="n">
        <v>1500</v>
      </c>
      <c r="E30" s="15" t="n"/>
      <c r="F30" s="16">
        <f>IF(OR($N30="",$O30=""),"",MAX(0,MOD($O30-$N30,1)-IF($P30&lt;&gt;"",$P30,IF(MOD($O30-$N30,1)&gt;設定!$E$8,設定!$E$7,0))))</f>
        <v/>
      </c>
      <c r="G30" s="15" t="n"/>
      <c r="H30" s="15" t="n"/>
      <c r="I30" s="15" t="n"/>
      <c r="J30" s="15" t="n"/>
      <c r="K30" s="17">
        <f>IF($A30="","",IFERROR(VLOOKUP($A30,祝日リスト!$A$2:$C$40,3,0),""))</f>
        <v/>
      </c>
      <c r="L30" s="18" t="n"/>
      <c r="M30" s="19">
        <f>IF($A30="","",IF($K30&lt;&gt;"","祝",IF(WEEKDAY($A30,2)=6,"土",IF(WEEKDAY($A30,2)=7,"日","平"))))</f>
        <v/>
      </c>
      <c r="N30" s="19">
        <f>IF(NOT(ISNUMBER($C30)),"",IF($C30&lt;1,$C30,(INT($C30/100)*60+MOD($C30,100))/1440))</f>
        <v/>
      </c>
      <c r="O30" s="19">
        <f>IF(NOT(ISNUMBER($D30)),"",IF($D30&lt;1,$D30,(INT($D30/100)*60+MOD($D30,100))/1440))</f>
        <v/>
      </c>
      <c r="P30" s="19">
        <f>IF(NOT(ISNUMBER($E30)),"",IF($E30&lt;1,$E30,(INT($E30/100)*60+MOD($E30,100))/1440))</f>
        <v/>
      </c>
      <c r="Q30" s="19">
        <f>IF(NOT(ISNUMBER($G30)),"",IF($G30&lt;1,$G30,(INT($G30/100)*60+MOD($G30,100))/1440))</f>
        <v/>
      </c>
      <c r="R30" s="19">
        <f>IF(NOT(ISNUMBER($H30)),"",IF($H30&lt;1,$H30,(INT($H30/100)*60+MOD($H30,100))/1440))</f>
        <v/>
      </c>
      <c r="S30" s="19">
        <f>IF(NOT(ISNUMBER($I30)),"",IF($I30&lt;1,$I30,(INT($I30/100)*60+MOD($I30,100))/1440))</f>
        <v/>
      </c>
      <c r="T30" s="19">
        <f>IF(NOT(ISNUMBER($J30)),"",IF($J30&lt;1,$J30,(INT($J30/100)*60+MOD($J30,100))/1440))</f>
        <v/>
      </c>
    </row>
    <row r="31" ht="19" customHeight="1">
      <c r="A31" s="13">
        <f>IF(A30="","",IF(MONTH(A30+1)=$D$4,A30+1,""))</f>
        <v/>
      </c>
      <c r="B31" s="14">
        <f>IF($A31="","",CHOOSE(WEEKDAY($A31,2),"月","火","水","木","金","土","日"))</f>
        <v/>
      </c>
      <c r="C31" s="15" t="n">
        <v>900</v>
      </c>
      <c r="D31" s="15" t="n">
        <v>1500</v>
      </c>
      <c r="E31" s="15" t="n"/>
      <c r="F31" s="16">
        <f>IF(OR($N31="",$O31=""),"",MAX(0,MOD($O31-$N31,1)-IF($P31&lt;&gt;"",$P31,IF(MOD($O31-$N31,1)&gt;設定!$E$8,設定!$E$7,0))))</f>
        <v/>
      </c>
      <c r="G31" s="15" t="n"/>
      <c r="H31" s="15" t="n"/>
      <c r="I31" s="15" t="n"/>
      <c r="J31" s="15" t="n"/>
      <c r="K31" s="17">
        <f>IF($A31="","",IFERROR(VLOOKUP($A31,祝日リスト!$A$2:$C$40,3,0),""))</f>
        <v/>
      </c>
      <c r="L31" s="18" t="n"/>
      <c r="M31" s="19">
        <f>IF($A31="","",IF($K31&lt;&gt;"","祝",IF(WEEKDAY($A31,2)=6,"土",IF(WEEKDAY($A31,2)=7,"日","平"))))</f>
        <v/>
      </c>
      <c r="N31" s="19">
        <f>IF(NOT(ISNUMBER($C31)),"",IF($C31&lt;1,$C31,(INT($C31/100)*60+MOD($C31,100))/1440))</f>
        <v/>
      </c>
      <c r="O31" s="19">
        <f>IF(NOT(ISNUMBER($D31)),"",IF($D31&lt;1,$D31,(INT($D31/100)*60+MOD($D31,100))/1440))</f>
        <v/>
      </c>
      <c r="P31" s="19">
        <f>IF(NOT(ISNUMBER($E31)),"",IF($E31&lt;1,$E31,(INT($E31/100)*60+MOD($E31,100))/1440))</f>
        <v/>
      </c>
      <c r="Q31" s="19">
        <f>IF(NOT(ISNUMBER($G31)),"",IF($G31&lt;1,$G31,(INT($G31/100)*60+MOD($G31,100))/1440))</f>
        <v/>
      </c>
      <c r="R31" s="19">
        <f>IF(NOT(ISNUMBER($H31)),"",IF($H31&lt;1,$H31,(INT($H31/100)*60+MOD($H31,100))/1440))</f>
        <v/>
      </c>
      <c r="S31" s="19">
        <f>IF(NOT(ISNUMBER($I31)),"",IF($I31&lt;1,$I31,(INT($I31/100)*60+MOD($I31,100))/1440))</f>
        <v/>
      </c>
      <c r="T31" s="19">
        <f>IF(NOT(ISNUMBER($J31)),"",IF($J31&lt;1,$J31,(INT($J31/100)*60+MOD($J31,100))/1440))</f>
        <v/>
      </c>
    </row>
    <row r="32" ht="19" customHeight="1">
      <c r="A32" s="13">
        <f>IF(A31="","",IF(MONTH(A31+1)=$D$4,A31+1,""))</f>
        <v/>
      </c>
      <c r="B32" s="14">
        <f>IF($A32="","",CHOOSE(WEEKDAY($A32,2),"月","火","水","木","金","土","日"))</f>
        <v/>
      </c>
      <c r="C32" s="15" t="n"/>
      <c r="D32" s="15" t="n"/>
      <c r="E32" s="15" t="n"/>
      <c r="F32" s="16">
        <f>IF(OR($N32="",$O32=""),"",MAX(0,MOD($O32-$N32,1)-IF($P32&lt;&gt;"",$P32,IF(MOD($O32-$N32,1)&gt;設定!$E$8,設定!$E$7,0))))</f>
        <v/>
      </c>
      <c r="G32" s="15" t="n"/>
      <c r="H32" s="15" t="n"/>
      <c r="I32" s="15" t="n"/>
      <c r="J32" s="15" t="n"/>
      <c r="K32" s="17">
        <f>IF($A32="","",IFERROR(VLOOKUP($A32,祝日リスト!$A$2:$C$40,3,0),""))</f>
        <v/>
      </c>
      <c r="L32" s="18" t="inlineStr">
        <is>
          <t>休</t>
        </is>
      </c>
      <c r="M32" s="19">
        <f>IF($A32="","",IF($K32&lt;&gt;"","祝",IF(WEEKDAY($A32,2)=6,"土",IF(WEEKDAY($A32,2)=7,"日","平"))))</f>
        <v/>
      </c>
      <c r="N32" s="19">
        <f>IF(NOT(ISNUMBER($C32)),"",IF($C32&lt;1,$C32,(INT($C32/100)*60+MOD($C32,100))/1440))</f>
        <v/>
      </c>
      <c r="O32" s="19">
        <f>IF(NOT(ISNUMBER($D32)),"",IF($D32&lt;1,$D32,(INT($D32/100)*60+MOD($D32,100))/1440))</f>
        <v/>
      </c>
      <c r="P32" s="19">
        <f>IF(NOT(ISNUMBER($E32)),"",IF($E32&lt;1,$E32,(INT($E32/100)*60+MOD($E32,100))/1440))</f>
        <v/>
      </c>
      <c r="Q32" s="19">
        <f>IF(NOT(ISNUMBER($G32)),"",IF($G32&lt;1,$G32,(INT($G32/100)*60+MOD($G32,100))/1440))</f>
        <v/>
      </c>
      <c r="R32" s="19">
        <f>IF(NOT(ISNUMBER($H32)),"",IF($H32&lt;1,$H32,(INT($H32/100)*60+MOD($H32,100))/1440))</f>
        <v/>
      </c>
      <c r="S32" s="19">
        <f>IF(NOT(ISNUMBER($I32)),"",IF($I32&lt;1,$I32,(INT($I32/100)*60+MOD($I32,100))/1440))</f>
        <v/>
      </c>
      <c r="T32" s="19">
        <f>IF(NOT(ISNUMBER($J32)),"",IF($J32&lt;1,$J32,(INT($J32/100)*60+MOD($J32,100))/1440))</f>
        <v/>
      </c>
    </row>
    <row r="33" ht="19" customHeight="1">
      <c r="A33" s="13">
        <f>IF(A32="","",IF(MONTH(A32+1)=$D$4,A32+1,""))</f>
        <v/>
      </c>
      <c r="B33" s="14">
        <f>IF($A33="","",CHOOSE(WEEKDAY($A33,2),"月","火","水","木","金","土","日"))</f>
        <v/>
      </c>
      <c r="C33" s="15" t="n"/>
      <c r="D33" s="15" t="n"/>
      <c r="E33" s="15" t="n"/>
      <c r="F33" s="16">
        <f>IF(OR($N33="",$O33=""),"",MAX(0,MOD($O33-$N33,1)-IF($P33&lt;&gt;"",$P33,IF(MOD($O33-$N33,1)&gt;設定!$E$8,設定!$E$7,0))))</f>
        <v/>
      </c>
      <c r="G33" s="15" t="n"/>
      <c r="H33" s="15" t="n"/>
      <c r="I33" s="15" t="n"/>
      <c r="J33" s="15" t="n"/>
      <c r="K33" s="17">
        <f>IF($A33="","",IFERROR(VLOOKUP($A33,祝日リスト!$A$2:$C$40,3,0),""))</f>
        <v/>
      </c>
      <c r="L33" s="18" t="inlineStr">
        <is>
          <t>休</t>
        </is>
      </c>
      <c r="M33" s="19">
        <f>IF($A33="","",IF($K33&lt;&gt;"","祝",IF(WEEKDAY($A33,2)=6,"土",IF(WEEKDAY($A33,2)=7,"日","平"))))</f>
        <v/>
      </c>
      <c r="N33" s="19">
        <f>IF(NOT(ISNUMBER($C33)),"",IF($C33&lt;1,$C33,(INT($C33/100)*60+MOD($C33,100))/1440))</f>
        <v/>
      </c>
      <c r="O33" s="19">
        <f>IF(NOT(ISNUMBER($D33)),"",IF($D33&lt;1,$D33,(INT($D33/100)*60+MOD($D33,100))/1440))</f>
        <v/>
      </c>
      <c r="P33" s="19">
        <f>IF(NOT(ISNUMBER($E33)),"",IF($E33&lt;1,$E33,(INT($E33/100)*60+MOD($E33,100))/1440))</f>
        <v/>
      </c>
      <c r="Q33" s="19">
        <f>IF(NOT(ISNUMBER($G33)),"",IF($G33&lt;1,$G33,(INT($G33/100)*60+MOD($G33,100))/1440))</f>
        <v/>
      </c>
      <c r="R33" s="19">
        <f>IF(NOT(ISNUMBER($H33)),"",IF($H33&lt;1,$H33,(INT($H33/100)*60+MOD($H33,100))/1440))</f>
        <v/>
      </c>
      <c r="S33" s="19">
        <f>IF(NOT(ISNUMBER($I33)),"",IF($I33&lt;1,$I33,(INT($I33/100)*60+MOD($I33,100))/1440))</f>
        <v/>
      </c>
      <c r="T33" s="19">
        <f>IF(NOT(ISNUMBER($J33)),"",IF($J33&lt;1,$J33,(INT($J33/100)*60+MOD($J33,100))/1440))</f>
        <v/>
      </c>
    </row>
    <row r="34" ht="19" customHeight="1">
      <c r="A34" s="13">
        <f>IF(A33="","",IF(MONTH(A33+1)=$D$4,A33+1,""))</f>
        <v/>
      </c>
      <c r="B34" s="14">
        <f>IF($A34="","",CHOOSE(WEEKDAY($A34,2),"月","火","水","木","金","土","日"))</f>
        <v/>
      </c>
      <c r="C34" s="15" t="n">
        <v>900</v>
      </c>
      <c r="D34" s="15" t="n">
        <v>1500</v>
      </c>
      <c r="E34" s="15" t="n"/>
      <c r="F34" s="16">
        <f>IF(OR($N34="",$O34=""),"",MAX(0,MOD($O34-$N34,1)-IF($P34&lt;&gt;"",$P34,IF(MOD($O34-$N34,1)&gt;設定!$E$8,設定!$E$7,0))))</f>
        <v/>
      </c>
      <c r="G34" s="15" t="n"/>
      <c r="H34" s="15" t="n"/>
      <c r="I34" s="15" t="n"/>
      <c r="J34" s="15" t="n"/>
      <c r="K34" s="17">
        <f>IF($A34="","",IFERROR(VLOOKUP($A34,祝日リスト!$A$2:$C$40,3,0),""))</f>
        <v/>
      </c>
      <c r="L34" s="18" t="n"/>
      <c r="M34" s="19">
        <f>IF($A34="","",IF($K34&lt;&gt;"","祝",IF(WEEKDAY($A34,2)=6,"土",IF(WEEKDAY($A34,2)=7,"日","平"))))</f>
        <v/>
      </c>
      <c r="N34" s="19">
        <f>IF(NOT(ISNUMBER($C34)),"",IF($C34&lt;1,$C34,(INT($C34/100)*60+MOD($C34,100))/1440))</f>
        <v/>
      </c>
      <c r="O34" s="19">
        <f>IF(NOT(ISNUMBER($D34)),"",IF($D34&lt;1,$D34,(INT($D34/100)*60+MOD($D34,100))/1440))</f>
        <v/>
      </c>
      <c r="P34" s="19">
        <f>IF(NOT(ISNUMBER($E34)),"",IF($E34&lt;1,$E34,(INT($E34/100)*60+MOD($E34,100))/1440))</f>
        <v/>
      </c>
      <c r="Q34" s="19">
        <f>IF(NOT(ISNUMBER($G34)),"",IF($G34&lt;1,$G34,(INT($G34/100)*60+MOD($G34,100))/1440))</f>
        <v/>
      </c>
      <c r="R34" s="19">
        <f>IF(NOT(ISNUMBER($H34)),"",IF($H34&lt;1,$H34,(INT($H34/100)*60+MOD($H34,100))/1440))</f>
        <v/>
      </c>
      <c r="S34" s="19">
        <f>IF(NOT(ISNUMBER($I34)),"",IF($I34&lt;1,$I34,(INT($I34/100)*60+MOD($I34,100))/1440))</f>
        <v/>
      </c>
      <c r="T34" s="19">
        <f>IF(NOT(ISNUMBER($J34)),"",IF($J34&lt;1,$J34,(INT($J34/100)*60+MOD($J34,100))/1440))</f>
        <v/>
      </c>
    </row>
    <row r="35" ht="19" customHeight="1">
      <c r="A35" s="13">
        <f>IF(A34="","",IF(MONTH(A34+1)=$D$4,A34+1,""))</f>
        <v/>
      </c>
      <c r="B35" s="14">
        <f>IF($A35="","",CHOOSE(WEEKDAY($A35,2),"月","火","水","木","金","土","日"))</f>
        <v/>
      </c>
      <c r="C35" s="15" t="n">
        <v>900</v>
      </c>
      <c r="D35" s="15" t="n">
        <v>1500</v>
      </c>
      <c r="E35" s="15" t="n"/>
      <c r="F35" s="16">
        <f>IF(OR($N35="",$O35=""),"",MAX(0,MOD($O35-$N35,1)-IF($P35&lt;&gt;"",$P35,IF(MOD($O35-$N35,1)&gt;設定!$E$8,設定!$E$7,0))))</f>
        <v/>
      </c>
      <c r="G35" s="15" t="n"/>
      <c r="H35" s="15" t="n"/>
      <c r="I35" s="15" t="n"/>
      <c r="J35" s="15" t="n"/>
      <c r="K35" s="17">
        <f>IF($A35="","",IFERROR(VLOOKUP($A35,祝日リスト!$A$2:$C$40,3,0),""))</f>
        <v/>
      </c>
      <c r="L35" s="18" t="n"/>
      <c r="M35" s="19">
        <f>IF($A35="","",IF($K35&lt;&gt;"","祝",IF(WEEKDAY($A35,2)=6,"土",IF(WEEKDAY($A35,2)=7,"日","平"))))</f>
        <v/>
      </c>
      <c r="N35" s="19">
        <f>IF(NOT(ISNUMBER($C35)),"",IF($C35&lt;1,$C35,(INT($C35/100)*60+MOD($C35,100))/1440))</f>
        <v/>
      </c>
      <c r="O35" s="19">
        <f>IF(NOT(ISNUMBER($D35)),"",IF($D35&lt;1,$D35,(INT($D35/100)*60+MOD($D35,100))/1440))</f>
        <v/>
      </c>
      <c r="P35" s="19">
        <f>IF(NOT(ISNUMBER($E35)),"",IF($E35&lt;1,$E35,(INT($E35/100)*60+MOD($E35,100))/1440))</f>
        <v/>
      </c>
      <c r="Q35" s="19">
        <f>IF(NOT(ISNUMBER($G35)),"",IF($G35&lt;1,$G35,(INT($G35/100)*60+MOD($G35,100))/1440))</f>
        <v/>
      </c>
      <c r="R35" s="19">
        <f>IF(NOT(ISNUMBER($H35)),"",IF($H35&lt;1,$H35,(INT($H35/100)*60+MOD($H35,100))/1440))</f>
        <v/>
      </c>
      <c r="S35" s="19">
        <f>IF(NOT(ISNUMBER($I35)),"",IF($I35&lt;1,$I35,(INT($I35/100)*60+MOD($I35,100))/1440))</f>
        <v/>
      </c>
      <c r="T35" s="19">
        <f>IF(NOT(ISNUMBER($J35)),"",IF($J35&lt;1,$J35,(INT($J35/100)*60+MOD($J35,100))/1440))</f>
        <v/>
      </c>
    </row>
    <row r="36" ht="19" customHeight="1">
      <c r="A36" s="13">
        <f>IF(A35="","",IF(MONTH(A35+1)=$D$4,A35+1,""))</f>
        <v/>
      </c>
      <c r="B36" s="14">
        <f>IF($A36="","",CHOOSE(WEEKDAY($A36,2),"月","火","水","木","金","土","日"))</f>
        <v/>
      </c>
      <c r="C36" s="15" t="n"/>
      <c r="D36" s="15" t="n"/>
      <c r="E36" s="15" t="n"/>
      <c r="F36" s="16">
        <f>IF(OR($N36="",$O36=""),"",MAX(0,MOD($O36-$N36,1)-IF($P36&lt;&gt;"",$P36,IF(MOD($O36-$N36,1)&gt;設定!$E$8,設定!$E$7,0))))</f>
        <v/>
      </c>
      <c r="G36" s="15" t="n"/>
      <c r="H36" s="15" t="n"/>
      <c r="I36" s="15" t="n"/>
      <c r="J36" s="15" t="n"/>
      <c r="K36" s="17">
        <f>IF($A36="","",IFERROR(VLOOKUP($A36,祝日リスト!$A$2:$C$40,3,0),""))</f>
        <v/>
      </c>
      <c r="L36" s="18" t="inlineStr">
        <is>
          <t>休</t>
        </is>
      </c>
      <c r="M36" s="19">
        <f>IF($A36="","",IF($K36&lt;&gt;"","祝",IF(WEEKDAY($A36,2)=6,"土",IF(WEEKDAY($A36,2)=7,"日","平"))))</f>
        <v/>
      </c>
      <c r="N36" s="19">
        <f>IF(NOT(ISNUMBER($C36)),"",IF($C36&lt;1,$C36,(INT($C36/100)*60+MOD($C36,100))/1440))</f>
        <v/>
      </c>
      <c r="O36" s="19">
        <f>IF(NOT(ISNUMBER($D36)),"",IF($D36&lt;1,$D36,(INT($D36/100)*60+MOD($D36,100))/1440))</f>
        <v/>
      </c>
      <c r="P36" s="19">
        <f>IF(NOT(ISNUMBER($E36)),"",IF($E36&lt;1,$E36,(INT($E36/100)*60+MOD($E36,100))/1440))</f>
        <v/>
      </c>
      <c r="Q36" s="19">
        <f>IF(NOT(ISNUMBER($G36)),"",IF($G36&lt;1,$G36,(INT($G36/100)*60+MOD($G36,100))/1440))</f>
        <v/>
      </c>
      <c r="R36" s="19">
        <f>IF(NOT(ISNUMBER($H36)),"",IF($H36&lt;1,$H36,(INT($H36/100)*60+MOD($H36,100))/1440))</f>
        <v/>
      </c>
      <c r="S36" s="19">
        <f>IF(NOT(ISNUMBER($I36)),"",IF($I36&lt;1,$I36,(INT($I36/100)*60+MOD($I36,100))/1440))</f>
        <v/>
      </c>
      <c r="T36" s="19">
        <f>IF(NOT(ISNUMBER($J36)),"",IF($J36&lt;1,$J36,(INT($J36/100)*60+MOD($J36,100))/1440))</f>
        <v/>
      </c>
    </row>
    <row r="37" ht="19" customHeight="1">
      <c r="A37" s="13">
        <f>IF(A36="","",IF(MONTH(A36+1)=$D$4,A36+1,""))</f>
        <v/>
      </c>
      <c r="B37" s="14">
        <f>IF($A37="","",CHOOSE(WEEKDAY($A37,2),"月","火","水","木","金","土","日"))</f>
        <v/>
      </c>
      <c r="C37" s="15" t="n">
        <v>900</v>
      </c>
      <c r="D37" s="15" t="n">
        <v>1500</v>
      </c>
      <c r="E37" s="15" t="n"/>
      <c r="F37" s="16">
        <f>IF(OR($N37="",$O37=""),"",MAX(0,MOD($O37-$N37,1)-IF($P37&lt;&gt;"",$P37,IF(MOD($O37-$N37,1)&gt;設定!$E$8,設定!$E$7,0))))</f>
        <v/>
      </c>
      <c r="G37" s="15" t="n"/>
      <c r="H37" s="15" t="n"/>
      <c r="I37" s="15" t="n"/>
      <c r="J37" s="15" t="n"/>
      <c r="K37" s="17">
        <f>IF($A37="","",IFERROR(VLOOKUP($A37,祝日リスト!$A$2:$C$40,3,0),""))</f>
        <v/>
      </c>
      <c r="L37" s="18" t="n"/>
      <c r="M37" s="19">
        <f>IF($A37="","",IF($K37&lt;&gt;"","祝",IF(WEEKDAY($A37,2)=6,"土",IF(WEEKDAY($A37,2)=7,"日","平"))))</f>
        <v/>
      </c>
      <c r="N37" s="19">
        <f>IF(NOT(ISNUMBER($C37)),"",IF($C37&lt;1,$C37,(INT($C37/100)*60+MOD($C37,100))/1440))</f>
        <v/>
      </c>
      <c r="O37" s="19">
        <f>IF(NOT(ISNUMBER($D37)),"",IF($D37&lt;1,$D37,(INT($D37/100)*60+MOD($D37,100))/1440))</f>
        <v/>
      </c>
      <c r="P37" s="19">
        <f>IF(NOT(ISNUMBER($E37)),"",IF($E37&lt;1,$E37,(INT($E37/100)*60+MOD($E37,100))/1440))</f>
        <v/>
      </c>
      <c r="Q37" s="19">
        <f>IF(NOT(ISNUMBER($G37)),"",IF($G37&lt;1,$G37,(INT($G37/100)*60+MOD($G37,100))/1440))</f>
        <v/>
      </c>
      <c r="R37" s="19">
        <f>IF(NOT(ISNUMBER($H37)),"",IF($H37&lt;1,$H37,(INT($H37/100)*60+MOD($H37,100))/1440))</f>
        <v/>
      </c>
      <c r="S37" s="19">
        <f>IF(NOT(ISNUMBER($I37)),"",IF($I37&lt;1,$I37,(INT($I37/100)*60+MOD($I37,100))/1440))</f>
        <v/>
      </c>
      <c r="T37" s="19">
        <f>IF(NOT(ISNUMBER($J37)),"",IF($J37&lt;1,$J37,(INT($J37/100)*60+MOD($J37,100))/1440))</f>
        <v/>
      </c>
    </row>
    <row r="38" ht="19" customHeight="1">
      <c r="A38" s="20">
        <f>IF(A37="","",IF(MONTH(A37+1)=$D$4,A37+1,""))</f>
        <v/>
      </c>
      <c r="B38" s="21">
        <f>IF($A38="","",CHOOSE(WEEKDAY($A38,2),"月","火","水","木","金","土","日"))</f>
        <v/>
      </c>
      <c r="C38" s="22" t="n">
        <v>900</v>
      </c>
      <c r="D38" s="22" t="n">
        <v>1500</v>
      </c>
      <c r="E38" s="22" t="n"/>
      <c r="F38" s="23">
        <f>IF(OR($N38="",$O38=""),"",MAX(0,MOD($O38-$N38,1)-IF($P38&lt;&gt;"",$P38,IF(MOD($O38-$N38,1)&gt;設定!$E$8,設定!$E$7,0))))</f>
        <v/>
      </c>
      <c r="G38" s="22" t="n"/>
      <c r="H38" s="22" t="n"/>
      <c r="I38" s="22" t="n"/>
      <c r="J38" s="22" t="n"/>
      <c r="K38" s="24">
        <f>IF($A38="","",IFERROR(VLOOKUP($A38,祝日リスト!$A$2:$C$40,3,0),""))</f>
        <v/>
      </c>
      <c r="L38" s="25" t="n"/>
      <c r="M38" s="19">
        <f>IF($A38="","",IF($K38&lt;&gt;"","祝",IF(WEEKDAY($A38,2)=6,"土",IF(WEEKDAY($A38,2)=7,"日","平"))))</f>
        <v/>
      </c>
      <c r="N38" s="19">
        <f>IF(NOT(ISNUMBER($C38)),"",IF($C38&lt;1,$C38,(INT($C38/100)*60+MOD($C38,100))/1440))</f>
        <v/>
      </c>
      <c r="O38" s="19">
        <f>IF(NOT(ISNUMBER($D38)),"",IF($D38&lt;1,$D38,(INT($D38/100)*60+MOD($D38,100))/1440))</f>
        <v/>
      </c>
      <c r="P38" s="19">
        <f>IF(NOT(ISNUMBER($E38)),"",IF($E38&lt;1,$E38,(INT($E38/100)*60+MOD($E38,100))/1440))</f>
        <v/>
      </c>
      <c r="Q38" s="19">
        <f>IF(NOT(ISNUMBER($G38)),"",IF($G38&lt;1,$G38,(INT($G38/100)*60+MOD($G38,100))/1440))</f>
        <v/>
      </c>
      <c r="R38" s="19">
        <f>IF(NOT(ISNUMBER($H38)),"",IF($H38&lt;1,$H38,(INT($H38/100)*60+MOD($H38,100))/1440))</f>
        <v/>
      </c>
      <c r="S38" s="19">
        <f>IF(NOT(ISNUMBER($I38)),"",IF($I38&lt;1,$I38,(INT($I38/100)*60+MOD($I38,100))/1440))</f>
        <v/>
      </c>
      <c r="T38" s="19">
        <f>IF(NOT(ISNUMBER($J38)),"",IF($J38&lt;1,$J38,(INT($J38/100)*60+MOD($J38,100))/1440))</f>
        <v/>
      </c>
    </row>
    <row r="40" ht="20" customHeight="1">
      <c r="A40" s="26" t="inlineStr">
        <is>
          <t>月次集計</t>
        </is>
      </c>
    </row>
    <row r="41" ht="18" customHeight="1">
      <c r="A41" s="27" t="inlineStr">
        <is>
          <t>出勤日数</t>
        </is>
      </c>
      <c r="D41" s="28">
        <f>COUNT($N$8:$N$38)</f>
        <v/>
      </c>
      <c r="E41" s="29" t="inlineStr">
        <is>
          <t>日</t>
        </is>
      </c>
      <c r="G41" s="27" t="inlineStr">
        <is>
          <t>通常残業</t>
        </is>
      </c>
      <c r="K41" s="30">
        <f>SUM($Q$8:$Q$38)</f>
        <v/>
      </c>
    </row>
    <row r="42" ht="18" customHeight="1">
      <c r="A42" s="27" t="inlineStr">
        <is>
          <t>実働時間 合計</t>
        </is>
      </c>
      <c r="D42" s="30">
        <f>SUM($F$8:$F$38)</f>
        <v/>
      </c>
      <c r="G42" s="27" t="inlineStr">
        <is>
          <t>深夜残業</t>
        </is>
      </c>
      <c r="K42" s="30">
        <f>SUM($R$8:$R$38)</f>
        <v/>
      </c>
    </row>
    <row r="43" ht="18" customHeight="1">
      <c r="A43" s="31" t="inlineStr">
        <is>
          <t xml:space="preserve">　うち 平日</t>
        </is>
      </c>
      <c r="D43" s="30">
        <f>SUMIF($M$8:$M$38,"平",$F$8:$F$38)</f>
        <v/>
      </c>
      <c r="G43" s="27" t="inlineStr">
        <is>
          <t>早朝残業</t>
        </is>
      </c>
      <c r="K43" s="30">
        <f>SUM($S$8:$S$38)</f>
        <v/>
      </c>
    </row>
    <row r="44" ht="18" customHeight="1">
      <c r="A44" s="31" t="inlineStr">
        <is>
          <t xml:space="preserve">　うち 土曜</t>
        </is>
      </c>
      <c r="D44" s="30">
        <f>SUMIF($M$8:$M$38,"土",$F$8:$F$38)</f>
        <v/>
      </c>
      <c r="G44" s="27" t="inlineStr">
        <is>
          <t>遅刻・早退</t>
        </is>
      </c>
      <c r="K44" s="30">
        <f>SUM($T$8:$T$38)</f>
        <v/>
      </c>
    </row>
    <row r="45" ht="18" customHeight="1">
      <c r="A45" s="31" t="inlineStr">
        <is>
          <t xml:space="preserve">　うち 日曜・祝日</t>
        </is>
      </c>
      <c r="D45" s="30">
        <f>SUMIF($M$8:$M$38,"日",$F$8:$F$38)+SUMIF($M$8:$M$38,"祝",$F$8:$F$38)</f>
        <v/>
      </c>
      <c r="G45" s="27" t="inlineStr">
        <is>
          <t>所定超過(実働-所定×出勤日数)</t>
        </is>
      </c>
      <c r="K45" s="30">
        <f>MAX(0,SUM($F$8:$F$38)-設定!$E$6*COUNT($N$8:$N$38))</f>
        <v/>
      </c>
    </row>
    <row r="47">
      <c r="A47" s="11" t="inlineStr">
        <is>
          <t>※ 残業欄は実働時間の内数です。実働は「退勤－出勤－休憩」で自動計算されます。</t>
        </is>
      </c>
    </row>
    <row r="49" ht="30" customHeight="1">
      <c r="G49" s="9" t="inlineStr">
        <is>
          <t>承認</t>
        </is>
      </c>
      <c r="H49" s="32" t="n"/>
      <c r="J49" s="32" t="n"/>
    </row>
    <row r="50">
      <c r="H50" s="33" t="inlineStr">
        <is>
          <t>本人</t>
        </is>
      </c>
      <c r="J50" s="33" t="inlineStr">
        <is>
          <t>上長</t>
        </is>
      </c>
    </row>
  </sheetData>
  <mergeCells count="15">
    <mergeCell ref="G44:J44"/>
    <mergeCell ref="A42:C42"/>
    <mergeCell ref="A41:C41"/>
    <mergeCell ref="A44:C44"/>
    <mergeCell ref="A45:C45"/>
    <mergeCell ref="G43:J43"/>
    <mergeCell ref="H49:I49"/>
    <mergeCell ref="J49:K49"/>
    <mergeCell ref="A40:L40"/>
    <mergeCell ref="J4:L4"/>
    <mergeCell ref="A2:D2"/>
    <mergeCell ref="G41:J41"/>
    <mergeCell ref="A43:C43"/>
    <mergeCell ref="G45:J45"/>
    <mergeCell ref="G42:J42"/>
  </mergeCells>
  <conditionalFormatting sqref="A8:L38">
    <cfRule type="expression" priority="1" dxfId="0" stopIfTrue="1">
      <formula>$A8=""</formula>
    </cfRule>
    <cfRule type="expression" priority="2" dxfId="1">
      <formula>OR($M8="祝",$M8="日")</formula>
    </cfRule>
    <cfRule type="expression" priority="3" dxfId="2">
      <formula>$M8="土"</formula>
    </cfRule>
  </conditionalFormatting>
  <conditionalFormatting sqref="D8:D38">
    <cfRule type="expression" priority="4" dxfId="3">
      <formula>AND($N8&lt;&gt;"",$O8="")</formula>
    </cfRule>
  </conditionalFormatting>
  <conditionalFormatting sqref="C8:C38">
    <cfRule type="expression" priority="5" dxfId="3">
      <formula>AND($O8&lt;&gt;"",$N8="")</formula>
    </cfRule>
  </conditionalFormatting>
  <dataValidations count="2">
    <dataValidation sqref="L8:L38" showDropDown="0" showInputMessage="1" showErrorMessage="0" allowBlank="1" promptTitle="備考" prompt="選択、または自由入力できます" type="list">
      <formula1>"有給,半休,欠勤,遅刻,早退,休日出勤,振替休日,直行,直帰,出張,特別休暇"</formula1>
    </dataValidation>
    <dataValidation sqref="C8:C38 D8:D38 E8:E38 G8:G38 H8:H38 I8:I38 J8:J38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=OR(AND(C8&gt;=0,C8&lt;1),AND(C8=INT(C8),C8&lt;=2359,MOD(C8,100)&lt;60))</formula1>
    </dataValidation>
  </dataValidations>
  <pageMargins left="0.3" right="0.3" top="0.4" bottom="0.4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FF8FAADC"/>
    <outlinePr summaryBelow="1" summaryRight="1"/>
    <pageSetUpPr fitToPage="1"/>
  </sheetPr>
  <dimension ref="A2:T5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.5" customWidth="1" min="1" max="1"/>
    <col width="4.5" customWidth="1" min="2" max="2"/>
    <col width="8.5" customWidth="1" min="3" max="3"/>
    <col width="8.5" customWidth="1" min="4" max="4"/>
    <col width="8" customWidth="1" min="5" max="5"/>
    <col width="8.5" customWidth="1" min="6" max="6"/>
    <col width="9" customWidth="1" min="7" max="7"/>
    <col width="9" customWidth="1" min="8" max="8"/>
    <col width="9" customWidth="1" min="9" max="9"/>
    <col width="10" customWidth="1" min="10" max="10"/>
    <col width="14" customWidth="1" min="11" max="11"/>
    <col width="26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2" ht="24" customHeight="1">
      <c r="A2" s="8">
        <f>設定!$B$4&amp;"　"&amp;設定!$B$3&amp;"年"&amp;8&amp;"月度 出勤簿"</f>
        <v/>
      </c>
    </row>
    <row r="4">
      <c r="A4" s="9" t="inlineStr">
        <is>
          <t>年</t>
        </is>
      </c>
      <c r="B4" s="10">
        <f>設定!$B$3</f>
        <v/>
      </c>
      <c r="C4" s="9" t="inlineStr">
        <is>
          <t>月</t>
        </is>
      </c>
      <c r="D4" s="10" t="n">
        <v>8</v>
      </c>
      <c r="G4" s="9" t="inlineStr">
        <is>
          <t>所属</t>
        </is>
      </c>
      <c r="H4" s="10">
        <f>設定!$B$5</f>
        <v/>
      </c>
      <c r="I4" s="9" t="inlineStr">
        <is>
          <t>氏名</t>
        </is>
      </c>
      <c r="J4" s="10">
        <f>設定!$B$4</f>
        <v/>
      </c>
    </row>
    <row r="5">
      <c r="A5" s="11" t="inlineStr">
        <is>
          <t>黄色のセルに入力してください（灰色は自動計算）。時刻は 930 のようにコロンなしで入力できます。</t>
        </is>
      </c>
    </row>
    <row r="7" ht="26" customHeight="1">
      <c r="A7" s="12" t="inlineStr">
        <is>
          <t>日</t>
        </is>
      </c>
      <c r="B7" s="12" t="inlineStr">
        <is>
          <t>曜</t>
        </is>
      </c>
      <c r="C7" s="12" t="inlineStr">
        <is>
          <t>出勤</t>
        </is>
      </c>
      <c r="D7" s="12" t="inlineStr">
        <is>
          <t>退勤</t>
        </is>
      </c>
      <c r="E7" s="12" t="inlineStr">
        <is>
          <t>休憩</t>
        </is>
      </c>
      <c r="F7" s="12" t="inlineStr">
        <is>
          <t>実働</t>
        </is>
      </c>
      <c r="G7" s="12" t="inlineStr">
        <is>
          <t>通常残業</t>
        </is>
      </c>
      <c r="H7" s="12" t="inlineStr">
        <is>
          <t>深夜残業</t>
        </is>
      </c>
      <c r="I7" s="12" t="inlineStr">
        <is>
          <t>早朝残業</t>
        </is>
      </c>
      <c r="J7" s="12" t="inlineStr">
        <is>
          <t>遅刻・早退</t>
        </is>
      </c>
      <c r="K7" s="12" t="inlineStr">
        <is>
          <t>祝日</t>
        </is>
      </c>
      <c r="L7" s="12" t="inlineStr">
        <is>
          <t>備考・理由</t>
        </is>
      </c>
    </row>
    <row r="8" ht="19" customHeight="1">
      <c r="A8" s="13">
        <f>DATE($B$4,$D$4,1)</f>
        <v/>
      </c>
      <c r="B8" s="14">
        <f>IF($A8="","",CHOOSE(WEEKDAY($A8,2),"月","火","水","木","金","土","日"))</f>
        <v/>
      </c>
      <c r="C8" s="15" t="n"/>
      <c r="D8" s="15" t="n"/>
      <c r="E8" s="15" t="n"/>
      <c r="F8" s="16">
        <f>IF(OR($N8="",$O8=""),"",MAX(0,MOD($O8-$N8,1)-IF($P8&lt;&gt;"",$P8,IF(MOD($O8-$N8,1)&gt;設定!$E$8,設定!$E$7,0))))</f>
        <v/>
      </c>
      <c r="G8" s="15" t="n"/>
      <c r="H8" s="15" t="n"/>
      <c r="I8" s="15" t="n"/>
      <c r="J8" s="15" t="n"/>
      <c r="K8" s="17">
        <f>IF($A8="","",IFERROR(VLOOKUP($A8,祝日リスト!$A$2:$C$40,3,0),""))</f>
        <v/>
      </c>
      <c r="L8" s="18" t="n"/>
      <c r="M8" s="19">
        <f>IF($A8="","",IF($K8&lt;&gt;"","祝",IF(WEEKDAY($A8,2)=6,"土",IF(WEEKDAY($A8,2)=7,"日","平"))))</f>
        <v/>
      </c>
      <c r="N8" s="19">
        <f>IF(NOT(ISNUMBER($C8)),"",IF($C8&lt;1,$C8,(INT($C8/100)*60+MOD($C8,100))/1440))</f>
        <v/>
      </c>
      <c r="O8" s="19">
        <f>IF(NOT(ISNUMBER($D8)),"",IF($D8&lt;1,$D8,(INT($D8/100)*60+MOD($D8,100))/1440))</f>
        <v/>
      </c>
      <c r="P8" s="19">
        <f>IF(NOT(ISNUMBER($E8)),"",IF($E8&lt;1,$E8,(INT($E8/100)*60+MOD($E8,100))/1440))</f>
        <v/>
      </c>
      <c r="Q8" s="19">
        <f>IF(NOT(ISNUMBER($G8)),"",IF($G8&lt;1,$G8,(INT($G8/100)*60+MOD($G8,100))/1440))</f>
        <v/>
      </c>
      <c r="R8" s="19">
        <f>IF(NOT(ISNUMBER($H8)),"",IF($H8&lt;1,$H8,(INT($H8/100)*60+MOD($H8,100))/1440))</f>
        <v/>
      </c>
      <c r="S8" s="19">
        <f>IF(NOT(ISNUMBER($I8)),"",IF($I8&lt;1,$I8,(INT($I8/100)*60+MOD($I8,100))/1440))</f>
        <v/>
      </c>
      <c r="T8" s="19">
        <f>IF(NOT(ISNUMBER($J8)),"",IF($J8&lt;1,$J8,(INT($J8/100)*60+MOD($J8,100))/1440))</f>
        <v/>
      </c>
    </row>
    <row r="9" ht="19" customHeight="1">
      <c r="A9" s="13">
        <f>IF(A8="","",IF(MONTH(A8+1)=$D$4,A8+1,""))</f>
        <v/>
      </c>
      <c r="B9" s="14">
        <f>IF($A9="","",CHOOSE(WEEKDAY($A9,2),"月","火","水","木","金","土","日"))</f>
        <v/>
      </c>
      <c r="C9" s="15" t="n"/>
      <c r="D9" s="15" t="n"/>
      <c r="E9" s="15" t="n"/>
      <c r="F9" s="16">
        <f>IF(OR($N9="",$O9=""),"",MAX(0,MOD($O9-$N9,1)-IF($P9&lt;&gt;"",$P9,IF(MOD($O9-$N9,1)&gt;設定!$E$8,設定!$E$7,0))))</f>
        <v/>
      </c>
      <c r="G9" s="15" t="n"/>
      <c r="H9" s="15" t="n"/>
      <c r="I9" s="15" t="n"/>
      <c r="J9" s="15" t="n"/>
      <c r="K9" s="17">
        <f>IF($A9="","",IFERROR(VLOOKUP($A9,祝日リスト!$A$2:$C$40,3,0),""))</f>
        <v/>
      </c>
      <c r="L9" s="18" t="n"/>
      <c r="M9" s="19">
        <f>IF($A9="","",IF($K9&lt;&gt;"","祝",IF(WEEKDAY($A9,2)=6,"土",IF(WEEKDAY($A9,2)=7,"日","平"))))</f>
        <v/>
      </c>
      <c r="N9" s="19">
        <f>IF(NOT(ISNUMBER($C9)),"",IF($C9&lt;1,$C9,(INT($C9/100)*60+MOD($C9,100))/1440))</f>
        <v/>
      </c>
      <c r="O9" s="19">
        <f>IF(NOT(ISNUMBER($D9)),"",IF($D9&lt;1,$D9,(INT($D9/100)*60+MOD($D9,100))/1440))</f>
        <v/>
      </c>
      <c r="P9" s="19">
        <f>IF(NOT(ISNUMBER($E9)),"",IF($E9&lt;1,$E9,(INT($E9/100)*60+MOD($E9,100))/1440))</f>
        <v/>
      </c>
      <c r="Q9" s="19">
        <f>IF(NOT(ISNUMBER($G9)),"",IF($G9&lt;1,$G9,(INT($G9/100)*60+MOD($G9,100))/1440))</f>
        <v/>
      </c>
      <c r="R9" s="19">
        <f>IF(NOT(ISNUMBER($H9)),"",IF($H9&lt;1,$H9,(INT($H9/100)*60+MOD($H9,100))/1440))</f>
        <v/>
      </c>
      <c r="S9" s="19">
        <f>IF(NOT(ISNUMBER($I9)),"",IF($I9&lt;1,$I9,(INT($I9/100)*60+MOD($I9,100))/1440))</f>
        <v/>
      </c>
      <c r="T9" s="19">
        <f>IF(NOT(ISNUMBER($J9)),"",IF($J9&lt;1,$J9,(INT($J9/100)*60+MOD($J9,100))/1440))</f>
        <v/>
      </c>
    </row>
    <row r="10" ht="19" customHeight="1">
      <c r="A10" s="13">
        <f>IF(A9="","",IF(MONTH(A9+1)=$D$4,A9+1,""))</f>
        <v/>
      </c>
      <c r="B10" s="14">
        <f>IF($A10="","",CHOOSE(WEEKDAY($A10,2),"月","火","水","木","金","土","日"))</f>
        <v/>
      </c>
      <c r="C10" s="15" t="n"/>
      <c r="D10" s="15" t="n"/>
      <c r="E10" s="15" t="n"/>
      <c r="F10" s="16">
        <f>IF(OR($N10="",$O10=""),"",MAX(0,MOD($O10-$N10,1)-IF($P10&lt;&gt;"",$P10,IF(MOD($O10-$N10,1)&gt;設定!$E$8,設定!$E$7,0))))</f>
        <v/>
      </c>
      <c r="G10" s="15" t="n"/>
      <c r="H10" s="15" t="n"/>
      <c r="I10" s="15" t="n"/>
      <c r="J10" s="15" t="n"/>
      <c r="K10" s="17">
        <f>IF($A10="","",IFERROR(VLOOKUP($A10,祝日リスト!$A$2:$C$40,3,0),""))</f>
        <v/>
      </c>
      <c r="L10" s="18" t="n"/>
      <c r="M10" s="19">
        <f>IF($A10="","",IF($K10&lt;&gt;"","祝",IF(WEEKDAY($A10,2)=6,"土",IF(WEEKDAY($A10,2)=7,"日","平"))))</f>
        <v/>
      </c>
      <c r="N10" s="19">
        <f>IF(NOT(ISNUMBER($C10)),"",IF($C10&lt;1,$C10,(INT($C10/100)*60+MOD($C10,100))/1440))</f>
        <v/>
      </c>
      <c r="O10" s="19">
        <f>IF(NOT(ISNUMBER($D10)),"",IF($D10&lt;1,$D10,(INT($D10/100)*60+MOD($D10,100))/1440))</f>
        <v/>
      </c>
      <c r="P10" s="19">
        <f>IF(NOT(ISNUMBER($E10)),"",IF($E10&lt;1,$E10,(INT($E10/100)*60+MOD($E10,100))/1440))</f>
        <v/>
      </c>
      <c r="Q10" s="19">
        <f>IF(NOT(ISNUMBER($G10)),"",IF($G10&lt;1,$G10,(INT($G10/100)*60+MOD($G10,100))/1440))</f>
        <v/>
      </c>
      <c r="R10" s="19">
        <f>IF(NOT(ISNUMBER($H10)),"",IF($H10&lt;1,$H10,(INT($H10/100)*60+MOD($H10,100))/1440))</f>
        <v/>
      </c>
      <c r="S10" s="19">
        <f>IF(NOT(ISNUMBER($I10)),"",IF($I10&lt;1,$I10,(INT($I10/100)*60+MOD($I10,100))/1440))</f>
        <v/>
      </c>
      <c r="T10" s="19">
        <f>IF(NOT(ISNUMBER($J10)),"",IF($J10&lt;1,$J10,(INT($J10/100)*60+MOD($J10,100))/1440))</f>
        <v/>
      </c>
    </row>
    <row r="11" ht="19" customHeight="1">
      <c r="A11" s="13">
        <f>IF(A10="","",IF(MONTH(A10+1)=$D$4,A10+1,""))</f>
        <v/>
      </c>
      <c r="B11" s="14">
        <f>IF($A11="","",CHOOSE(WEEKDAY($A11,2),"月","火","水","木","金","土","日"))</f>
        <v/>
      </c>
      <c r="C11" s="15" t="n"/>
      <c r="D11" s="15" t="n"/>
      <c r="E11" s="15" t="n"/>
      <c r="F11" s="16">
        <f>IF(OR($N11="",$O11=""),"",MAX(0,MOD($O11-$N11,1)-IF($P11&lt;&gt;"",$P11,IF(MOD($O11-$N11,1)&gt;設定!$E$8,設定!$E$7,0))))</f>
        <v/>
      </c>
      <c r="G11" s="15" t="n"/>
      <c r="H11" s="15" t="n"/>
      <c r="I11" s="15" t="n"/>
      <c r="J11" s="15" t="n"/>
      <c r="K11" s="17">
        <f>IF($A11="","",IFERROR(VLOOKUP($A11,祝日リスト!$A$2:$C$40,3,0),""))</f>
        <v/>
      </c>
      <c r="L11" s="18" t="n"/>
      <c r="M11" s="19">
        <f>IF($A11="","",IF($K11&lt;&gt;"","祝",IF(WEEKDAY($A11,2)=6,"土",IF(WEEKDAY($A11,2)=7,"日","平"))))</f>
        <v/>
      </c>
      <c r="N11" s="19">
        <f>IF(NOT(ISNUMBER($C11)),"",IF($C11&lt;1,$C11,(INT($C11/100)*60+MOD($C11,100))/1440))</f>
        <v/>
      </c>
      <c r="O11" s="19">
        <f>IF(NOT(ISNUMBER($D11)),"",IF($D11&lt;1,$D11,(INT($D11/100)*60+MOD($D11,100))/1440))</f>
        <v/>
      </c>
      <c r="P11" s="19">
        <f>IF(NOT(ISNUMBER($E11)),"",IF($E11&lt;1,$E11,(INT($E11/100)*60+MOD($E11,100))/1440))</f>
        <v/>
      </c>
      <c r="Q11" s="19">
        <f>IF(NOT(ISNUMBER($G11)),"",IF($G11&lt;1,$G11,(INT($G11/100)*60+MOD($G11,100))/1440))</f>
        <v/>
      </c>
      <c r="R11" s="19">
        <f>IF(NOT(ISNUMBER($H11)),"",IF($H11&lt;1,$H11,(INT($H11/100)*60+MOD($H11,100))/1440))</f>
        <v/>
      </c>
      <c r="S11" s="19">
        <f>IF(NOT(ISNUMBER($I11)),"",IF($I11&lt;1,$I11,(INT($I11/100)*60+MOD($I11,100))/1440))</f>
        <v/>
      </c>
      <c r="T11" s="19">
        <f>IF(NOT(ISNUMBER($J11)),"",IF($J11&lt;1,$J11,(INT($J11/100)*60+MOD($J11,100))/1440))</f>
        <v/>
      </c>
    </row>
    <row r="12" ht="19" customHeight="1">
      <c r="A12" s="13">
        <f>IF(A11="","",IF(MONTH(A11+1)=$D$4,A11+1,""))</f>
        <v/>
      </c>
      <c r="B12" s="14">
        <f>IF($A12="","",CHOOSE(WEEKDAY($A12,2),"月","火","水","木","金","土","日"))</f>
        <v/>
      </c>
      <c r="C12" s="15" t="n"/>
      <c r="D12" s="15" t="n"/>
      <c r="E12" s="15" t="n"/>
      <c r="F12" s="16">
        <f>IF(OR($N12="",$O12=""),"",MAX(0,MOD($O12-$N12,1)-IF($P12&lt;&gt;"",$P12,IF(MOD($O12-$N12,1)&gt;設定!$E$8,設定!$E$7,0))))</f>
        <v/>
      </c>
      <c r="G12" s="15" t="n"/>
      <c r="H12" s="15" t="n"/>
      <c r="I12" s="15" t="n"/>
      <c r="J12" s="15" t="n"/>
      <c r="K12" s="17">
        <f>IF($A12="","",IFERROR(VLOOKUP($A12,祝日リスト!$A$2:$C$40,3,0),""))</f>
        <v/>
      </c>
      <c r="L12" s="18" t="n"/>
      <c r="M12" s="19">
        <f>IF($A12="","",IF($K12&lt;&gt;"","祝",IF(WEEKDAY($A12,2)=6,"土",IF(WEEKDAY($A12,2)=7,"日","平"))))</f>
        <v/>
      </c>
      <c r="N12" s="19">
        <f>IF(NOT(ISNUMBER($C12)),"",IF($C12&lt;1,$C12,(INT($C12/100)*60+MOD($C12,100))/1440))</f>
        <v/>
      </c>
      <c r="O12" s="19">
        <f>IF(NOT(ISNUMBER($D12)),"",IF($D12&lt;1,$D12,(INT($D12/100)*60+MOD($D12,100))/1440))</f>
        <v/>
      </c>
      <c r="P12" s="19">
        <f>IF(NOT(ISNUMBER($E12)),"",IF($E12&lt;1,$E12,(INT($E12/100)*60+MOD($E12,100))/1440))</f>
        <v/>
      </c>
      <c r="Q12" s="19">
        <f>IF(NOT(ISNUMBER($G12)),"",IF($G12&lt;1,$G12,(INT($G12/100)*60+MOD($G12,100))/1440))</f>
        <v/>
      </c>
      <c r="R12" s="19">
        <f>IF(NOT(ISNUMBER($H12)),"",IF($H12&lt;1,$H12,(INT($H12/100)*60+MOD($H12,100))/1440))</f>
        <v/>
      </c>
      <c r="S12" s="19">
        <f>IF(NOT(ISNUMBER($I12)),"",IF($I12&lt;1,$I12,(INT($I12/100)*60+MOD($I12,100))/1440))</f>
        <v/>
      </c>
      <c r="T12" s="19">
        <f>IF(NOT(ISNUMBER($J12)),"",IF($J12&lt;1,$J12,(INT($J12/100)*60+MOD($J12,100))/1440))</f>
        <v/>
      </c>
    </row>
    <row r="13" ht="19" customHeight="1">
      <c r="A13" s="13">
        <f>IF(A12="","",IF(MONTH(A12+1)=$D$4,A12+1,""))</f>
        <v/>
      </c>
      <c r="B13" s="14">
        <f>IF($A13="","",CHOOSE(WEEKDAY($A13,2),"月","火","水","木","金","土","日"))</f>
        <v/>
      </c>
      <c r="C13" s="15" t="n"/>
      <c r="D13" s="15" t="n"/>
      <c r="E13" s="15" t="n"/>
      <c r="F13" s="16">
        <f>IF(OR($N13="",$O13=""),"",MAX(0,MOD($O13-$N13,1)-IF($P13&lt;&gt;"",$P13,IF(MOD($O13-$N13,1)&gt;設定!$E$8,設定!$E$7,0))))</f>
        <v/>
      </c>
      <c r="G13" s="15" t="n"/>
      <c r="H13" s="15" t="n"/>
      <c r="I13" s="15" t="n"/>
      <c r="J13" s="15" t="n"/>
      <c r="K13" s="17">
        <f>IF($A13="","",IFERROR(VLOOKUP($A13,祝日リスト!$A$2:$C$40,3,0),""))</f>
        <v/>
      </c>
      <c r="L13" s="18" t="n"/>
      <c r="M13" s="19">
        <f>IF($A13="","",IF($K13&lt;&gt;"","祝",IF(WEEKDAY($A13,2)=6,"土",IF(WEEKDAY($A13,2)=7,"日","平"))))</f>
        <v/>
      </c>
      <c r="N13" s="19">
        <f>IF(NOT(ISNUMBER($C13)),"",IF($C13&lt;1,$C13,(INT($C13/100)*60+MOD($C13,100))/1440))</f>
        <v/>
      </c>
      <c r="O13" s="19">
        <f>IF(NOT(ISNUMBER($D13)),"",IF($D13&lt;1,$D13,(INT($D13/100)*60+MOD($D13,100))/1440))</f>
        <v/>
      </c>
      <c r="P13" s="19">
        <f>IF(NOT(ISNUMBER($E13)),"",IF($E13&lt;1,$E13,(INT($E13/100)*60+MOD($E13,100))/1440))</f>
        <v/>
      </c>
      <c r="Q13" s="19">
        <f>IF(NOT(ISNUMBER($G13)),"",IF($G13&lt;1,$G13,(INT($G13/100)*60+MOD($G13,100))/1440))</f>
        <v/>
      </c>
      <c r="R13" s="19">
        <f>IF(NOT(ISNUMBER($H13)),"",IF($H13&lt;1,$H13,(INT($H13/100)*60+MOD($H13,100))/1440))</f>
        <v/>
      </c>
      <c r="S13" s="19">
        <f>IF(NOT(ISNUMBER($I13)),"",IF($I13&lt;1,$I13,(INT($I13/100)*60+MOD($I13,100))/1440))</f>
        <v/>
      </c>
      <c r="T13" s="19">
        <f>IF(NOT(ISNUMBER($J13)),"",IF($J13&lt;1,$J13,(INT($J13/100)*60+MOD($J13,100))/1440))</f>
        <v/>
      </c>
    </row>
    <row r="14" ht="19" customHeight="1">
      <c r="A14" s="13">
        <f>IF(A13="","",IF(MONTH(A13+1)=$D$4,A13+1,""))</f>
        <v/>
      </c>
      <c r="B14" s="14">
        <f>IF($A14="","",CHOOSE(WEEKDAY($A14,2),"月","火","水","木","金","土","日"))</f>
        <v/>
      </c>
      <c r="C14" s="15" t="n"/>
      <c r="D14" s="15" t="n"/>
      <c r="E14" s="15" t="n"/>
      <c r="F14" s="16">
        <f>IF(OR($N14="",$O14=""),"",MAX(0,MOD($O14-$N14,1)-IF($P14&lt;&gt;"",$P14,IF(MOD($O14-$N14,1)&gt;設定!$E$8,設定!$E$7,0))))</f>
        <v/>
      </c>
      <c r="G14" s="15" t="n"/>
      <c r="H14" s="15" t="n"/>
      <c r="I14" s="15" t="n"/>
      <c r="J14" s="15" t="n"/>
      <c r="K14" s="17">
        <f>IF($A14="","",IFERROR(VLOOKUP($A14,祝日リスト!$A$2:$C$40,3,0),""))</f>
        <v/>
      </c>
      <c r="L14" s="18" t="n"/>
      <c r="M14" s="19">
        <f>IF($A14="","",IF($K14&lt;&gt;"","祝",IF(WEEKDAY($A14,2)=6,"土",IF(WEEKDAY($A14,2)=7,"日","平"))))</f>
        <v/>
      </c>
      <c r="N14" s="19">
        <f>IF(NOT(ISNUMBER($C14)),"",IF($C14&lt;1,$C14,(INT($C14/100)*60+MOD($C14,100))/1440))</f>
        <v/>
      </c>
      <c r="O14" s="19">
        <f>IF(NOT(ISNUMBER($D14)),"",IF($D14&lt;1,$D14,(INT($D14/100)*60+MOD($D14,100))/1440))</f>
        <v/>
      </c>
      <c r="P14" s="19">
        <f>IF(NOT(ISNUMBER($E14)),"",IF($E14&lt;1,$E14,(INT($E14/100)*60+MOD($E14,100))/1440))</f>
        <v/>
      </c>
      <c r="Q14" s="19">
        <f>IF(NOT(ISNUMBER($G14)),"",IF($G14&lt;1,$G14,(INT($G14/100)*60+MOD($G14,100))/1440))</f>
        <v/>
      </c>
      <c r="R14" s="19">
        <f>IF(NOT(ISNUMBER($H14)),"",IF($H14&lt;1,$H14,(INT($H14/100)*60+MOD($H14,100))/1440))</f>
        <v/>
      </c>
      <c r="S14" s="19">
        <f>IF(NOT(ISNUMBER($I14)),"",IF($I14&lt;1,$I14,(INT($I14/100)*60+MOD($I14,100))/1440))</f>
        <v/>
      </c>
      <c r="T14" s="19">
        <f>IF(NOT(ISNUMBER($J14)),"",IF($J14&lt;1,$J14,(INT($J14/100)*60+MOD($J14,100))/1440))</f>
        <v/>
      </c>
    </row>
    <row r="15" ht="19" customHeight="1">
      <c r="A15" s="13">
        <f>IF(A14="","",IF(MONTH(A14+1)=$D$4,A14+1,""))</f>
        <v/>
      </c>
      <c r="B15" s="14">
        <f>IF($A15="","",CHOOSE(WEEKDAY($A15,2),"月","火","水","木","金","土","日"))</f>
        <v/>
      </c>
      <c r="C15" s="15" t="n"/>
      <c r="D15" s="15" t="n"/>
      <c r="E15" s="15" t="n"/>
      <c r="F15" s="16">
        <f>IF(OR($N15="",$O15=""),"",MAX(0,MOD($O15-$N15,1)-IF($P15&lt;&gt;"",$P15,IF(MOD($O15-$N15,1)&gt;設定!$E$8,設定!$E$7,0))))</f>
        <v/>
      </c>
      <c r="G15" s="15" t="n"/>
      <c r="H15" s="15" t="n"/>
      <c r="I15" s="15" t="n"/>
      <c r="J15" s="15" t="n"/>
      <c r="K15" s="17">
        <f>IF($A15="","",IFERROR(VLOOKUP($A15,祝日リスト!$A$2:$C$40,3,0),""))</f>
        <v/>
      </c>
      <c r="L15" s="18" t="n"/>
      <c r="M15" s="19">
        <f>IF($A15="","",IF($K15&lt;&gt;"","祝",IF(WEEKDAY($A15,2)=6,"土",IF(WEEKDAY($A15,2)=7,"日","平"))))</f>
        <v/>
      </c>
      <c r="N15" s="19">
        <f>IF(NOT(ISNUMBER($C15)),"",IF($C15&lt;1,$C15,(INT($C15/100)*60+MOD($C15,100))/1440))</f>
        <v/>
      </c>
      <c r="O15" s="19">
        <f>IF(NOT(ISNUMBER($D15)),"",IF($D15&lt;1,$D15,(INT($D15/100)*60+MOD($D15,100))/1440))</f>
        <v/>
      </c>
      <c r="P15" s="19">
        <f>IF(NOT(ISNUMBER($E15)),"",IF($E15&lt;1,$E15,(INT($E15/100)*60+MOD($E15,100))/1440))</f>
        <v/>
      </c>
      <c r="Q15" s="19">
        <f>IF(NOT(ISNUMBER($G15)),"",IF($G15&lt;1,$G15,(INT($G15/100)*60+MOD($G15,100))/1440))</f>
        <v/>
      </c>
      <c r="R15" s="19">
        <f>IF(NOT(ISNUMBER($H15)),"",IF($H15&lt;1,$H15,(INT($H15/100)*60+MOD($H15,100))/1440))</f>
        <v/>
      </c>
      <c r="S15" s="19">
        <f>IF(NOT(ISNUMBER($I15)),"",IF($I15&lt;1,$I15,(INT($I15/100)*60+MOD($I15,100))/1440))</f>
        <v/>
      </c>
      <c r="T15" s="19">
        <f>IF(NOT(ISNUMBER($J15)),"",IF($J15&lt;1,$J15,(INT($J15/100)*60+MOD($J15,100))/1440))</f>
        <v/>
      </c>
    </row>
    <row r="16" ht="19" customHeight="1">
      <c r="A16" s="13">
        <f>IF(A15="","",IF(MONTH(A15+1)=$D$4,A15+1,""))</f>
        <v/>
      </c>
      <c r="B16" s="14">
        <f>IF($A16="","",CHOOSE(WEEKDAY($A16,2),"月","火","水","木","金","土","日"))</f>
        <v/>
      </c>
      <c r="C16" s="15" t="n"/>
      <c r="D16" s="15" t="n"/>
      <c r="E16" s="15" t="n"/>
      <c r="F16" s="16">
        <f>IF(OR($N16="",$O16=""),"",MAX(0,MOD($O16-$N16,1)-IF($P16&lt;&gt;"",$P16,IF(MOD($O16-$N16,1)&gt;設定!$E$8,設定!$E$7,0))))</f>
        <v/>
      </c>
      <c r="G16" s="15" t="n"/>
      <c r="H16" s="15" t="n"/>
      <c r="I16" s="15" t="n"/>
      <c r="J16" s="15" t="n"/>
      <c r="K16" s="17">
        <f>IF($A16="","",IFERROR(VLOOKUP($A16,祝日リスト!$A$2:$C$40,3,0),""))</f>
        <v/>
      </c>
      <c r="L16" s="18" t="n"/>
      <c r="M16" s="19">
        <f>IF($A16="","",IF($K16&lt;&gt;"","祝",IF(WEEKDAY($A16,2)=6,"土",IF(WEEKDAY($A16,2)=7,"日","平"))))</f>
        <v/>
      </c>
      <c r="N16" s="19">
        <f>IF(NOT(ISNUMBER($C16)),"",IF($C16&lt;1,$C16,(INT($C16/100)*60+MOD($C16,100))/1440))</f>
        <v/>
      </c>
      <c r="O16" s="19">
        <f>IF(NOT(ISNUMBER($D16)),"",IF($D16&lt;1,$D16,(INT($D16/100)*60+MOD($D16,100))/1440))</f>
        <v/>
      </c>
      <c r="P16" s="19">
        <f>IF(NOT(ISNUMBER($E16)),"",IF($E16&lt;1,$E16,(INT($E16/100)*60+MOD($E16,100))/1440))</f>
        <v/>
      </c>
      <c r="Q16" s="19">
        <f>IF(NOT(ISNUMBER($G16)),"",IF($G16&lt;1,$G16,(INT($G16/100)*60+MOD($G16,100))/1440))</f>
        <v/>
      </c>
      <c r="R16" s="19">
        <f>IF(NOT(ISNUMBER($H16)),"",IF($H16&lt;1,$H16,(INT($H16/100)*60+MOD($H16,100))/1440))</f>
        <v/>
      </c>
      <c r="S16" s="19">
        <f>IF(NOT(ISNUMBER($I16)),"",IF($I16&lt;1,$I16,(INT($I16/100)*60+MOD($I16,100))/1440))</f>
        <v/>
      </c>
      <c r="T16" s="19">
        <f>IF(NOT(ISNUMBER($J16)),"",IF($J16&lt;1,$J16,(INT($J16/100)*60+MOD($J16,100))/1440))</f>
        <v/>
      </c>
    </row>
    <row r="17" ht="19" customHeight="1">
      <c r="A17" s="13">
        <f>IF(A16="","",IF(MONTH(A16+1)=$D$4,A16+1,""))</f>
        <v/>
      </c>
      <c r="B17" s="14">
        <f>IF($A17="","",CHOOSE(WEEKDAY($A17,2),"月","火","水","木","金","土","日"))</f>
        <v/>
      </c>
      <c r="C17" s="15" t="n"/>
      <c r="D17" s="15" t="n"/>
      <c r="E17" s="15" t="n"/>
      <c r="F17" s="16">
        <f>IF(OR($N17="",$O17=""),"",MAX(0,MOD($O17-$N17,1)-IF($P17&lt;&gt;"",$P17,IF(MOD($O17-$N17,1)&gt;設定!$E$8,設定!$E$7,0))))</f>
        <v/>
      </c>
      <c r="G17" s="15" t="n"/>
      <c r="H17" s="15" t="n"/>
      <c r="I17" s="15" t="n"/>
      <c r="J17" s="15" t="n"/>
      <c r="K17" s="17">
        <f>IF($A17="","",IFERROR(VLOOKUP($A17,祝日リスト!$A$2:$C$40,3,0),""))</f>
        <v/>
      </c>
      <c r="L17" s="18" t="n"/>
      <c r="M17" s="19">
        <f>IF($A17="","",IF($K17&lt;&gt;"","祝",IF(WEEKDAY($A17,2)=6,"土",IF(WEEKDAY($A17,2)=7,"日","平"))))</f>
        <v/>
      </c>
      <c r="N17" s="19">
        <f>IF(NOT(ISNUMBER($C17)),"",IF($C17&lt;1,$C17,(INT($C17/100)*60+MOD($C17,100))/1440))</f>
        <v/>
      </c>
      <c r="O17" s="19">
        <f>IF(NOT(ISNUMBER($D17)),"",IF($D17&lt;1,$D17,(INT($D17/100)*60+MOD($D17,100))/1440))</f>
        <v/>
      </c>
      <c r="P17" s="19">
        <f>IF(NOT(ISNUMBER($E17)),"",IF($E17&lt;1,$E17,(INT($E17/100)*60+MOD($E17,100))/1440))</f>
        <v/>
      </c>
      <c r="Q17" s="19">
        <f>IF(NOT(ISNUMBER($G17)),"",IF($G17&lt;1,$G17,(INT($G17/100)*60+MOD($G17,100))/1440))</f>
        <v/>
      </c>
      <c r="R17" s="19">
        <f>IF(NOT(ISNUMBER($H17)),"",IF($H17&lt;1,$H17,(INT($H17/100)*60+MOD($H17,100))/1440))</f>
        <v/>
      </c>
      <c r="S17" s="19">
        <f>IF(NOT(ISNUMBER($I17)),"",IF($I17&lt;1,$I17,(INT($I17/100)*60+MOD($I17,100))/1440))</f>
        <v/>
      </c>
      <c r="T17" s="19">
        <f>IF(NOT(ISNUMBER($J17)),"",IF($J17&lt;1,$J17,(INT($J17/100)*60+MOD($J17,100))/1440))</f>
        <v/>
      </c>
    </row>
    <row r="18" ht="19" customHeight="1">
      <c r="A18" s="13">
        <f>IF(A17="","",IF(MONTH(A17+1)=$D$4,A17+1,""))</f>
        <v/>
      </c>
      <c r="B18" s="14">
        <f>IF($A18="","",CHOOSE(WEEKDAY($A18,2),"月","火","水","木","金","土","日"))</f>
        <v/>
      </c>
      <c r="C18" s="15" t="n"/>
      <c r="D18" s="15" t="n"/>
      <c r="E18" s="15" t="n"/>
      <c r="F18" s="16">
        <f>IF(OR($N18="",$O18=""),"",MAX(0,MOD($O18-$N18,1)-IF($P18&lt;&gt;"",$P18,IF(MOD($O18-$N18,1)&gt;設定!$E$8,設定!$E$7,0))))</f>
        <v/>
      </c>
      <c r="G18" s="15" t="n"/>
      <c r="H18" s="15" t="n"/>
      <c r="I18" s="15" t="n"/>
      <c r="J18" s="15" t="n"/>
      <c r="K18" s="17">
        <f>IF($A18="","",IFERROR(VLOOKUP($A18,祝日リスト!$A$2:$C$40,3,0),""))</f>
        <v/>
      </c>
      <c r="L18" s="18" t="n"/>
      <c r="M18" s="19">
        <f>IF($A18="","",IF($K18&lt;&gt;"","祝",IF(WEEKDAY($A18,2)=6,"土",IF(WEEKDAY($A18,2)=7,"日","平"))))</f>
        <v/>
      </c>
      <c r="N18" s="19">
        <f>IF(NOT(ISNUMBER($C18)),"",IF($C18&lt;1,$C18,(INT($C18/100)*60+MOD($C18,100))/1440))</f>
        <v/>
      </c>
      <c r="O18" s="19">
        <f>IF(NOT(ISNUMBER($D18)),"",IF($D18&lt;1,$D18,(INT($D18/100)*60+MOD($D18,100))/1440))</f>
        <v/>
      </c>
      <c r="P18" s="19">
        <f>IF(NOT(ISNUMBER($E18)),"",IF($E18&lt;1,$E18,(INT($E18/100)*60+MOD($E18,100))/1440))</f>
        <v/>
      </c>
      <c r="Q18" s="19">
        <f>IF(NOT(ISNUMBER($G18)),"",IF($G18&lt;1,$G18,(INT($G18/100)*60+MOD($G18,100))/1440))</f>
        <v/>
      </c>
      <c r="R18" s="19">
        <f>IF(NOT(ISNUMBER($H18)),"",IF($H18&lt;1,$H18,(INT($H18/100)*60+MOD($H18,100))/1440))</f>
        <v/>
      </c>
      <c r="S18" s="19">
        <f>IF(NOT(ISNUMBER($I18)),"",IF($I18&lt;1,$I18,(INT($I18/100)*60+MOD($I18,100))/1440))</f>
        <v/>
      </c>
      <c r="T18" s="19">
        <f>IF(NOT(ISNUMBER($J18)),"",IF($J18&lt;1,$J18,(INT($J18/100)*60+MOD($J18,100))/1440))</f>
        <v/>
      </c>
    </row>
    <row r="19" ht="19" customHeight="1">
      <c r="A19" s="13">
        <f>IF(A18="","",IF(MONTH(A18+1)=$D$4,A18+1,""))</f>
        <v/>
      </c>
      <c r="B19" s="14">
        <f>IF($A19="","",CHOOSE(WEEKDAY($A19,2),"月","火","水","木","金","土","日"))</f>
        <v/>
      </c>
      <c r="C19" s="15" t="n"/>
      <c r="D19" s="15" t="n"/>
      <c r="E19" s="15" t="n"/>
      <c r="F19" s="16">
        <f>IF(OR($N19="",$O19=""),"",MAX(0,MOD($O19-$N19,1)-IF($P19&lt;&gt;"",$P19,IF(MOD($O19-$N19,1)&gt;設定!$E$8,設定!$E$7,0))))</f>
        <v/>
      </c>
      <c r="G19" s="15" t="n"/>
      <c r="H19" s="15" t="n"/>
      <c r="I19" s="15" t="n"/>
      <c r="J19" s="15" t="n"/>
      <c r="K19" s="17">
        <f>IF($A19="","",IFERROR(VLOOKUP($A19,祝日リスト!$A$2:$C$40,3,0),""))</f>
        <v/>
      </c>
      <c r="L19" s="18" t="n"/>
      <c r="M19" s="19">
        <f>IF($A19="","",IF($K19&lt;&gt;"","祝",IF(WEEKDAY($A19,2)=6,"土",IF(WEEKDAY($A19,2)=7,"日","平"))))</f>
        <v/>
      </c>
      <c r="N19" s="19">
        <f>IF(NOT(ISNUMBER($C19)),"",IF($C19&lt;1,$C19,(INT($C19/100)*60+MOD($C19,100))/1440))</f>
        <v/>
      </c>
      <c r="O19" s="19">
        <f>IF(NOT(ISNUMBER($D19)),"",IF($D19&lt;1,$D19,(INT($D19/100)*60+MOD($D19,100))/1440))</f>
        <v/>
      </c>
      <c r="P19" s="19">
        <f>IF(NOT(ISNUMBER($E19)),"",IF($E19&lt;1,$E19,(INT($E19/100)*60+MOD($E19,100))/1440))</f>
        <v/>
      </c>
      <c r="Q19" s="19">
        <f>IF(NOT(ISNUMBER($G19)),"",IF($G19&lt;1,$G19,(INT($G19/100)*60+MOD($G19,100))/1440))</f>
        <v/>
      </c>
      <c r="R19" s="19">
        <f>IF(NOT(ISNUMBER($H19)),"",IF($H19&lt;1,$H19,(INT($H19/100)*60+MOD($H19,100))/1440))</f>
        <v/>
      </c>
      <c r="S19" s="19">
        <f>IF(NOT(ISNUMBER($I19)),"",IF($I19&lt;1,$I19,(INT($I19/100)*60+MOD($I19,100))/1440))</f>
        <v/>
      </c>
      <c r="T19" s="19">
        <f>IF(NOT(ISNUMBER($J19)),"",IF($J19&lt;1,$J19,(INT($J19/100)*60+MOD($J19,100))/1440))</f>
        <v/>
      </c>
    </row>
    <row r="20" ht="19" customHeight="1">
      <c r="A20" s="13">
        <f>IF(A19="","",IF(MONTH(A19+1)=$D$4,A19+1,""))</f>
        <v/>
      </c>
      <c r="B20" s="14">
        <f>IF($A20="","",CHOOSE(WEEKDAY($A20,2),"月","火","水","木","金","土","日"))</f>
        <v/>
      </c>
      <c r="C20" s="15" t="n"/>
      <c r="D20" s="15" t="n"/>
      <c r="E20" s="15" t="n"/>
      <c r="F20" s="16">
        <f>IF(OR($N20="",$O20=""),"",MAX(0,MOD($O20-$N20,1)-IF($P20&lt;&gt;"",$P20,IF(MOD($O20-$N20,1)&gt;設定!$E$8,設定!$E$7,0))))</f>
        <v/>
      </c>
      <c r="G20" s="15" t="n"/>
      <c r="H20" s="15" t="n"/>
      <c r="I20" s="15" t="n"/>
      <c r="J20" s="15" t="n"/>
      <c r="K20" s="17">
        <f>IF($A20="","",IFERROR(VLOOKUP($A20,祝日リスト!$A$2:$C$40,3,0),""))</f>
        <v/>
      </c>
      <c r="L20" s="18" t="n"/>
      <c r="M20" s="19">
        <f>IF($A20="","",IF($K20&lt;&gt;"","祝",IF(WEEKDAY($A20,2)=6,"土",IF(WEEKDAY($A20,2)=7,"日","平"))))</f>
        <v/>
      </c>
      <c r="N20" s="19">
        <f>IF(NOT(ISNUMBER($C20)),"",IF($C20&lt;1,$C20,(INT($C20/100)*60+MOD($C20,100))/1440))</f>
        <v/>
      </c>
      <c r="O20" s="19">
        <f>IF(NOT(ISNUMBER($D20)),"",IF($D20&lt;1,$D20,(INT($D20/100)*60+MOD($D20,100))/1440))</f>
        <v/>
      </c>
      <c r="P20" s="19">
        <f>IF(NOT(ISNUMBER($E20)),"",IF($E20&lt;1,$E20,(INT($E20/100)*60+MOD($E20,100))/1440))</f>
        <v/>
      </c>
      <c r="Q20" s="19">
        <f>IF(NOT(ISNUMBER($G20)),"",IF($G20&lt;1,$G20,(INT($G20/100)*60+MOD($G20,100))/1440))</f>
        <v/>
      </c>
      <c r="R20" s="19">
        <f>IF(NOT(ISNUMBER($H20)),"",IF($H20&lt;1,$H20,(INT($H20/100)*60+MOD($H20,100))/1440))</f>
        <v/>
      </c>
      <c r="S20" s="19">
        <f>IF(NOT(ISNUMBER($I20)),"",IF($I20&lt;1,$I20,(INT($I20/100)*60+MOD($I20,100))/1440))</f>
        <v/>
      </c>
      <c r="T20" s="19">
        <f>IF(NOT(ISNUMBER($J20)),"",IF($J20&lt;1,$J20,(INT($J20/100)*60+MOD($J20,100))/1440))</f>
        <v/>
      </c>
    </row>
    <row r="21" ht="19" customHeight="1">
      <c r="A21" s="13">
        <f>IF(A20="","",IF(MONTH(A20+1)=$D$4,A20+1,""))</f>
        <v/>
      </c>
      <c r="B21" s="14">
        <f>IF($A21="","",CHOOSE(WEEKDAY($A21,2),"月","火","水","木","金","土","日"))</f>
        <v/>
      </c>
      <c r="C21" s="15" t="n"/>
      <c r="D21" s="15" t="n"/>
      <c r="E21" s="15" t="n"/>
      <c r="F21" s="16">
        <f>IF(OR($N21="",$O21=""),"",MAX(0,MOD($O21-$N21,1)-IF($P21&lt;&gt;"",$P21,IF(MOD($O21-$N21,1)&gt;設定!$E$8,設定!$E$7,0))))</f>
        <v/>
      </c>
      <c r="G21" s="15" t="n"/>
      <c r="H21" s="15" t="n"/>
      <c r="I21" s="15" t="n"/>
      <c r="J21" s="15" t="n"/>
      <c r="K21" s="17">
        <f>IF($A21="","",IFERROR(VLOOKUP($A21,祝日リスト!$A$2:$C$40,3,0),""))</f>
        <v/>
      </c>
      <c r="L21" s="18" t="n"/>
      <c r="M21" s="19">
        <f>IF($A21="","",IF($K21&lt;&gt;"","祝",IF(WEEKDAY($A21,2)=6,"土",IF(WEEKDAY($A21,2)=7,"日","平"))))</f>
        <v/>
      </c>
      <c r="N21" s="19">
        <f>IF(NOT(ISNUMBER($C21)),"",IF($C21&lt;1,$C21,(INT($C21/100)*60+MOD($C21,100))/1440))</f>
        <v/>
      </c>
      <c r="O21" s="19">
        <f>IF(NOT(ISNUMBER($D21)),"",IF($D21&lt;1,$D21,(INT($D21/100)*60+MOD($D21,100))/1440))</f>
        <v/>
      </c>
      <c r="P21" s="19">
        <f>IF(NOT(ISNUMBER($E21)),"",IF($E21&lt;1,$E21,(INT($E21/100)*60+MOD($E21,100))/1440))</f>
        <v/>
      </c>
      <c r="Q21" s="19">
        <f>IF(NOT(ISNUMBER($G21)),"",IF($G21&lt;1,$G21,(INT($G21/100)*60+MOD($G21,100))/1440))</f>
        <v/>
      </c>
      <c r="R21" s="19">
        <f>IF(NOT(ISNUMBER($H21)),"",IF($H21&lt;1,$H21,(INT($H21/100)*60+MOD($H21,100))/1440))</f>
        <v/>
      </c>
      <c r="S21" s="19">
        <f>IF(NOT(ISNUMBER($I21)),"",IF($I21&lt;1,$I21,(INT($I21/100)*60+MOD($I21,100))/1440))</f>
        <v/>
      </c>
      <c r="T21" s="19">
        <f>IF(NOT(ISNUMBER($J21)),"",IF($J21&lt;1,$J21,(INT($J21/100)*60+MOD($J21,100))/1440))</f>
        <v/>
      </c>
    </row>
    <row r="22" ht="19" customHeight="1">
      <c r="A22" s="13">
        <f>IF(A21="","",IF(MONTH(A21+1)=$D$4,A21+1,""))</f>
        <v/>
      </c>
      <c r="B22" s="14">
        <f>IF($A22="","",CHOOSE(WEEKDAY($A22,2),"月","火","水","木","金","土","日"))</f>
        <v/>
      </c>
      <c r="C22" s="15" t="n"/>
      <c r="D22" s="15" t="n"/>
      <c r="E22" s="15" t="n"/>
      <c r="F22" s="16">
        <f>IF(OR($N22="",$O22=""),"",MAX(0,MOD($O22-$N22,1)-IF($P22&lt;&gt;"",$P22,IF(MOD($O22-$N22,1)&gt;設定!$E$8,設定!$E$7,0))))</f>
        <v/>
      </c>
      <c r="G22" s="15" t="n"/>
      <c r="H22" s="15" t="n"/>
      <c r="I22" s="15" t="n"/>
      <c r="J22" s="15" t="n"/>
      <c r="K22" s="17">
        <f>IF($A22="","",IFERROR(VLOOKUP($A22,祝日リスト!$A$2:$C$40,3,0),""))</f>
        <v/>
      </c>
      <c r="L22" s="18" t="n"/>
      <c r="M22" s="19">
        <f>IF($A22="","",IF($K22&lt;&gt;"","祝",IF(WEEKDAY($A22,2)=6,"土",IF(WEEKDAY($A22,2)=7,"日","平"))))</f>
        <v/>
      </c>
      <c r="N22" s="19">
        <f>IF(NOT(ISNUMBER($C22)),"",IF($C22&lt;1,$C22,(INT($C22/100)*60+MOD($C22,100))/1440))</f>
        <v/>
      </c>
      <c r="O22" s="19">
        <f>IF(NOT(ISNUMBER($D22)),"",IF($D22&lt;1,$D22,(INT($D22/100)*60+MOD($D22,100))/1440))</f>
        <v/>
      </c>
      <c r="P22" s="19">
        <f>IF(NOT(ISNUMBER($E22)),"",IF($E22&lt;1,$E22,(INT($E22/100)*60+MOD($E22,100))/1440))</f>
        <v/>
      </c>
      <c r="Q22" s="19">
        <f>IF(NOT(ISNUMBER($G22)),"",IF($G22&lt;1,$G22,(INT($G22/100)*60+MOD($G22,100))/1440))</f>
        <v/>
      </c>
      <c r="R22" s="19">
        <f>IF(NOT(ISNUMBER($H22)),"",IF($H22&lt;1,$H22,(INT($H22/100)*60+MOD($H22,100))/1440))</f>
        <v/>
      </c>
      <c r="S22" s="19">
        <f>IF(NOT(ISNUMBER($I22)),"",IF($I22&lt;1,$I22,(INT($I22/100)*60+MOD($I22,100))/1440))</f>
        <v/>
      </c>
      <c r="T22" s="19">
        <f>IF(NOT(ISNUMBER($J22)),"",IF($J22&lt;1,$J22,(INT($J22/100)*60+MOD($J22,100))/1440))</f>
        <v/>
      </c>
    </row>
    <row r="23" ht="19" customHeight="1">
      <c r="A23" s="13">
        <f>IF(A22="","",IF(MONTH(A22+1)=$D$4,A22+1,""))</f>
        <v/>
      </c>
      <c r="B23" s="14">
        <f>IF($A23="","",CHOOSE(WEEKDAY($A23,2),"月","火","水","木","金","土","日"))</f>
        <v/>
      </c>
      <c r="C23" s="15" t="n"/>
      <c r="D23" s="15" t="n"/>
      <c r="E23" s="15" t="n"/>
      <c r="F23" s="16">
        <f>IF(OR($N23="",$O23=""),"",MAX(0,MOD($O23-$N23,1)-IF($P23&lt;&gt;"",$P23,IF(MOD($O23-$N23,1)&gt;設定!$E$8,設定!$E$7,0))))</f>
        <v/>
      </c>
      <c r="G23" s="15" t="n"/>
      <c r="H23" s="15" t="n"/>
      <c r="I23" s="15" t="n"/>
      <c r="J23" s="15" t="n"/>
      <c r="K23" s="17">
        <f>IF($A23="","",IFERROR(VLOOKUP($A23,祝日リスト!$A$2:$C$40,3,0),""))</f>
        <v/>
      </c>
      <c r="L23" s="18" t="n"/>
      <c r="M23" s="19">
        <f>IF($A23="","",IF($K23&lt;&gt;"","祝",IF(WEEKDAY($A23,2)=6,"土",IF(WEEKDAY($A23,2)=7,"日","平"))))</f>
        <v/>
      </c>
      <c r="N23" s="19">
        <f>IF(NOT(ISNUMBER($C23)),"",IF($C23&lt;1,$C23,(INT($C23/100)*60+MOD($C23,100))/1440))</f>
        <v/>
      </c>
      <c r="O23" s="19">
        <f>IF(NOT(ISNUMBER($D23)),"",IF($D23&lt;1,$D23,(INT($D23/100)*60+MOD($D23,100))/1440))</f>
        <v/>
      </c>
      <c r="P23" s="19">
        <f>IF(NOT(ISNUMBER($E23)),"",IF($E23&lt;1,$E23,(INT($E23/100)*60+MOD($E23,100))/1440))</f>
        <v/>
      </c>
      <c r="Q23" s="19">
        <f>IF(NOT(ISNUMBER($G23)),"",IF($G23&lt;1,$G23,(INT($G23/100)*60+MOD($G23,100))/1440))</f>
        <v/>
      </c>
      <c r="R23" s="19">
        <f>IF(NOT(ISNUMBER($H23)),"",IF($H23&lt;1,$H23,(INT($H23/100)*60+MOD($H23,100))/1440))</f>
        <v/>
      </c>
      <c r="S23" s="19">
        <f>IF(NOT(ISNUMBER($I23)),"",IF($I23&lt;1,$I23,(INT($I23/100)*60+MOD($I23,100))/1440))</f>
        <v/>
      </c>
      <c r="T23" s="19">
        <f>IF(NOT(ISNUMBER($J23)),"",IF($J23&lt;1,$J23,(INT($J23/100)*60+MOD($J23,100))/1440))</f>
        <v/>
      </c>
    </row>
    <row r="24" ht="19" customHeight="1">
      <c r="A24" s="13">
        <f>IF(A23="","",IF(MONTH(A23+1)=$D$4,A23+1,""))</f>
        <v/>
      </c>
      <c r="B24" s="14">
        <f>IF($A24="","",CHOOSE(WEEKDAY($A24,2),"月","火","水","木","金","土","日"))</f>
        <v/>
      </c>
      <c r="C24" s="15" t="n"/>
      <c r="D24" s="15" t="n"/>
      <c r="E24" s="15" t="n"/>
      <c r="F24" s="16">
        <f>IF(OR($N24="",$O24=""),"",MAX(0,MOD($O24-$N24,1)-IF($P24&lt;&gt;"",$P24,IF(MOD($O24-$N24,1)&gt;設定!$E$8,設定!$E$7,0))))</f>
        <v/>
      </c>
      <c r="G24" s="15" t="n"/>
      <c r="H24" s="15" t="n"/>
      <c r="I24" s="15" t="n"/>
      <c r="J24" s="15" t="n"/>
      <c r="K24" s="17">
        <f>IF($A24="","",IFERROR(VLOOKUP($A24,祝日リスト!$A$2:$C$40,3,0),""))</f>
        <v/>
      </c>
      <c r="L24" s="18" t="n"/>
      <c r="M24" s="19">
        <f>IF($A24="","",IF($K24&lt;&gt;"","祝",IF(WEEKDAY($A24,2)=6,"土",IF(WEEKDAY($A24,2)=7,"日","平"))))</f>
        <v/>
      </c>
      <c r="N24" s="19">
        <f>IF(NOT(ISNUMBER($C24)),"",IF($C24&lt;1,$C24,(INT($C24/100)*60+MOD($C24,100))/1440))</f>
        <v/>
      </c>
      <c r="O24" s="19">
        <f>IF(NOT(ISNUMBER($D24)),"",IF($D24&lt;1,$D24,(INT($D24/100)*60+MOD($D24,100))/1440))</f>
        <v/>
      </c>
      <c r="P24" s="19">
        <f>IF(NOT(ISNUMBER($E24)),"",IF($E24&lt;1,$E24,(INT($E24/100)*60+MOD($E24,100))/1440))</f>
        <v/>
      </c>
      <c r="Q24" s="19">
        <f>IF(NOT(ISNUMBER($G24)),"",IF($G24&lt;1,$G24,(INT($G24/100)*60+MOD($G24,100))/1440))</f>
        <v/>
      </c>
      <c r="R24" s="19">
        <f>IF(NOT(ISNUMBER($H24)),"",IF($H24&lt;1,$H24,(INT($H24/100)*60+MOD($H24,100))/1440))</f>
        <v/>
      </c>
      <c r="S24" s="19">
        <f>IF(NOT(ISNUMBER($I24)),"",IF($I24&lt;1,$I24,(INT($I24/100)*60+MOD($I24,100))/1440))</f>
        <v/>
      </c>
      <c r="T24" s="19">
        <f>IF(NOT(ISNUMBER($J24)),"",IF($J24&lt;1,$J24,(INT($J24/100)*60+MOD($J24,100))/1440))</f>
        <v/>
      </c>
    </row>
    <row r="25" ht="19" customHeight="1">
      <c r="A25" s="13">
        <f>IF(A24="","",IF(MONTH(A24+1)=$D$4,A24+1,""))</f>
        <v/>
      </c>
      <c r="B25" s="14">
        <f>IF($A25="","",CHOOSE(WEEKDAY($A25,2),"月","火","水","木","金","土","日"))</f>
        <v/>
      </c>
      <c r="C25" s="15" t="n"/>
      <c r="D25" s="15" t="n"/>
      <c r="E25" s="15" t="n"/>
      <c r="F25" s="16">
        <f>IF(OR($N25="",$O25=""),"",MAX(0,MOD($O25-$N25,1)-IF($P25&lt;&gt;"",$P25,IF(MOD($O25-$N25,1)&gt;設定!$E$8,設定!$E$7,0))))</f>
        <v/>
      </c>
      <c r="G25" s="15" t="n"/>
      <c r="H25" s="15" t="n"/>
      <c r="I25" s="15" t="n"/>
      <c r="J25" s="15" t="n"/>
      <c r="K25" s="17">
        <f>IF($A25="","",IFERROR(VLOOKUP($A25,祝日リスト!$A$2:$C$40,3,0),""))</f>
        <v/>
      </c>
      <c r="L25" s="18" t="n"/>
      <c r="M25" s="19">
        <f>IF($A25="","",IF($K25&lt;&gt;"","祝",IF(WEEKDAY($A25,2)=6,"土",IF(WEEKDAY($A25,2)=7,"日","平"))))</f>
        <v/>
      </c>
      <c r="N25" s="19">
        <f>IF(NOT(ISNUMBER($C25)),"",IF($C25&lt;1,$C25,(INT($C25/100)*60+MOD($C25,100))/1440))</f>
        <v/>
      </c>
      <c r="O25" s="19">
        <f>IF(NOT(ISNUMBER($D25)),"",IF($D25&lt;1,$D25,(INT($D25/100)*60+MOD($D25,100))/1440))</f>
        <v/>
      </c>
      <c r="P25" s="19">
        <f>IF(NOT(ISNUMBER($E25)),"",IF($E25&lt;1,$E25,(INT($E25/100)*60+MOD($E25,100))/1440))</f>
        <v/>
      </c>
      <c r="Q25" s="19">
        <f>IF(NOT(ISNUMBER($G25)),"",IF($G25&lt;1,$G25,(INT($G25/100)*60+MOD($G25,100))/1440))</f>
        <v/>
      </c>
      <c r="R25" s="19">
        <f>IF(NOT(ISNUMBER($H25)),"",IF($H25&lt;1,$H25,(INT($H25/100)*60+MOD($H25,100))/1440))</f>
        <v/>
      </c>
      <c r="S25" s="19">
        <f>IF(NOT(ISNUMBER($I25)),"",IF($I25&lt;1,$I25,(INT($I25/100)*60+MOD($I25,100))/1440))</f>
        <v/>
      </c>
      <c r="T25" s="19">
        <f>IF(NOT(ISNUMBER($J25)),"",IF($J25&lt;1,$J25,(INT($J25/100)*60+MOD($J25,100))/1440))</f>
        <v/>
      </c>
    </row>
    <row r="26" ht="19" customHeight="1">
      <c r="A26" s="13">
        <f>IF(A25="","",IF(MONTH(A25+1)=$D$4,A25+1,""))</f>
        <v/>
      </c>
      <c r="B26" s="14">
        <f>IF($A26="","",CHOOSE(WEEKDAY($A26,2),"月","火","水","木","金","土","日"))</f>
        <v/>
      </c>
      <c r="C26" s="15" t="n"/>
      <c r="D26" s="15" t="n"/>
      <c r="E26" s="15" t="n"/>
      <c r="F26" s="16">
        <f>IF(OR($N26="",$O26=""),"",MAX(0,MOD($O26-$N26,1)-IF($P26&lt;&gt;"",$P26,IF(MOD($O26-$N26,1)&gt;設定!$E$8,設定!$E$7,0))))</f>
        <v/>
      </c>
      <c r="G26" s="15" t="n"/>
      <c r="H26" s="15" t="n"/>
      <c r="I26" s="15" t="n"/>
      <c r="J26" s="15" t="n"/>
      <c r="K26" s="17">
        <f>IF($A26="","",IFERROR(VLOOKUP($A26,祝日リスト!$A$2:$C$40,3,0),""))</f>
        <v/>
      </c>
      <c r="L26" s="18" t="n"/>
      <c r="M26" s="19">
        <f>IF($A26="","",IF($K26&lt;&gt;"","祝",IF(WEEKDAY($A26,2)=6,"土",IF(WEEKDAY($A26,2)=7,"日","平"))))</f>
        <v/>
      </c>
      <c r="N26" s="19">
        <f>IF(NOT(ISNUMBER($C26)),"",IF($C26&lt;1,$C26,(INT($C26/100)*60+MOD($C26,100))/1440))</f>
        <v/>
      </c>
      <c r="O26" s="19">
        <f>IF(NOT(ISNUMBER($D26)),"",IF($D26&lt;1,$D26,(INT($D26/100)*60+MOD($D26,100))/1440))</f>
        <v/>
      </c>
      <c r="P26" s="19">
        <f>IF(NOT(ISNUMBER($E26)),"",IF($E26&lt;1,$E26,(INT($E26/100)*60+MOD($E26,100))/1440))</f>
        <v/>
      </c>
      <c r="Q26" s="19">
        <f>IF(NOT(ISNUMBER($G26)),"",IF($G26&lt;1,$G26,(INT($G26/100)*60+MOD($G26,100))/1440))</f>
        <v/>
      </c>
      <c r="R26" s="19">
        <f>IF(NOT(ISNUMBER($H26)),"",IF($H26&lt;1,$H26,(INT($H26/100)*60+MOD($H26,100))/1440))</f>
        <v/>
      </c>
      <c r="S26" s="19">
        <f>IF(NOT(ISNUMBER($I26)),"",IF($I26&lt;1,$I26,(INT($I26/100)*60+MOD($I26,100))/1440))</f>
        <v/>
      </c>
      <c r="T26" s="19">
        <f>IF(NOT(ISNUMBER($J26)),"",IF($J26&lt;1,$J26,(INT($J26/100)*60+MOD($J26,100))/1440))</f>
        <v/>
      </c>
    </row>
    <row r="27" ht="19" customHeight="1">
      <c r="A27" s="13">
        <f>IF(A26="","",IF(MONTH(A26+1)=$D$4,A26+1,""))</f>
        <v/>
      </c>
      <c r="B27" s="14">
        <f>IF($A27="","",CHOOSE(WEEKDAY($A27,2),"月","火","水","木","金","土","日"))</f>
        <v/>
      </c>
      <c r="C27" s="15" t="n"/>
      <c r="D27" s="15" t="n"/>
      <c r="E27" s="15" t="n"/>
      <c r="F27" s="16">
        <f>IF(OR($N27="",$O27=""),"",MAX(0,MOD($O27-$N27,1)-IF($P27&lt;&gt;"",$P27,IF(MOD($O27-$N27,1)&gt;設定!$E$8,設定!$E$7,0))))</f>
        <v/>
      </c>
      <c r="G27" s="15" t="n"/>
      <c r="H27" s="15" t="n"/>
      <c r="I27" s="15" t="n"/>
      <c r="J27" s="15" t="n"/>
      <c r="K27" s="17">
        <f>IF($A27="","",IFERROR(VLOOKUP($A27,祝日リスト!$A$2:$C$40,3,0),""))</f>
        <v/>
      </c>
      <c r="L27" s="18" t="n"/>
      <c r="M27" s="19">
        <f>IF($A27="","",IF($K27&lt;&gt;"","祝",IF(WEEKDAY($A27,2)=6,"土",IF(WEEKDAY($A27,2)=7,"日","平"))))</f>
        <v/>
      </c>
      <c r="N27" s="19">
        <f>IF(NOT(ISNUMBER($C27)),"",IF($C27&lt;1,$C27,(INT($C27/100)*60+MOD($C27,100))/1440))</f>
        <v/>
      </c>
      <c r="O27" s="19">
        <f>IF(NOT(ISNUMBER($D27)),"",IF($D27&lt;1,$D27,(INT($D27/100)*60+MOD($D27,100))/1440))</f>
        <v/>
      </c>
      <c r="P27" s="19">
        <f>IF(NOT(ISNUMBER($E27)),"",IF($E27&lt;1,$E27,(INT($E27/100)*60+MOD($E27,100))/1440))</f>
        <v/>
      </c>
      <c r="Q27" s="19">
        <f>IF(NOT(ISNUMBER($G27)),"",IF($G27&lt;1,$G27,(INT($G27/100)*60+MOD($G27,100))/1440))</f>
        <v/>
      </c>
      <c r="R27" s="19">
        <f>IF(NOT(ISNUMBER($H27)),"",IF($H27&lt;1,$H27,(INT($H27/100)*60+MOD($H27,100))/1440))</f>
        <v/>
      </c>
      <c r="S27" s="19">
        <f>IF(NOT(ISNUMBER($I27)),"",IF($I27&lt;1,$I27,(INT($I27/100)*60+MOD($I27,100))/1440))</f>
        <v/>
      </c>
      <c r="T27" s="19">
        <f>IF(NOT(ISNUMBER($J27)),"",IF($J27&lt;1,$J27,(INT($J27/100)*60+MOD($J27,100))/1440))</f>
        <v/>
      </c>
    </row>
    <row r="28" ht="19" customHeight="1">
      <c r="A28" s="13">
        <f>IF(A27="","",IF(MONTH(A27+1)=$D$4,A27+1,""))</f>
        <v/>
      </c>
      <c r="B28" s="14">
        <f>IF($A28="","",CHOOSE(WEEKDAY($A28,2),"月","火","水","木","金","土","日"))</f>
        <v/>
      </c>
      <c r="C28" s="15" t="n"/>
      <c r="D28" s="15" t="n"/>
      <c r="E28" s="15" t="n"/>
      <c r="F28" s="16">
        <f>IF(OR($N28="",$O28=""),"",MAX(0,MOD($O28-$N28,1)-IF($P28&lt;&gt;"",$P28,IF(MOD($O28-$N28,1)&gt;設定!$E$8,設定!$E$7,0))))</f>
        <v/>
      </c>
      <c r="G28" s="15" t="n"/>
      <c r="H28" s="15" t="n"/>
      <c r="I28" s="15" t="n"/>
      <c r="J28" s="15" t="n"/>
      <c r="K28" s="17">
        <f>IF($A28="","",IFERROR(VLOOKUP($A28,祝日リスト!$A$2:$C$40,3,0),""))</f>
        <v/>
      </c>
      <c r="L28" s="18" t="n"/>
      <c r="M28" s="19">
        <f>IF($A28="","",IF($K28&lt;&gt;"","祝",IF(WEEKDAY($A28,2)=6,"土",IF(WEEKDAY($A28,2)=7,"日","平"))))</f>
        <v/>
      </c>
      <c r="N28" s="19">
        <f>IF(NOT(ISNUMBER($C28)),"",IF($C28&lt;1,$C28,(INT($C28/100)*60+MOD($C28,100))/1440))</f>
        <v/>
      </c>
      <c r="O28" s="19">
        <f>IF(NOT(ISNUMBER($D28)),"",IF($D28&lt;1,$D28,(INT($D28/100)*60+MOD($D28,100))/1440))</f>
        <v/>
      </c>
      <c r="P28" s="19">
        <f>IF(NOT(ISNUMBER($E28)),"",IF($E28&lt;1,$E28,(INT($E28/100)*60+MOD($E28,100))/1440))</f>
        <v/>
      </c>
      <c r="Q28" s="19">
        <f>IF(NOT(ISNUMBER($G28)),"",IF($G28&lt;1,$G28,(INT($G28/100)*60+MOD($G28,100))/1440))</f>
        <v/>
      </c>
      <c r="R28" s="19">
        <f>IF(NOT(ISNUMBER($H28)),"",IF($H28&lt;1,$H28,(INT($H28/100)*60+MOD($H28,100))/1440))</f>
        <v/>
      </c>
      <c r="S28" s="19">
        <f>IF(NOT(ISNUMBER($I28)),"",IF($I28&lt;1,$I28,(INT($I28/100)*60+MOD($I28,100))/1440))</f>
        <v/>
      </c>
      <c r="T28" s="19">
        <f>IF(NOT(ISNUMBER($J28)),"",IF($J28&lt;1,$J28,(INT($J28/100)*60+MOD($J28,100))/1440))</f>
        <v/>
      </c>
    </row>
    <row r="29" ht="19" customHeight="1">
      <c r="A29" s="13">
        <f>IF(A28="","",IF(MONTH(A28+1)=$D$4,A28+1,""))</f>
        <v/>
      </c>
      <c r="B29" s="14">
        <f>IF($A29="","",CHOOSE(WEEKDAY($A29,2),"月","火","水","木","金","土","日"))</f>
        <v/>
      </c>
      <c r="C29" s="15" t="n"/>
      <c r="D29" s="15" t="n"/>
      <c r="E29" s="15" t="n"/>
      <c r="F29" s="16">
        <f>IF(OR($N29="",$O29=""),"",MAX(0,MOD($O29-$N29,1)-IF($P29&lt;&gt;"",$P29,IF(MOD($O29-$N29,1)&gt;設定!$E$8,設定!$E$7,0))))</f>
        <v/>
      </c>
      <c r="G29" s="15" t="n"/>
      <c r="H29" s="15" t="n"/>
      <c r="I29" s="15" t="n"/>
      <c r="J29" s="15" t="n"/>
      <c r="K29" s="17">
        <f>IF($A29="","",IFERROR(VLOOKUP($A29,祝日リスト!$A$2:$C$40,3,0),""))</f>
        <v/>
      </c>
      <c r="L29" s="18" t="n"/>
      <c r="M29" s="19">
        <f>IF($A29="","",IF($K29&lt;&gt;"","祝",IF(WEEKDAY($A29,2)=6,"土",IF(WEEKDAY($A29,2)=7,"日","平"))))</f>
        <v/>
      </c>
      <c r="N29" s="19">
        <f>IF(NOT(ISNUMBER($C29)),"",IF($C29&lt;1,$C29,(INT($C29/100)*60+MOD($C29,100))/1440))</f>
        <v/>
      </c>
      <c r="O29" s="19">
        <f>IF(NOT(ISNUMBER($D29)),"",IF($D29&lt;1,$D29,(INT($D29/100)*60+MOD($D29,100))/1440))</f>
        <v/>
      </c>
      <c r="P29" s="19">
        <f>IF(NOT(ISNUMBER($E29)),"",IF($E29&lt;1,$E29,(INT($E29/100)*60+MOD($E29,100))/1440))</f>
        <v/>
      </c>
      <c r="Q29" s="19">
        <f>IF(NOT(ISNUMBER($G29)),"",IF($G29&lt;1,$G29,(INT($G29/100)*60+MOD($G29,100))/1440))</f>
        <v/>
      </c>
      <c r="R29" s="19">
        <f>IF(NOT(ISNUMBER($H29)),"",IF($H29&lt;1,$H29,(INT($H29/100)*60+MOD($H29,100))/1440))</f>
        <v/>
      </c>
      <c r="S29" s="19">
        <f>IF(NOT(ISNUMBER($I29)),"",IF($I29&lt;1,$I29,(INT($I29/100)*60+MOD($I29,100))/1440))</f>
        <v/>
      </c>
      <c r="T29" s="19">
        <f>IF(NOT(ISNUMBER($J29)),"",IF($J29&lt;1,$J29,(INT($J29/100)*60+MOD($J29,100))/1440))</f>
        <v/>
      </c>
    </row>
    <row r="30" ht="19" customHeight="1">
      <c r="A30" s="13">
        <f>IF(A29="","",IF(MONTH(A29+1)=$D$4,A29+1,""))</f>
        <v/>
      </c>
      <c r="B30" s="14">
        <f>IF($A30="","",CHOOSE(WEEKDAY($A30,2),"月","火","水","木","金","土","日"))</f>
        <v/>
      </c>
      <c r="C30" s="15" t="n"/>
      <c r="D30" s="15" t="n"/>
      <c r="E30" s="15" t="n"/>
      <c r="F30" s="16">
        <f>IF(OR($N30="",$O30=""),"",MAX(0,MOD($O30-$N30,1)-IF($P30&lt;&gt;"",$P30,IF(MOD($O30-$N30,1)&gt;設定!$E$8,設定!$E$7,0))))</f>
        <v/>
      </c>
      <c r="G30" s="15" t="n"/>
      <c r="H30" s="15" t="n"/>
      <c r="I30" s="15" t="n"/>
      <c r="J30" s="15" t="n"/>
      <c r="K30" s="17">
        <f>IF($A30="","",IFERROR(VLOOKUP($A30,祝日リスト!$A$2:$C$40,3,0),""))</f>
        <v/>
      </c>
      <c r="L30" s="18" t="n"/>
      <c r="M30" s="19">
        <f>IF($A30="","",IF($K30&lt;&gt;"","祝",IF(WEEKDAY($A30,2)=6,"土",IF(WEEKDAY($A30,2)=7,"日","平"))))</f>
        <v/>
      </c>
      <c r="N30" s="19">
        <f>IF(NOT(ISNUMBER($C30)),"",IF($C30&lt;1,$C30,(INT($C30/100)*60+MOD($C30,100))/1440))</f>
        <v/>
      </c>
      <c r="O30" s="19">
        <f>IF(NOT(ISNUMBER($D30)),"",IF($D30&lt;1,$D30,(INT($D30/100)*60+MOD($D30,100))/1440))</f>
        <v/>
      </c>
      <c r="P30" s="19">
        <f>IF(NOT(ISNUMBER($E30)),"",IF($E30&lt;1,$E30,(INT($E30/100)*60+MOD($E30,100))/1440))</f>
        <v/>
      </c>
      <c r="Q30" s="19">
        <f>IF(NOT(ISNUMBER($G30)),"",IF($G30&lt;1,$G30,(INT($G30/100)*60+MOD($G30,100))/1440))</f>
        <v/>
      </c>
      <c r="R30" s="19">
        <f>IF(NOT(ISNUMBER($H30)),"",IF($H30&lt;1,$H30,(INT($H30/100)*60+MOD($H30,100))/1440))</f>
        <v/>
      </c>
      <c r="S30" s="19">
        <f>IF(NOT(ISNUMBER($I30)),"",IF($I30&lt;1,$I30,(INT($I30/100)*60+MOD($I30,100))/1440))</f>
        <v/>
      </c>
      <c r="T30" s="19">
        <f>IF(NOT(ISNUMBER($J30)),"",IF($J30&lt;1,$J30,(INT($J30/100)*60+MOD($J30,100))/1440))</f>
        <v/>
      </c>
    </row>
    <row r="31" ht="19" customHeight="1">
      <c r="A31" s="13">
        <f>IF(A30="","",IF(MONTH(A30+1)=$D$4,A30+1,""))</f>
        <v/>
      </c>
      <c r="B31" s="14">
        <f>IF($A31="","",CHOOSE(WEEKDAY($A31,2),"月","火","水","木","金","土","日"))</f>
        <v/>
      </c>
      <c r="C31" s="15" t="n"/>
      <c r="D31" s="15" t="n"/>
      <c r="E31" s="15" t="n"/>
      <c r="F31" s="16">
        <f>IF(OR($N31="",$O31=""),"",MAX(0,MOD($O31-$N31,1)-IF($P31&lt;&gt;"",$P31,IF(MOD($O31-$N31,1)&gt;設定!$E$8,設定!$E$7,0))))</f>
        <v/>
      </c>
      <c r="G31" s="15" t="n"/>
      <c r="H31" s="15" t="n"/>
      <c r="I31" s="15" t="n"/>
      <c r="J31" s="15" t="n"/>
      <c r="K31" s="17">
        <f>IF($A31="","",IFERROR(VLOOKUP($A31,祝日リスト!$A$2:$C$40,3,0),""))</f>
        <v/>
      </c>
      <c r="L31" s="18" t="n"/>
      <c r="M31" s="19">
        <f>IF($A31="","",IF($K31&lt;&gt;"","祝",IF(WEEKDAY($A31,2)=6,"土",IF(WEEKDAY($A31,2)=7,"日","平"))))</f>
        <v/>
      </c>
      <c r="N31" s="19">
        <f>IF(NOT(ISNUMBER($C31)),"",IF($C31&lt;1,$C31,(INT($C31/100)*60+MOD($C31,100))/1440))</f>
        <v/>
      </c>
      <c r="O31" s="19">
        <f>IF(NOT(ISNUMBER($D31)),"",IF($D31&lt;1,$D31,(INT($D31/100)*60+MOD($D31,100))/1440))</f>
        <v/>
      </c>
      <c r="P31" s="19">
        <f>IF(NOT(ISNUMBER($E31)),"",IF($E31&lt;1,$E31,(INT($E31/100)*60+MOD($E31,100))/1440))</f>
        <v/>
      </c>
      <c r="Q31" s="19">
        <f>IF(NOT(ISNUMBER($G31)),"",IF($G31&lt;1,$G31,(INT($G31/100)*60+MOD($G31,100))/1440))</f>
        <v/>
      </c>
      <c r="R31" s="19">
        <f>IF(NOT(ISNUMBER($H31)),"",IF($H31&lt;1,$H31,(INT($H31/100)*60+MOD($H31,100))/1440))</f>
        <v/>
      </c>
      <c r="S31" s="19">
        <f>IF(NOT(ISNUMBER($I31)),"",IF($I31&lt;1,$I31,(INT($I31/100)*60+MOD($I31,100))/1440))</f>
        <v/>
      </c>
      <c r="T31" s="19">
        <f>IF(NOT(ISNUMBER($J31)),"",IF($J31&lt;1,$J31,(INT($J31/100)*60+MOD($J31,100))/1440))</f>
        <v/>
      </c>
    </row>
    <row r="32" ht="19" customHeight="1">
      <c r="A32" s="13">
        <f>IF(A31="","",IF(MONTH(A31+1)=$D$4,A31+1,""))</f>
        <v/>
      </c>
      <c r="B32" s="14">
        <f>IF($A32="","",CHOOSE(WEEKDAY($A32,2),"月","火","水","木","金","土","日"))</f>
        <v/>
      </c>
      <c r="C32" s="15" t="n"/>
      <c r="D32" s="15" t="n"/>
      <c r="E32" s="15" t="n"/>
      <c r="F32" s="16">
        <f>IF(OR($N32="",$O32=""),"",MAX(0,MOD($O32-$N32,1)-IF($P32&lt;&gt;"",$P32,IF(MOD($O32-$N32,1)&gt;設定!$E$8,設定!$E$7,0))))</f>
        <v/>
      </c>
      <c r="G32" s="15" t="n"/>
      <c r="H32" s="15" t="n"/>
      <c r="I32" s="15" t="n"/>
      <c r="J32" s="15" t="n"/>
      <c r="K32" s="17">
        <f>IF($A32="","",IFERROR(VLOOKUP($A32,祝日リスト!$A$2:$C$40,3,0),""))</f>
        <v/>
      </c>
      <c r="L32" s="18" t="n"/>
      <c r="M32" s="19">
        <f>IF($A32="","",IF($K32&lt;&gt;"","祝",IF(WEEKDAY($A32,2)=6,"土",IF(WEEKDAY($A32,2)=7,"日","平"))))</f>
        <v/>
      </c>
      <c r="N32" s="19">
        <f>IF(NOT(ISNUMBER($C32)),"",IF($C32&lt;1,$C32,(INT($C32/100)*60+MOD($C32,100))/1440))</f>
        <v/>
      </c>
      <c r="O32" s="19">
        <f>IF(NOT(ISNUMBER($D32)),"",IF($D32&lt;1,$D32,(INT($D32/100)*60+MOD($D32,100))/1440))</f>
        <v/>
      </c>
      <c r="P32" s="19">
        <f>IF(NOT(ISNUMBER($E32)),"",IF($E32&lt;1,$E32,(INT($E32/100)*60+MOD($E32,100))/1440))</f>
        <v/>
      </c>
      <c r="Q32" s="19">
        <f>IF(NOT(ISNUMBER($G32)),"",IF($G32&lt;1,$G32,(INT($G32/100)*60+MOD($G32,100))/1440))</f>
        <v/>
      </c>
      <c r="R32" s="19">
        <f>IF(NOT(ISNUMBER($H32)),"",IF($H32&lt;1,$H32,(INT($H32/100)*60+MOD($H32,100))/1440))</f>
        <v/>
      </c>
      <c r="S32" s="19">
        <f>IF(NOT(ISNUMBER($I32)),"",IF($I32&lt;1,$I32,(INT($I32/100)*60+MOD($I32,100))/1440))</f>
        <v/>
      </c>
      <c r="T32" s="19">
        <f>IF(NOT(ISNUMBER($J32)),"",IF($J32&lt;1,$J32,(INT($J32/100)*60+MOD($J32,100))/1440))</f>
        <v/>
      </c>
    </row>
    <row r="33" ht="19" customHeight="1">
      <c r="A33" s="13">
        <f>IF(A32="","",IF(MONTH(A32+1)=$D$4,A32+1,""))</f>
        <v/>
      </c>
      <c r="B33" s="14">
        <f>IF($A33="","",CHOOSE(WEEKDAY($A33,2),"月","火","水","木","金","土","日"))</f>
        <v/>
      </c>
      <c r="C33" s="15" t="n"/>
      <c r="D33" s="15" t="n"/>
      <c r="E33" s="15" t="n"/>
      <c r="F33" s="16">
        <f>IF(OR($N33="",$O33=""),"",MAX(0,MOD($O33-$N33,1)-IF($P33&lt;&gt;"",$P33,IF(MOD($O33-$N33,1)&gt;設定!$E$8,設定!$E$7,0))))</f>
        <v/>
      </c>
      <c r="G33" s="15" t="n"/>
      <c r="H33" s="15" t="n"/>
      <c r="I33" s="15" t="n"/>
      <c r="J33" s="15" t="n"/>
      <c r="K33" s="17">
        <f>IF($A33="","",IFERROR(VLOOKUP($A33,祝日リスト!$A$2:$C$40,3,0),""))</f>
        <v/>
      </c>
      <c r="L33" s="18" t="n"/>
      <c r="M33" s="19">
        <f>IF($A33="","",IF($K33&lt;&gt;"","祝",IF(WEEKDAY($A33,2)=6,"土",IF(WEEKDAY($A33,2)=7,"日","平"))))</f>
        <v/>
      </c>
      <c r="N33" s="19">
        <f>IF(NOT(ISNUMBER($C33)),"",IF($C33&lt;1,$C33,(INT($C33/100)*60+MOD($C33,100))/1440))</f>
        <v/>
      </c>
      <c r="O33" s="19">
        <f>IF(NOT(ISNUMBER($D33)),"",IF($D33&lt;1,$D33,(INT($D33/100)*60+MOD($D33,100))/1440))</f>
        <v/>
      </c>
      <c r="P33" s="19">
        <f>IF(NOT(ISNUMBER($E33)),"",IF($E33&lt;1,$E33,(INT($E33/100)*60+MOD($E33,100))/1440))</f>
        <v/>
      </c>
      <c r="Q33" s="19">
        <f>IF(NOT(ISNUMBER($G33)),"",IF($G33&lt;1,$G33,(INT($G33/100)*60+MOD($G33,100))/1440))</f>
        <v/>
      </c>
      <c r="R33" s="19">
        <f>IF(NOT(ISNUMBER($H33)),"",IF($H33&lt;1,$H33,(INT($H33/100)*60+MOD($H33,100))/1440))</f>
        <v/>
      </c>
      <c r="S33" s="19">
        <f>IF(NOT(ISNUMBER($I33)),"",IF($I33&lt;1,$I33,(INT($I33/100)*60+MOD($I33,100))/1440))</f>
        <v/>
      </c>
      <c r="T33" s="19">
        <f>IF(NOT(ISNUMBER($J33)),"",IF($J33&lt;1,$J33,(INT($J33/100)*60+MOD($J33,100))/1440))</f>
        <v/>
      </c>
    </row>
    <row r="34" ht="19" customHeight="1">
      <c r="A34" s="13">
        <f>IF(A33="","",IF(MONTH(A33+1)=$D$4,A33+1,""))</f>
        <v/>
      </c>
      <c r="B34" s="14">
        <f>IF($A34="","",CHOOSE(WEEKDAY($A34,2),"月","火","水","木","金","土","日"))</f>
        <v/>
      </c>
      <c r="C34" s="15" t="n"/>
      <c r="D34" s="15" t="n"/>
      <c r="E34" s="15" t="n"/>
      <c r="F34" s="16">
        <f>IF(OR($N34="",$O34=""),"",MAX(0,MOD($O34-$N34,1)-IF($P34&lt;&gt;"",$P34,IF(MOD($O34-$N34,1)&gt;設定!$E$8,設定!$E$7,0))))</f>
        <v/>
      </c>
      <c r="G34" s="15" t="n"/>
      <c r="H34" s="15" t="n"/>
      <c r="I34" s="15" t="n"/>
      <c r="J34" s="15" t="n"/>
      <c r="K34" s="17">
        <f>IF($A34="","",IFERROR(VLOOKUP($A34,祝日リスト!$A$2:$C$40,3,0),""))</f>
        <v/>
      </c>
      <c r="L34" s="18" t="n"/>
      <c r="M34" s="19">
        <f>IF($A34="","",IF($K34&lt;&gt;"","祝",IF(WEEKDAY($A34,2)=6,"土",IF(WEEKDAY($A34,2)=7,"日","平"))))</f>
        <v/>
      </c>
      <c r="N34" s="19">
        <f>IF(NOT(ISNUMBER($C34)),"",IF($C34&lt;1,$C34,(INT($C34/100)*60+MOD($C34,100))/1440))</f>
        <v/>
      </c>
      <c r="O34" s="19">
        <f>IF(NOT(ISNUMBER($D34)),"",IF($D34&lt;1,$D34,(INT($D34/100)*60+MOD($D34,100))/1440))</f>
        <v/>
      </c>
      <c r="P34" s="19">
        <f>IF(NOT(ISNUMBER($E34)),"",IF($E34&lt;1,$E34,(INT($E34/100)*60+MOD($E34,100))/1440))</f>
        <v/>
      </c>
      <c r="Q34" s="19">
        <f>IF(NOT(ISNUMBER($G34)),"",IF($G34&lt;1,$G34,(INT($G34/100)*60+MOD($G34,100))/1440))</f>
        <v/>
      </c>
      <c r="R34" s="19">
        <f>IF(NOT(ISNUMBER($H34)),"",IF($H34&lt;1,$H34,(INT($H34/100)*60+MOD($H34,100))/1440))</f>
        <v/>
      </c>
      <c r="S34" s="19">
        <f>IF(NOT(ISNUMBER($I34)),"",IF($I34&lt;1,$I34,(INT($I34/100)*60+MOD($I34,100))/1440))</f>
        <v/>
      </c>
      <c r="T34" s="19">
        <f>IF(NOT(ISNUMBER($J34)),"",IF($J34&lt;1,$J34,(INT($J34/100)*60+MOD($J34,100))/1440))</f>
        <v/>
      </c>
    </row>
    <row r="35" ht="19" customHeight="1">
      <c r="A35" s="13">
        <f>IF(A34="","",IF(MONTH(A34+1)=$D$4,A34+1,""))</f>
        <v/>
      </c>
      <c r="B35" s="14">
        <f>IF($A35="","",CHOOSE(WEEKDAY($A35,2),"月","火","水","木","金","土","日"))</f>
        <v/>
      </c>
      <c r="C35" s="15" t="n"/>
      <c r="D35" s="15" t="n"/>
      <c r="E35" s="15" t="n"/>
      <c r="F35" s="16">
        <f>IF(OR($N35="",$O35=""),"",MAX(0,MOD($O35-$N35,1)-IF($P35&lt;&gt;"",$P35,IF(MOD($O35-$N35,1)&gt;設定!$E$8,設定!$E$7,0))))</f>
        <v/>
      </c>
      <c r="G35" s="15" t="n"/>
      <c r="H35" s="15" t="n"/>
      <c r="I35" s="15" t="n"/>
      <c r="J35" s="15" t="n"/>
      <c r="K35" s="17">
        <f>IF($A35="","",IFERROR(VLOOKUP($A35,祝日リスト!$A$2:$C$40,3,0),""))</f>
        <v/>
      </c>
      <c r="L35" s="18" t="n"/>
      <c r="M35" s="19">
        <f>IF($A35="","",IF($K35&lt;&gt;"","祝",IF(WEEKDAY($A35,2)=6,"土",IF(WEEKDAY($A35,2)=7,"日","平"))))</f>
        <v/>
      </c>
      <c r="N35" s="19">
        <f>IF(NOT(ISNUMBER($C35)),"",IF($C35&lt;1,$C35,(INT($C35/100)*60+MOD($C35,100))/1440))</f>
        <v/>
      </c>
      <c r="O35" s="19">
        <f>IF(NOT(ISNUMBER($D35)),"",IF($D35&lt;1,$D35,(INT($D35/100)*60+MOD($D35,100))/1440))</f>
        <v/>
      </c>
      <c r="P35" s="19">
        <f>IF(NOT(ISNUMBER($E35)),"",IF($E35&lt;1,$E35,(INT($E35/100)*60+MOD($E35,100))/1440))</f>
        <v/>
      </c>
      <c r="Q35" s="19">
        <f>IF(NOT(ISNUMBER($G35)),"",IF($G35&lt;1,$G35,(INT($G35/100)*60+MOD($G35,100))/1440))</f>
        <v/>
      </c>
      <c r="R35" s="19">
        <f>IF(NOT(ISNUMBER($H35)),"",IF($H35&lt;1,$H35,(INT($H35/100)*60+MOD($H35,100))/1440))</f>
        <v/>
      </c>
      <c r="S35" s="19">
        <f>IF(NOT(ISNUMBER($I35)),"",IF($I35&lt;1,$I35,(INT($I35/100)*60+MOD($I35,100))/1440))</f>
        <v/>
      </c>
      <c r="T35" s="19">
        <f>IF(NOT(ISNUMBER($J35)),"",IF($J35&lt;1,$J35,(INT($J35/100)*60+MOD($J35,100))/1440))</f>
        <v/>
      </c>
    </row>
    <row r="36" ht="19" customHeight="1">
      <c r="A36" s="13">
        <f>IF(A35="","",IF(MONTH(A35+1)=$D$4,A35+1,""))</f>
        <v/>
      </c>
      <c r="B36" s="14">
        <f>IF($A36="","",CHOOSE(WEEKDAY($A36,2),"月","火","水","木","金","土","日"))</f>
        <v/>
      </c>
      <c r="C36" s="15" t="n"/>
      <c r="D36" s="15" t="n"/>
      <c r="E36" s="15" t="n"/>
      <c r="F36" s="16">
        <f>IF(OR($N36="",$O36=""),"",MAX(0,MOD($O36-$N36,1)-IF($P36&lt;&gt;"",$P36,IF(MOD($O36-$N36,1)&gt;設定!$E$8,設定!$E$7,0))))</f>
        <v/>
      </c>
      <c r="G36" s="15" t="n"/>
      <c r="H36" s="15" t="n"/>
      <c r="I36" s="15" t="n"/>
      <c r="J36" s="15" t="n"/>
      <c r="K36" s="17">
        <f>IF($A36="","",IFERROR(VLOOKUP($A36,祝日リスト!$A$2:$C$40,3,0),""))</f>
        <v/>
      </c>
      <c r="L36" s="18" t="n"/>
      <c r="M36" s="19">
        <f>IF($A36="","",IF($K36&lt;&gt;"","祝",IF(WEEKDAY($A36,2)=6,"土",IF(WEEKDAY($A36,2)=7,"日","平"))))</f>
        <v/>
      </c>
      <c r="N36" s="19">
        <f>IF(NOT(ISNUMBER($C36)),"",IF($C36&lt;1,$C36,(INT($C36/100)*60+MOD($C36,100))/1440))</f>
        <v/>
      </c>
      <c r="O36" s="19">
        <f>IF(NOT(ISNUMBER($D36)),"",IF($D36&lt;1,$D36,(INT($D36/100)*60+MOD($D36,100))/1440))</f>
        <v/>
      </c>
      <c r="P36" s="19">
        <f>IF(NOT(ISNUMBER($E36)),"",IF($E36&lt;1,$E36,(INT($E36/100)*60+MOD($E36,100))/1440))</f>
        <v/>
      </c>
      <c r="Q36" s="19">
        <f>IF(NOT(ISNUMBER($G36)),"",IF($G36&lt;1,$G36,(INT($G36/100)*60+MOD($G36,100))/1440))</f>
        <v/>
      </c>
      <c r="R36" s="19">
        <f>IF(NOT(ISNUMBER($H36)),"",IF($H36&lt;1,$H36,(INT($H36/100)*60+MOD($H36,100))/1440))</f>
        <v/>
      </c>
      <c r="S36" s="19">
        <f>IF(NOT(ISNUMBER($I36)),"",IF($I36&lt;1,$I36,(INT($I36/100)*60+MOD($I36,100))/1440))</f>
        <v/>
      </c>
      <c r="T36" s="19">
        <f>IF(NOT(ISNUMBER($J36)),"",IF($J36&lt;1,$J36,(INT($J36/100)*60+MOD($J36,100))/1440))</f>
        <v/>
      </c>
    </row>
    <row r="37" ht="19" customHeight="1">
      <c r="A37" s="13">
        <f>IF(A36="","",IF(MONTH(A36+1)=$D$4,A36+1,""))</f>
        <v/>
      </c>
      <c r="B37" s="14">
        <f>IF($A37="","",CHOOSE(WEEKDAY($A37,2),"月","火","水","木","金","土","日"))</f>
        <v/>
      </c>
      <c r="C37" s="15" t="n"/>
      <c r="D37" s="15" t="n"/>
      <c r="E37" s="15" t="n"/>
      <c r="F37" s="16">
        <f>IF(OR($N37="",$O37=""),"",MAX(0,MOD($O37-$N37,1)-IF($P37&lt;&gt;"",$P37,IF(MOD($O37-$N37,1)&gt;設定!$E$8,設定!$E$7,0))))</f>
        <v/>
      </c>
      <c r="G37" s="15" t="n"/>
      <c r="H37" s="15" t="n"/>
      <c r="I37" s="15" t="n"/>
      <c r="J37" s="15" t="n"/>
      <c r="K37" s="17">
        <f>IF($A37="","",IFERROR(VLOOKUP($A37,祝日リスト!$A$2:$C$40,3,0),""))</f>
        <v/>
      </c>
      <c r="L37" s="18" t="n"/>
      <c r="M37" s="19">
        <f>IF($A37="","",IF($K37&lt;&gt;"","祝",IF(WEEKDAY($A37,2)=6,"土",IF(WEEKDAY($A37,2)=7,"日","平"))))</f>
        <v/>
      </c>
      <c r="N37" s="19">
        <f>IF(NOT(ISNUMBER($C37)),"",IF($C37&lt;1,$C37,(INT($C37/100)*60+MOD($C37,100))/1440))</f>
        <v/>
      </c>
      <c r="O37" s="19">
        <f>IF(NOT(ISNUMBER($D37)),"",IF($D37&lt;1,$D37,(INT($D37/100)*60+MOD($D37,100))/1440))</f>
        <v/>
      </c>
      <c r="P37" s="19">
        <f>IF(NOT(ISNUMBER($E37)),"",IF($E37&lt;1,$E37,(INT($E37/100)*60+MOD($E37,100))/1440))</f>
        <v/>
      </c>
      <c r="Q37" s="19">
        <f>IF(NOT(ISNUMBER($G37)),"",IF($G37&lt;1,$G37,(INT($G37/100)*60+MOD($G37,100))/1440))</f>
        <v/>
      </c>
      <c r="R37" s="19">
        <f>IF(NOT(ISNUMBER($H37)),"",IF($H37&lt;1,$H37,(INT($H37/100)*60+MOD($H37,100))/1440))</f>
        <v/>
      </c>
      <c r="S37" s="19">
        <f>IF(NOT(ISNUMBER($I37)),"",IF($I37&lt;1,$I37,(INT($I37/100)*60+MOD($I37,100))/1440))</f>
        <v/>
      </c>
      <c r="T37" s="19">
        <f>IF(NOT(ISNUMBER($J37)),"",IF($J37&lt;1,$J37,(INT($J37/100)*60+MOD($J37,100))/1440))</f>
        <v/>
      </c>
    </row>
    <row r="38" ht="19" customHeight="1">
      <c r="A38" s="20">
        <f>IF(A37="","",IF(MONTH(A37+1)=$D$4,A37+1,""))</f>
        <v/>
      </c>
      <c r="B38" s="21">
        <f>IF($A38="","",CHOOSE(WEEKDAY($A38,2),"月","火","水","木","金","土","日"))</f>
        <v/>
      </c>
      <c r="C38" s="22" t="n"/>
      <c r="D38" s="22" t="n"/>
      <c r="E38" s="22" t="n"/>
      <c r="F38" s="23">
        <f>IF(OR($N38="",$O38=""),"",MAX(0,MOD($O38-$N38,1)-IF($P38&lt;&gt;"",$P38,IF(MOD($O38-$N38,1)&gt;設定!$E$8,設定!$E$7,0))))</f>
        <v/>
      </c>
      <c r="G38" s="22" t="n"/>
      <c r="H38" s="22" t="n"/>
      <c r="I38" s="22" t="n"/>
      <c r="J38" s="22" t="n"/>
      <c r="K38" s="24">
        <f>IF($A38="","",IFERROR(VLOOKUP($A38,祝日リスト!$A$2:$C$40,3,0),""))</f>
        <v/>
      </c>
      <c r="L38" s="25" t="n"/>
      <c r="M38" s="19">
        <f>IF($A38="","",IF($K38&lt;&gt;"","祝",IF(WEEKDAY($A38,2)=6,"土",IF(WEEKDAY($A38,2)=7,"日","平"))))</f>
        <v/>
      </c>
      <c r="N38" s="19">
        <f>IF(NOT(ISNUMBER($C38)),"",IF($C38&lt;1,$C38,(INT($C38/100)*60+MOD($C38,100))/1440))</f>
        <v/>
      </c>
      <c r="O38" s="19">
        <f>IF(NOT(ISNUMBER($D38)),"",IF($D38&lt;1,$D38,(INT($D38/100)*60+MOD($D38,100))/1440))</f>
        <v/>
      </c>
      <c r="P38" s="19">
        <f>IF(NOT(ISNUMBER($E38)),"",IF($E38&lt;1,$E38,(INT($E38/100)*60+MOD($E38,100))/1440))</f>
        <v/>
      </c>
      <c r="Q38" s="19">
        <f>IF(NOT(ISNUMBER($G38)),"",IF($G38&lt;1,$G38,(INT($G38/100)*60+MOD($G38,100))/1440))</f>
        <v/>
      </c>
      <c r="R38" s="19">
        <f>IF(NOT(ISNUMBER($H38)),"",IF($H38&lt;1,$H38,(INT($H38/100)*60+MOD($H38,100))/1440))</f>
        <v/>
      </c>
      <c r="S38" s="19">
        <f>IF(NOT(ISNUMBER($I38)),"",IF($I38&lt;1,$I38,(INT($I38/100)*60+MOD($I38,100))/1440))</f>
        <v/>
      </c>
      <c r="T38" s="19">
        <f>IF(NOT(ISNUMBER($J38)),"",IF($J38&lt;1,$J38,(INT($J38/100)*60+MOD($J38,100))/1440))</f>
        <v/>
      </c>
    </row>
    <row r="40" ht="20" customHeight="1">
      <c r="A40" s="26" t="inlineStr">
        <is>
          <t>月次集計</t>
        </is>
      </c>
    </row>
    <row r="41" ht="18" customHeight="1">
      <c r="A41" s="27" t="inlineStr">
        <is>
          <t>出勤日数</t>
        </is>
      </c>
      <c r="D41" s="28">
        <f>COUNT($N$8:$N$38)</f>
        <v/>
      </c>
      <c r="E41" s="29" t="inlineStr">
        <is>
          <t>日</t>
        </is>
      </c>
      <c r="G41" s="27" t="inlineStr">
        <is>
          <t>通常残業</t>
        </is>
      </c>
      <c r="K41" s="30">
        <f>SUM($Q$8:$Q$38)</f>
        <v/>
      </c>
    </row>
    <row r="42" ht="18" customHeight="1">
      <c r="A42" s="27" t="inlineStr">
        <is>
          <t>実働時間 合計</t>
        </is>
      </c>
      <c r="D42" s="30">
        <f>SUM($F$8:$F$38)</f>
        <v/>
      </c>
      <c r="G42" s="27" t="inlineStr">
        <is>
          <t>深夜残業</t>
        </is>
      </c>
      <c r="K42" s="30">
        <f>SUM($R$8:$R$38)</f>
        <v/>
      </c>
    </row>
    <row r="43" ht="18" customHeight="1">
      <c r="A43" s="31" t="inlineStr">
        <is>
          <t xml:space="preserve">　うち 平日</t>
        </is>
      </c>
      <c r="D43" s="30">
        <f>SUMIF($M$8:$M$38,"平",$F$8:$F$38)</f>
        <v/>
      </c>
      <c r="G43" s="27" t="inlineStr">
        <is>
          <t>早朝残業</t>
        </is>
      </c>
      <c r="K43" s="30">
        <f>SUM($S$8:$S$38)</f>
        <v/>
      </c>
    </row>
    <row r="44" ht="18" customHeight="1">
      <c r="A44" s="31" t="inlineStr">
        <is>
          <t xml:space="preserve">　うち 土曜</t>
        </is>
      </c>
      <c r="D44" s="30">
        <f>SUMIF($M$8:$M$38,"土",$F$8:$F$38)</f>
        <v/>
      </c>
      <c r="G44" s="27" t="inlineStr">
        <is>
          <t>遅刻・早退</t>
        </is>
      </c>
      <c r="K44" s="30">
        <f>SUM($T$8:$T$38)</f>
        <v/>
      </c>
    </row>
    <row r="45" ht="18" customHeight="1">
      <c r="A45" s="31" t="inlineStr">
        <is>
          <t xml:space="preserve">　うち 日曜・祝日</t>
        </is>
      </c>
      <c r="D45" s="30">
        <f>SUMIF($M$8:$M$38,"日",$F$8:$F$38)+SUMIF($M$8:$M$38,"祝",$F$8:$F$38)</f>
        <v/>
      </c>
      <c r="G45" s="27" t="inlineStr">
        <is>
          <t>所定超過(実働-所定×出勤日数)</t>
        </is>
      </c>
      <c r="K45" s="30">
        <f>MAX(0,SUM($F$8:$F$38)-設定!$E$6*COUNT($N$8:$N$38))</f>
        <v/>
      </c>
    </row>
    <row r="47">
      <c r="A47" s="11" t="inlineStr">
        <is>
          <t>※ 残業欄は実働時間の内数です。実働は「退勤－出勤－休憩」で自動計算されます。</t>
        </is>
      </c>
    </row>
    <row r="49" ht="30" customHeight="1">
      <c r="G49" s="9" t="inlineStr">
        <is>
          <t>承認</t>
        </is>
      </c>
      <c r="H49" s="32" t="n"/>
      <c r="J49" s="32" t="n"/>
    </row>
    <row r="50">
      <c r="H50" s="33" t="inlineStr">
        <is>
          <t>本人</t>
        </is>
      </c>
      <c r="J50" s="33" t="inlineStr">
        <is>
          <t>上長</t>
        </is>
      </c>
    </row>
  </sheetData>
  <mergeCells count="15">
    <mergeCell ref="G44:J44"/>
    <mergeCell ref="A42:C42"/>
    <mergeCell ref="A41:C41"/>
    <mergeCell ref="A44:C44"/>
    <mergeCell ref="A45:C45"/>
    <mergeCell ref="G43:J43"/>
    <mergeCell ref="H49:I49"/>
    <mergeCell ref="J49:K49"/>
    <mergeCell ref="A40:L40"/>
    <mergeCell ref="J4:L4"/>
    <mergeCell ref="A2:D2"/>
    <mergeCell ref="G41:J41"/>
    <mergeCell ref="A43:C43"/>
    <mergeCell ref="G45:J45"/>
    <mergeCell ref="G42:J42"/>
  </mergeCells>
  <conditionalFormatting sqref="A8:L38">
    <cfRule type="expression" priority="1" dxfId="0" stopIfTrue="1">
      <formula>$A8=""</formula>
    </cfRule>
    <cfRule type="expression" priority="2" dxfId="1">
      <formula>OR($M8="祝",$M8="日")</formula>
    </cfRule>
    <cfRule type="expression" priority="3" dxfId="2">
      <formula>$M8="土"</formula>
    </cfRule>
  </conditionalFormatting>
  <conditionalFormatting sqref="D8:D38">
    <cfRule type="expression" priority="4" dxfId="3">
      <formula>AND($N8&lt;&gt;"",$O8="")</formula>
    </cfRule>
  </conditionalFormatting>
  <conditionalFormatting sqref="C8:C38">
    <cfRule type="expression" priority="5" dxfId="3">
      <formula>AND($O8&lt;&gt;"",$N8="")</formula>
    </cfRule>
  </conditionalFormatting>
  <dataValidations count="2">
    <dataValidation sqref="L8:L38" showDropDown="0" showInputMessage="1" showErrorMessage="0" allowBlank="1" promptTitle="備考" prompt="選択、または自由入力できます" type="list">
      <formula1>"有給,半休,欠勤,遅刻,早退,休日出勤,振替休日,直行,直帰,出張,特別休暇"</formula1>
    </dataValidation>
    <dataValidation sqref="C8:C38 D8:D38 E8:E38 G8:G38 H8:H38 I8:I38 J8:J38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=OR(AND(C8&gt;=0,C8&lt;1),AND(C8=INT(C8),C8&lt;=2359,MOD(C8,100)&lt;60))</formula1>
    </dataValidation>
  </dataValidations>
  <pageMargins left="0.3" right="0.3" top="0.4" bottom="0.4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FF4472C4"/>
    <outlinePr summaryBelow="1" summaryRight="1"/>
    <pageSetUpPr fitToPage="1"/>
  </sheetPr>
  <dimension ref="A2:T5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.5" customWidth="1" min="1" max="1"/>
    <col width="4.5" customWidth="1" min="2" max="2"/>
    <col width="8.5" customWidth="1" min="3" max="3"/>
    <col width="8.5" customWidth="1" min="4" max="4"/>
    <col width="8" customWidth="1" min="5" max="5"/>
    <col width="8.5" customWidth="1" min="6" max="6"/>
    <col width="9" customWidth="1" min="7" max="7"/>
    <col width="9" customWidth="1" min="8" max="8"/>
    <col width="9" customWidth="1" min="9" max="9"/>
    <col width="10" customWidth="1" min="10" max="10"/>
    <col width="14" customWidth="1" min="11" max="11"/>
    <col width="26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2" ht="24" customHeight="1">
      <c r="A2" s="8">
        <f>設定!$B$4&amp;"　"&amp;設定!$B$3&amp;"年"&amp;9&amp;"月度 出勤簿"</f>
        <v/>
      </c>
    </row>
    <row r="4">
      <c r="A4" s="9" t="inlineStr">
        <is>
          <t>年</t>
        </is>
      </c>
      <c r="B4" s="10">
        <f>設定!$B$3</f>
        <v/>
      </c>
      <c r="C4" s="9" t="inlineStr">
        <is>
          <t>月</t>
        </is>
      </c>
      <c r="D4" s="10" t="n">
        <v>9</v>
      </c>
      <c r="G4" s="9" t="inlineStr">
        <is>
          <t>所属</t>
        </is>
      </c>
      <c r="H4" s="10">
        <f>設定!$B$5</f>
        <v/>
      </c>
      <c r="I4" s="9" t="inlineStr">
        <is>
          <t>氏名</t>
        </is>
      </c>
      <c r="J4" s="10">
        <f>設定!$B$4</f>
        <v/>
      </c>
    </row>
    <row r="5">
      <c r="A5" s="11" t="inlineStr">
        <is>
          <t>黄色のセルに入力してください（灰色は自動計算）。時刻は 930 のようにコロンなしで入力できます。</t>
        </is>
      </c>
    </row>
    <row r="7" ht="26" customHeight="1">
      <c r="A7" s="12" t="inlineStr">
        <is>
          <t>日</t>
        </is>
      </c>
      <c r="B7" s="12" t="inlineStr">
        <is>
          <t>曜</t>
        </is>
      </c>
      <c r="C7" s="12" t="inlineStr">
        <is>
          <t>出勤</t>
        </is>
      </c>
      <c r="D7" s="12" t="inlineStr">
        <is>
          <t>退勤</t>
        </is>
      </c>
      <c r="E7" s="12" t="inlineStr">
        <is>
          <t>休憩</t>
        </is>
      </c>
      <c r="F7" s="12" t="inlineStr">
        <is>
          <t>実働</t>
        </is>
      </c>
      <c r="G7" s="12" t="inlineStr">
        <is>
          <t>通常残業</t>
        </is>
      </c>
      <c r="H7" s="12" t="inlineStr">
        <is>
          <t>深夜残業</t>
        </is>
      </c>
      <c r="I7" s="12" t="inlineStr">
        <is>
          <t>早朝残業</t>
        </is>
      </c>
      <c r="J7" s="12" t="inlineStr">
        <is>
          <t>遅刻・早退</t>
        </is>
      </c>
      <c r="K7" s="12" t="inlineStr">
        <is>
          <t>祝日</t>
        </is>
      </c>
      <c r="L7" s="12" t="inlineStr">
        <is>
          <t>備考・理由</t>
        </is>
      </c>
    </row>
    <row r="8" ht="19" customHeight="1">
      <c r="A8" s="13">
        <f>DATE($B$4,$D$4,1)</f>
        <v/>
      </c>
      <c r="B8" s="14">
        <f>IF($A8="","",CHOOSE(WEEKDAY($A8,2),"月","火","水","木","金","土","日"))</f>
        <v/>
      </c>
      <c r="C8" s="15" t="n"/>
      <c r="D8" s="15" t="n"/>
      <c r="E8" s="15" t="n"/>
      <c r="F8" s="16">
        <f>IF(OR($N8="",$O8=""),"",MAX(0,MOD($O8-$N8,1)-IF($P8&lt;&gt;"",$P8,IF(MOD($O8-$N8,1)&gt;設定!$E$8,設定!$E$7,0))))</f>
        <v/>
      </c>
      <c r="G8" s="15" t="n"/>
      <c r="H8" s="15" t="n"/>
      <c r="I8" s="15" t="n"/>
      <c r="J8" s="15" t="n"/>
      <c r="K8" s="17">
        <f>IF($A8="","",IFERROR(VLOOKUP($A8,祝日リスト!$A$2:$C$40,3,0),""))</f>
        <v/>
      </c>
      <c r="L8" s="18" t="n"/>
      <c r="M8" s="19">
        <f>IF($A8="","",IF($K8&lt;&gt;"","祝",IF(WEEKDAY($A8,2)=6,"土",IF(WEEKDAY($A8,2)=7,"日","平"))))</f>
        <v/>
      </c>
      <c r="N8" s="19">
        <f>IF(NOT(ISNUMBER($C8)),"",IF($C8&lt;1,$C8,(INT($C8/100)*60+MOD($C8,100))/1440))</f>
        <v/>
      </c>
      <c r="O8" s="19">
        <f>IF(NOT(ISNUMBER($D8)),"",IF($D8&lt;1,$D8,(INT($D8/100)*60+MOD($D8,100))/1440))</f>
        <v/>
      </c>
      <c r="P8" s="19">
        <f>IF(NOT(ISNUMBER($E8)),"",IF($E8&lt;1,$E8,(INT($E8/100)*60+MOD($E8,100))/1440))</f>
        <v/>
      </c>
      <c r="Q8" s="19">
        <f>IF(NOT(ISNUMBER($G8)),"",IF($G8&lt;1,$G8,(INT($G8/100)*60+MOD($G8,100))/1440))</f>
        <v/>
      </c>
      <c r="R8" s="19">
        <f>IF(NOT(ISNUMBER($H8)),"",IF($H8&lt;1,$H8,(INT($H8/100)*60+MOD($H8,100))/1440))</f>
        <v/>
      </c>
      <c r="S8" s="19">
        <f>IF(NOT(ISNUMBER($I8)),"",IF($I8&lt;1,$I8,(INT($I8/100)*60+MOD($I8,100))/1440))</f>
        <v/>
      </c>
      <c r="T8" s="19">
        <f>IF(NOT(ISNUMBER($J8)),"",IF($J8&lt;1,$J8,(INT($J8/100)*60+MOD($J8,100))/1440))</f>
        <v/>
      </c>
    </row>
    <row r="9" ht="19" customHeight="1">
      <c r="A9" s="13">
        <f>IF(A8="","",IF(MONTH(A8+1)=$D$4,A8+1,""))</f>
        <v/>
      </c>
      <c r="B9" s="14">
        <f>IF($A9="","",CHOOSE(WEEKDAY($A9,2),"月","火","水","木","金","土","日"))</f>
        <v/>
      </c>
      <c r="C9" s="15" t="n"/>
      <c r="D9" s="15" t="n"/>
      <c r="E9" s="15" t="n"/>
      <c r="F9" s="16">
        <f>IF(OR($N9="",$O9=""),"",MAX(0,MOD($O9-$N9,1)-IF($P9&lt;&gt;"",$P9,IF(MOD($O9-$N9,1)&gt;設定!$E$8,設定!$E$7,0))))</f>
        <v/>
      </c>
      <c r="G9" s="15" t="n"/>
      <c r="H9" s="15" t="n"/>
      <c r="I9" s="15" t="n"/>
      <c r="J9" s="15" t="n"/>
      <c r="K9" s="17">
        <f>IF($A9="","",IFERROR(VLOOKUP($A9,祝日リスト!$A$2:$C$40,3,0),""))</f>
        <v/>
      </c>
      <c r="L9" s="18" t="n"/>
      <c r="M9" s="19">
        <f>IF($A9="","",IF($K9&lt;&gt;"","祝",IF(WEEKDAY($A9,2)=6,"土",IF(WEEKDAY($A9,2)=7,"日","平"))))</f>
        <v/>
      </c>
      <c r="N9" s="19">
        <f>IF(NOT(ISNUMBER($C9)),"",IF($C9&lt;1,$C9,(INT($C9/100)*60+MOD($C9,100))/1440))</f>
        <v/>
      </c>
      <c r="O9" s="19">
        <f>IF(NOT(ISNUMBER($D9)),"",IF($D9&lt;1,$D9,(INT($D9/100)*60+MOD($D9,100))/1440))</f>
        <v/>
      </c>
      <c r="P9" s="19">
        <f>IF(NOT(ISNUMBER($E9)),"",IF($E9&lt;1,$E9,(INT($E9/100)*60+MOD($E9,100))/1440))</f>
        <v/>
      </c>
      <c r="Q9" s="19">
        <f>IF(NOT(ISNUMBER($G9)),"",IF($G9&lt;1,$G9,(INT($G9/100)*60+MOD($G9,100))/1440))</f>
        <v/>
      </c>
      <c r="R9" s="19">
        <f>IF(NOT(ISNUMBER($H9)),"",IF($H9&lt;1,$H9,(INT($H9/100)*60+MOD($H9,100))/1440))</f>
        <v/>
      </c>
      <c r="S9" s="19">
        <f>IF(NOT(ISNUMBER($I9)),"",IF($I9&lt;1,$I9,(INT($I9/100)*60+MOD($I9,100))/1440))</f>
        <v/>
      </c>
      <c r="T9" s="19">
        <f>IF(NOT(ISNUMBER($J9)),"",IF($J9&lt;1,$J9,(INT($J9/100)*60+MOD($J9,100))/1440))</f>
        <v/>
      </c>
    </row>
    <row r="10" ht="19" customHeight="1">
      <c r="A10" s="13">
        <f>IF(A9="","",IF(MONTH(A9+1)=$D$4,A9+1,""))</f>
        <v/>
      </c>
      <c r="B10" s="14">
        <f>IF($A10="","",CHOOSE(WEEKDAY($A10,2),"月","火","水","木","金","土","日"))</f>
        <v/>
      </c>
      <c r="C10" s="15" t="n"/>
      <c r="D10" s="15" t="n"/>
      <c r="E10" s="15" t="n"/>
      <c r="F10" s="16">
        <f>IF(OR($N10="",$O10=""),"",MAX(0,MOD($O10-$N10,1)-IF($P10&lt;&gt;"",$P10,IF(MOD($O10-$N10,1)&gt;設定!$E$8,設定!$E$7,0))))</f>
        <v/>
      </c>
      <c r="G10" s="15" t="n"/>
      <c r="H10" s="15" t="n"/>
      <c r="I10" s="15" t="n"/>
      <c r="J10" s="15" t="n"/>
      <c r="K10" s="17">
        <f>IF($A10="","",IFERROR(VLOOKUP($A10,祝日リスト!$A$2:$C$40,3,0),""))</f>
        <v/>
      </c>
      <c r="L10" s="18" t="n"/>
      <c r="M10" s="19">
        <f>IF($A10="","",IF($K10&lt;&gt;"","祝",IF(WEEKDAY($A10,2)=6,"土",IF(WEEKDAY($A10,2)=7,"日","平"))))</f>
        <v/>
      </c>
      <c r="N10" s="19">
        <f>IF(NOT(ISNUMBER($C10)),"",IF($C10&lt;1,$C10,(INT($C10/100)*60+MOD($C10,100))/1440))</f>
        <v/>
      </c>
      <c r="O10" s="19">
        <f>IF(NOT(ISNUMBER($D10)),"",IF($D10&lt;1,$D10,(INT($D10/100)*60+MOD($D10,100))/1440))</f>
        <v/>
      </c>
      <c r="P10" s="19">
        <f>IF(NOT(ISNUMBER($E10)),"",IF($E10&lt;1,$E10,(INT($E10/100)*60+MOD($E10,100))/1440))</f>
        <v/>
      </c>
      <c r="Q10" s="19">
        <f>IF(NOT(ISNUMBER($G10)),"",IF($G10&lt;1,$G10,(INT($G10/100)*60+MOD($G10,100))/1440))</f>
        <v/>
      </c>
      <c r="R10" s="19">
        <f>IF(NOT(ISNUMBER($H10)),"",IF($H10&lt;1,$H10,(INT($H10/100)*60+MOD($H10,100))/1440))</f>
        <v/>
      </c>
      <c r="S10" s="19">
        <f>IF(NOT(ISNUMBER($I10)),"",IF($I10&lt;1,$I10,(INT($I10/100)*60+MOD($I10,100))/1440))</f>
        <v/>
      </c>
      <c r="T10" s="19">
        <f>IF(NOT(ISNUMBER($J10)),"",IF($J10&lt;1,$J10,(INT($J10/100)*60+MOD($J10,100))/1440))</f>
        <v/>
      </c>
    </row>
    <row r="11" ht="19" customHeight="1">
      <c r="A11" s="13">
        <f>IF(A10="","",IF(MONTH(A10+1)=$D$4,A10+1,""))</f>
        <v/>
      </c>
      <c r="B11" s="14">
        <f>IF($A11="","",CHOOSE(WEEKDAY($A11,2),"月","火","水","木","金","土","日"))</f>
        <v/>
      </c>
      <c r="C11" s="15" t="n"/>
      <c r="D11" s="15" t="n"/>
      <c r="E11" s="15" t="n"/>
      <c r="F11" s="16">
        <f>IF(OR($N11="",$O11=""),"",MAX(0,MOD($O11-$N11,1)-IF($P11&lt;&gt;"",$P11,IF(MOD($O11-$N11,1)&gt;設定!$E$8,設定!$E$7,0))))</f>
        <v/>
      </c>
      <c r="G11" s="15" t="n"/>
      <c r="H11" s="15" t="n"/>
      <c r="I11" s="15" t="n"/>
      <c r="J11" s="15" t="n"/>
      <c r="K11" s="17">
        <f>IF($A11="","",IFERROR(VLOOKUP($A11,祝日リスト!$A$2:$C$40,3,0),""))</f>
        <v/>
      </c>
      <c r="L11" s="18" t="n"/>
      <c r="M11" s="19">
        <f>IF($A11="","",IF($K11&lt;&gt;"","祝",IF(WEEKDAY($A11,2)=6,"土",IF(WEEKDAY($A11,2)=7,"日","平"))))</f>
        <v/>
      </c>
      <c r="N11" s="19">
        <f>IF(NOT(ISNUMBER($C11)),"",IF($C11&lt;1,$C11,(INT($C11/100)*60+MOD($C11,100))/1440))</f>
        <v/>
      </c>
      <c r="O11" s="19">
        <f>IF(NOT(ISNUMBER($D11)),"",IF($D11&lt;1,$D11,(INT($D11/100)*60+MOD($D11,100))/1440))</f>
        <v/>
      </c>
      <c r="P11" s="19">
        <f>IF(NOT(ISNUMBER($E11)),"",IF($E11&lt;1,$E11,(INT($E11/100)*60+MOD($E11,100))/1440))</f>
        <v/>
      </c>
      <c r="Q11" s="19">
        <f>IF(NOT(ISNUMBER($G11)),"",IF($G11&lt;1,$G11,(INT($G11/100)*60+MOD($G11,100))/1440))</f>
        <v/>
      </c>
      <c r="R11" s="19">
        <f>IF(NOT(ISNUMBER($H11)),"",IF($H11&lt;1,$H11,(INT($H11/100)*60+MOD($H11,100))/1440))</f>
        <v/>
      </c>
      <c r="S11" s="19">
        <f>IF(NOT(ISNUMBER($I11)),"",IF($I11&lt;1,$I11,(INT($I11/100)*60+MOD($I11,100))/1440))</f>
        <v/>
      </c>
      <c r="T11" s="19">
        <f>IF(NOT(ISNUMBER($J11)),"",IF($J11&lt;1,$J11,(INT($J11/100)*60+MOD($J11,100))/1440))</f>
        <v/>
      </c>
    </row>
    <row r="12" ht="19" customHeight="1">
      <c r="A12" s="13">
        <f>IF(A11="","",IF(MONTH(A11+1)=$D$4,A11+1,""))</f>
        <v/>
      </c>
      <c r="B12" s="14">
        <f>IF($A12="","",CHOOSE(WEEKDAY($A12,2),"月","火","水","木","金","土","日"))</f>
        <v/>
      </c>
      <c r="C12" s="15" t="n"/>
      <c r="D12" s="15" t="n"/>
      <c r="E12" s="15" t="n"/>
      <c r="F12" s="16">
        <f>IF(OR($N12="",$O12=""),"",MAX(0,MOD($O12-$N12,1)-IF($P12&lt;&gt;"",$P12,IF(MOD($O12-$N12,1)&gt;設定!$E$8,設定!$E$7,0))))</f>
        <v/>
      </c>
      <c r="G12" s="15" t="n"/>
      <c r="H12" s="15" t="n"/>
      <c r="I12" s="15" t="n"/>
      <c r="J12" s="15" t="n"/>
      <c r="K12" s="17">
        <f>IF($A12="","",IFERROR(VLOOKUP($A12,祝日リスト!$A$2:$C$40,3,0),""))</f>
        <v/>
      </c>
      <c r="L12" s="18" t="n"/>
      <c r="M12" s="19">
        <f>IF($A12="","",IF($K12&lt;&gt;"","祝",IF(WEEKDAY($A12,2)=6,"土",IF(WEEKDAY($A12,2)=7,"日","平"))))</f>
        <v/>
      </c>
      <c r="N12" s="19">
        <f>IF(NOT(ISNUMBER($C12)),"",IF($C12&lt;1,$C12,(INT($C12/100)*60+MOD($C12,100))/1440))</f>
        <v/>
      </c>
      <c r="O12" s="19">
        <f>IF(NOT(ISNUMBER($D12)),"",IF($D12&lt;1,$D12,(INT($D12/100)*60+MOD($D12,100))/1440))</f>
        <v/>
      </c>
      <c r="P12" s="19">
        <f>IF(NOT(ISNUMBER($E12)),"",IF($E12&lt;1,$E12,(INT($E12/100)*60+MOD($E12,100))/1440))</f>
        <v/>
      </c>
      <c r="Q12" s="19">
        <f>IF(NOT(ISNUMBER($G12)),"",IF($G12&lt;1,$G12,(INT($G12/100)*60+MOD($G12,100))/1440))</f>
        <v/>
      </c>
      <c r="R12" s="19">
        <f>IF(NOT(ISNUMBER($H12)),"",IF($H12&lt;1,$H12,(INT($H12/100)*60+MOD($H12,100))/1440))</f>
        <v/>
      </c>
      <c r="S12" s="19">
        <f>IF(NOT(ISNUMBER($I12)),"",IF($I12&lt;1,$I12,(INT($I12/100)*60+MOD($I12,100))/1440))</f>
        <v/>
      </c>
      <c r="T12" s="19">
        <f>IF(NOT(ISNUMBER($J12)),"",IF($J12&lt;1,$J12,(INT($J12/100)*60+MOD($J12,100))/1440))</f>
        <v/>
      </c>
    </row>
    <row r="13" ht="19" customHeight="1">
      <c r="A13" s="13">
        <f>IF(A12="","",IF(MONTH(A12+1)=$D$4,A12+1,""))</f>
        <v/>
      </c>
      <c r="B13" s="14">
        <f>IF($A13="","",CHOOSE(WEEKDAY($A13,2),"月","火","水","木","金","土","日"))</f>
        <v/>
      </c>
      <c r="C13" s="15" t="n"/>
      <c r="D13" s="15" t="n"/>
      <c r="E13" s="15" t="n"/>
      <c r="F13" s="16">
        <f>IF(OR($N13="",$O13=""),"",MAX(0,MOD($O13-$N13,1)-IF($P13&lt;&gt;"",$P13,IF(MOD($O13-$N13,1)&gt;設定!$E$8,設定!$E$7,0))))</f>
        <v/>
      </c>
      <c r="G13" s="15" t="n"/>
      <c r="H13" s="15" t="n"/>
      <c r="I13" s="15" t="n"/>
      <c r="J13" s="15" t="n"/>
      <c r="K13" s="17">
        <f>IF($A13="","",IFERROR(VLOOKUP($A13,祝日リスト!$A$2:$C$40,3,0),""))</f>
        <v/>
      </c>
      <c r="L13" s="18" t="n"/>
      <c r="M13" s="19">
        <f>IF($A13="","",IF($K13&lt;&gt;"","祝",IF(WEEKDAY($A13,2)=6,"土",IF(WEEKDAY($A13,2)=7,"日","平"))))</f>
        <v/>
      </c>
      <c r="N13" s="19">
        <f>IF(NOT(ISNUMBER($C13)),"",IF($C13&lt;1,$C13,(INT($C13/100)*60+MOD($C13,100))/1440))</f>
        <v/>
      </c>
      <c r="O13" s="19">
        <f>IF(NOT(ISNUMBER($D13)),"",IF($D13&lt;1,$D13,(INT($D13/100)*60+MOD($D13,100))/1440))</f>
        <v/>
      </c>
      <c r="P13" s="19">
        <f>IF(NOT(ISNUMBER($E13)),"",IF($E13&lt;1,$E13,(INT($E13/100)*60+MOD($E13,100))/1440))</f>
        <v/>
      </c>
      <c r="Q13" s="19">
        <f>IF(NOT(ISNUMBER($G13)),"",IF($G13&lt;1,$G13,(INT($G13/100)*60+MOD($G13,100))/1440))</f>
        <v/>
      </c>
      <c r="R13" s="19">
        <f>IF(NOT(ISNUMBER($H13)),"",IF($H13&lt;1,$H13,(INT($H13/100)*60+MOD($H13,100))/1440))</f>
        <v/>
      </c>
      <c r="S13" s="19">
        <f>IF(NOT(ISNUMBER($I13)),"",IF($I13&lt;1,$I13,(INT($I13/100)*60+MOD($I13,100))/1440))</f>
        <v/>
      </c>
      <c r="T13" s="19">
        <f>IF(NOT(ISNUMBER($J13)),"",IF($J13&lt;1,$J13,(INT($J13/100)*60+MOD($J13,100))/1440))</f>
        <v/>
      </c>
    </row>
    <row r="14" ht="19" customHeight="1">
      <c r="A14" s="13">
        <f>IF(A13="","",IF(MONTH(A13+1)=$D$4,A13+1,""))</f>
        <v/>
      </c>
      <c r="B14" s="14">
        <f>IF($A14="","",CHOOSE(WEEKDAY($A14,2),"月","火","水","木","金","土","日"))</f>
        <v/>
      </c>
      <c r="C14" s="15" t="n"/>
      <c r="D14" s="15" t="n"/>
      <c r="E14" s="15" t="n"/>
      <c r="F14" s="16">
        <f>IF(OR($N14="",$O14=""),"",MAX(0,MOD($O14-$N14,1)-IF($P14&lt;&gt;"",$P14,IF(MOD($O14-$N14,1)&gt;設定!$E$8,設定!$E$7,0))))</f>
        <v/>
      </c>
      <c r="G14" s="15" t="n"/>
      <c r="H14" s="15" t="n"/>
      <c r="I14" s="15" t="n"/>
      <c r="J14" s="15" t="n"/>
      <c r="K14" s="17">
        <f>IF($A14="","",IFERROR(VLOOKUP($A14,祝日リスト!$A$2:$C$40,3,0),""))</f>
        <v/>
      </c>
      <c r="L14" s="18" t="n"/>
      <c r="M14" s="19">
        <f>IF($A14="","",IF($K14&lt;&gt;"","祝",IF(WEEKDAY($A14,2)=6,"土",IF(WEEKDAY($A14,2)=7,"日","平"))))</f>
        <v/>
      </c>
      <c r="N14" s="19">
        <f>IF(NOT(ISNUMBER($C14)),"",IF($C14&lt;1,$C14,(INT($C14/100)*60+MOD($C14,100))/1440))</f>
        <v/>
      </c>
      <c r="O14" s="19">
        <f>IF(NOT(ISNUMBER($D14)),"",IF($D14&lt;1,$D14,(INT($D14/100)*60+MOD($D14,100))/1440))</f>
        <v/>
      </c>
      <c r="P14" s="19">
        <f>IF(NOT(ISNUMBER($E14)),"",IF($E14&lt;1,$E14,(INT($E14/100)*60+MOD($E14,100))/1440))</f>
        <v/>
      </c>
      <c r="Q14" s="19">
        <f>IF(NOT(ISNUMBER($G14)),"",IF($G14&lt;1,$G14,(INT($G14/100)*60+MOD($G14,100))/1440))</f>
        <v/>
      </c>
      <c r="R14" s="19">
        <f>IF(NOT(ISNUMBER($H14)),"",IF($H14&lt;1,$H14,(INT($H14/100)*60+MOD($H14,100))/1440))</f>
        <v/>
      </c>
      <c r="S14" s="19">
        <f>IF(NOT(ISNUMBER($I14)),"",IF($I14&lt;1,$I14,(INT($I14/100)*60+MOD($I14,100))/1440))</f>
        <v/>
      </c>
      <c r="T14" s="19">
        <f>IF(NOT(ISNUMBER($J14)),"",IF($J14&lt;1,$J14,(INT($J14/100)*60+MOD($J14,100))/1440))</f>
        <v/>
      </c>
    </row>
    <row r="15" ht="19" customHeight="1">
      <c r="A15" s="13">
        <f>IF(A14="","",IF(MONTH(A14+1)=$D$4,A14+1,""))</f>
        <v/>
      </c>
      <c r="B15" s="14">
        <f>IF($A15="","",CHOOSE(WEEKDAY($A15,2),"月","火","水","木","金","土","日"))</f>
        <v/>
      </c>
      <c r="C15" s="15" t="n"/>
      <c r="D15" s="15" t="n"/>
      <c r="E15" s="15" t="n"/>
      <c r="F15" s="16">
        <f>IF(OR($N15="",$O15=""),"",MAX(0,MOD($O15-$N15,1)-IF($P15&lt;&gt;"",$P15,IF(MOD($O15-$N15,1)&gt;設定!$E$8,設定!$E$7,0))))</f>
        <v/>
      </c>
      <c r="G15" s="15" t="n"/>
      <c r="H15" s="15" t="n"/>
      <c r="I15" s="15" t="n"/>
      <c r="J15" s="15" t="n"/>
      <c r="K15" s="17">
        <f>IF($A15="","",IFERROR(VLOOKUP($A15,祝日リスト!$A$2:$C$40,3,0),""))</f>
        <v/>
      </c>
      <c r="L15" s="18" t="n"/>
      <c r="M15" s="19">
        <f>IF($A15="","",IF($K15&lt;&gt;"","祝",IF(WEEKDAY($A15,2)=6,"土",IF(WEEKDAY($A15,2)=7,"日","平"))))</f>
        <v/>
      </c>
      <c r="N15" s="19">
        <f>IF(NOT(ISNUMBER($C15)),"",IF($C15&lt;1,$C15,(INT($C15/100)*60+MOD($C15,100))/1440))</f>
        <v/>
      </c>
      <c r="O15" s="19">
        <f>IF(NOT(ISNUMBER($D15)),"",IF($D15&lt;1,$D15,(INT($D15/100)*60+MOD($D15,100))/1440))</f>
        <v/>
      </c>
      <c r="P15" s="19">
        <f>IF(NOT(ISNUMBER($E15)),"",IF($E15&lt;1,$E15,(INT($E15/100)*60+MOD($E15,100))/1440))</f>
        <v/>
      </c>
      <c r="Q15" s="19">
        <f>IF(NOT(ISNUMBER($G15)),"",IF($G15&lt;1,$G15,(INT($G15/100)*60+MOD($G15,100))/1440))</f>
        <v/>
      </c>
      <c r="R15" s="19">
        <f>IF(NOT(ISNUMBER($H15)),"",IF($H15&lt;1,$H15,(INT($H15/100)*60+MOD($H15,100))/1440))</f>
        <v/>
      </c>
      <c r="S15" s="19">
        <f>IF(NOT(ISNUMBER($I15)),"",IF($I15&lt;1,$I15,(INT($I15/100)*60+MOD($I15,100))/1440))</f>
        <v/>
      </c>
      <c r="T15" s="19">
        <f>IF(NOT(ISNUMBER($J15)),"",IF($J15&lt;1,$J15,(INT($J15/100)*60+MOD($J15,100))/1440))</f>
        <v/>
      </c>
    </row>
    <row r="16" ht="19" customHeight="1">
      <c r="A16" s="13">
        <f>IF(A15="","",IF(MONTH(A15+1)=$D$4,A15+1,""))</f>
        <v/>
      </c>
      <c r="B16" s="14">
        <f>IF($A16="","",CHOOSE(WEEKDAY($A16,2),"月","火","水","木","金","土","日"))</f>
        <v/>
      </c>
      <c r="C16" s="15" t="n"/>
      <c r="D16" s="15" t="n"/>
      <c r="E16" s="15" t="n"/>
      <c r="F16" s="16">
        <f>IF(OR($N16="",$O16=""),"",MAX(0,MOD($O16-$N16,1)-IF($P16&lt;&gt;"",$P16,IF(MOD($O16-$N16,1)&gt;設定!$E$8,設定!$E$7,0))))</f>
        <v/>
      </c>
      <c r="G16" s="15" t="n"/>
      <c r="H16" s="15" t="n"/>
      <c r="I16" s="15" t="n"/>
      <c r="J16" s="15" t="n"/>
      <c r="K16" s="17">
        <f>IF($A16="","",IFERROR(VLOOKUP($A16,祝日リスト!$A$2:$C$40,3,0),""))</f>
        <v/>
      </c>
      <c r="L16" s="18" t="n"/>
      <c r="M16" s="19">
        <f>IF($A16="","",IF($K16&lt;&gt;"","祝",IF(WEEKDAY($A16,2)=6,"土",IF(WEEKDAY($A16,2)=7,"日","平"))))</f>
        <v/>
      </c>
      <c r="N16" s="19">
        <f>IF(NOT(ISNUMBER($C16)),"",IF($C16&lt;1,$C16,(INT($C16/100)*60+MOD($C16,100))/1440))</f>
        <v/>
      </c>
      <c r="O16" s="19">
        <f>IF(NOT(ISNUMBER($D16)),"",IF($D16&lt;1,$D16,(INT($D16/100)*60+MOD($D16,100))/1440))</f>
        <v/>
      </c>
      <c r="P16" s="19">
        <f>IF(NOT(ISNUMBER($E16)),"",IF($E16&lt;1,$E16,(INT($E16/100)*60+MOD($E16,100))/1440))</f>
        <v/>
      </c>
      <c r="Q16" s="19">
        <f>IF(NOT(ISNUMBER($G16)),"",IF($G16&lt;1,$G16,(INT($G16/100)*60+MOD($G16,100))/1440))</f>
        <v/>
      </c>
      <c r="R16" s="19">
        <f>IF(NOT(ISNUMBER($H16)),"",IF($H16&lt;1,$H16,(INT($H16/100)*60+MOD($H16,100))/1440))</f>
        <v/>
      </c>
      <c r="S16" s="19">
        <f>IF(NOT(ISNUMBER($I16)),"",IF($I16&lt;1,$I16,(INT($I16/100)*60+MOD($I16,100))/1440))</f>
        <v/>
      </c>
      <c r="T16" s="19">
        <f>IF(NOT(ISNUMBER($J16)),"",IF($J16&lt;1,$J16,(INT($J16/100)*60+MOD($J16,100))/1440))</f>
        <v/>
      </c>
    </row>
    <row r="17" ht="19" customHeight="1">
      <c r="A17" s="13">
        <f>IF(A16="","",IF(MONTH(A16+1)=$D$4,A16+1,""))</f>
        <v/>
      </c>
      <c r="B17" s="14">
        <f>IF($A17="","",CHOOSE(WEEKDAY($A17,2),"月","火","水","木","金","土","日"))</f>
        <v/>
      </c>
      <c r="C17" s="15" t="n"/>
      <c r="D17" s="15" t="n"/>
      <c r="E17" s="15" t="n"/>
      <c r="F17" s="16">
        <f>IF(OR($N17="",$O17=""),"",MAX(0,MOD($O17-$N17,1)-IF($P17&lt;&gt;"",$P17,IF(MOD($O17-$N17,1)&gt;設定!$E$8,設定!$E$7,0))))</f>
        <v/>
      </c>
      <c r="G17" s="15" t="n"/>
      <c r="H17" s="15" t="n"/>
      <c r="I17" s="15" t="n"/>
      <c r="J17" s="15" t="n"/>
      <c r="K17" s="17">
        <f>IF($A17="","",IFERROR(VLOOKUP($A17,祝日リスト!$A$2:$C$40,3,0),""))</f>
        <v/>
      </c>
      <c r="L17" s="18" t="n"/>
      <c r="M17" s="19">
        <f>IF($A17="","",IF($K17&lt;&gt;"","祝",IF(WEEKDAY($A17,2)=6,"土",IF(WEEKDAY($A17,2)=7,"日","平"))))</f>
        <v/>
      </c>
      <c r="N17" s="19">
        <f>IF(NOT(ISNUMBER($C17)),"",IF($C17&lt;1,$C17,(INT($C17/100)*60+MOD($C17,100))/1440))</f>
        <v/>
      </c>
      <c r="O17" s="19">
        <f>IF(NOT(ISNUMBER($D17)),"",IF($D17&lt;1,$D17,(INT($D17/100)*60+MOD($D17,100))/1440))</f>
        <v/>
      </c>
      <c r="P17" s="19">
        <f>IF(NOT(ISNUMBER($E17)),"",IF($E17&lt;1,$E17,(INT($E17/100)*60+MOD($E17,100))/1440))</f>
        <v/>
      </c>
      <c r="Q17" s="19">
        <f>IF(NOT(ISNUMBER($G17)),"",IF($G17&lt;1,$G17,(INT($G17/100)*60+MOD($G17,100))/1440))</f>
        <v/>
      </c>
      <c r="R17" s="19">
        <f>IF(NOT(ISNUMBER($H17)),"",IF($H17&lt;1,$H17,(INT($H17/100)*60+MOD($H17,100))/1440))</f>
        <v/>
      </c>
      <c r="S17" s="19">
        <f>IF(NOT(ISNUMBER($I17)),"",IF($I17&lt;1,$I17,(INT($I17/100)*60+MOD($I17,100))/1440))</f>
        <v/>
      </c>
      <c r="T17" s="19">
        <f>IF(NOT(ISNUMBER($J17)),"",IF($J17&lt;1,$J17,(INT($J17/100)*60+MOD($J17,100))/1440))</f>
        <v/>
      </c>
    </row>
    <row r="18" ht="19" customHeight="1">
      <c r="A18" s="13">
        <f>IF(A17="","",IF(MONTH(A17+1)=$D$4,A17+1,""))</f>
        <v/>
      </c>
      <c r="B18" s="14">
        <f>IF($A18="","",CHOOSE(WEEKDAY($A18,2),"月","火","水","木","金","土","日"))</f>
        <v/>
      </c>
      <c r="C18" s="15" t="n"/>
      <c r="D18" s="15" t="n"/>
      <c r="E18" s="15" t="n"/>
      <c r="F18" s="16">
        <f>IF(OR($N18="",$O18=""),"",MAX(0,MOD($O18-$N18,1)-IF($P18&lt;&gt;"",$P18,IF(MOD($O18-$N18,1)&gt;設定!$E$8,設定!$E$7,0))))</f>
        <v/>
      </c>
      <c r="G18" s="15" t="n"/>
      <c r="H18" s="15" t="n"/>
      <c r="I18" s="15" t="n"/>
      <c r="J18" s="15" t="n"/>
      <c r="K18" s="17">
        <f>IF($A18="","",IFERROR(VLOOKUP($A18,祝日リスト!$A$2:$C$40,3,0),""))</f>
        <v/>
      </c>
      <c r="L18" s="18" t="n"/>
      <c r="M18" s="19">
        <f>IF($A18="","",IF($K18&lt;&gt;"","祝",IF(WEEKDAY($A18,2)=6,"土",IF(WEEKDAY($A18,2)=7,"日","平"))))</f>
        <v/>
      </c>
      <c r="N18" s="19">
        <f>IF(NOT(ISNUMBER($C18)),"",IF($C18&lt;1,$C18,(INT($C18/100)*60+MOD($C18,100))/1440))</f>
        <v/>
      </c>
      <c r="O18" s="19">
        <f>IF(NOT(ISNUMBER($D18)),"",IF($D18&lt;1,$D18,(INT($D18/100)*60+MOD($D18,100))/1440))</f>
        <v/>
      </c>
      <c r="P18" s="19">
        <f>IF(NOT(ISNUMBER($E18)),"",IF($E18&lt;1,$E18,(INT($E18/100)*60+MOD($E18,100))/1440))</f>
        <v/>
      </c>
      <c r="Q18" s="19">
        <f>IF(NOT(ISNUMBER($G18)),"",IF($G18&lt;1,$G18,(INT($G18/100)*60+MOD($G18,100))/1440))</f>
        <v/>
      </c>
      <c r="R18" s="19">
        <f>IF(NOT(ISNUMBER($H18)),"",IF($H18&lt;1,$H18,(INT($H18/100)*60+MOD($H18,100))/1440))</f>
        <v/>
      </c>
      <c r="S18" s="19">
        <f>IF(NOT(ISNUMBER($I18)),"",IF($I18&lt;1,$I18,(INT($I18/100)*60+MOD($I18,100))/1440))</f>
        <v/>
      </c>
      <c r="T18" s="19">
        <f>IF(NOT(ISNUMBER($J18)),"",IF($J18&lt;1,$J18,(INT($J18/100)*60+MOD($J18,100))/1440))</f>
        <v/>
      </c>
    </row>
    <row r="19" ht="19" customHeight="1">
      <c r="A19" s="13">
        <f>IF(A18="","",IF(MONTH(A18+1)=$D$4,A18+1,""))</f>
        <v/>
      </c>
      <c r="B19" s="14">
        <f>IF($A19="","",CHOOSE(WEEKDAY($A19,2),"月","火","水","木","金","土","日"))</f>
        <v/>
      </c>
      <c r="C19" s="15" t="n"/>
      <c r="D19" s="15" t="n"/>
      <c r="E19" s="15" t="n"/>
      <c r="F19" s="16">
        <f>IF(OR($N19="",$O19=""),"",MAX(0,MOD($O19-$N19,1)-IF($P19&lt;&gt;"",$P19,IF(MOD($O19-$N19,1)&gt;設定!$E$8,設定!$E$7,0))))</f>
        <v/>
      </c>
      <c r="G19" s="15" t="n"/>
      <c r="H19" s="15" t="n"/>
      <c r="I19" s="15" t="n"/>
      <c r="J19" s="15" t="n"/>
      <c r="K19" s="17">
        <f>IF($A19="","",IFERROR(VLOOKUP($A19,祝日リスト!$A$2:$C$40,3,0),""))</f>
        <v/>
      </c>
      <c r="L19" s="18" t="n"/>
      <c r="M19" s="19">
        <f>IF($A19="","",IF($K19&lt;&gt;"","祝",IF(WEEKDAY($A19,2)=6,"土",IF(WEEKDAY($A19,2)=7,"日","平"))))</f>
        <v/>
      </c>
      <c r="N19" s="19">
        <f>IF(NOT(ISNUMBER($C19)),"",IF($C19&lt;1,$C19,(INT($C19/100)*60+MOD($C19,100))/1440))</f>
        <v/>
      </c>
      <c r="O19" s="19">
        <f>IF(NOT(ISNUMBER($D19)),"",IF($D19&lt;1,$D19,(INT($D19/100)*60+MOD($D19,100))/1440))</f>
        <v/>
      </c>
      <c r="P19" s="19">
        <f>IF(NOT(ISNUMBER($E19)),"",IF($E19&lt;1,$E19,(INT($E19/100)*60+MOD($E19,100))/1440))</f>
        <v/>
      </c>
      <c r="Q19" s="19">
        <f>IF(NOT(ISNUMBER($G19)),"",IF($G19&lt;1,$G19,(INT($G19/100)*60+MOD($G19,100))/1440))</f>
        <v/>
      </c>
      <c r="R19" s="19">
        <f>IF(NOT(ISNUMBER($H19)),"",IF($H19&lt;1,$H19,(INT($H19/100)*60+MOD($H19,100))/1440))</f>
        <v/>
      </c>
      <c r="S19" s="19">
        <f>IF(NOT(ISNUMBER($I19)),"",IF($I19&lt;1,$I19,(INT($I19/100)*60+MOD($I19,100))/1440))</f>
        <v/>
      </c>
      <c r="T19" s="19">
        <f>IF(NOT(ISNUMBER($J19)),"",IF($J19&lt;1,$J19,(INT($J19/100)*60+MOD($J19,100))/1440))</f>
        <v/>
      </c>
    </row>
    <row r="20" ht="19" customHeight="1">
      <c r="A20" s="13">
        <f>IF(A19="","",IF(MONTH(A19+1)=$D$4,A19+1,""))</f>
        <v/>
      </c>
      <c r="B20" s="14">
        <f>IF($A20="","",CHOOSE(WEEKDAY($A20,2),"月","火","水","木","金","土","日"))</f>
        <v/>
      </c>
      <c r="C20" s="15" t="n"/>
      <c r="D20" s="15" t="n"/>
      <c r="E20" s="15" t="n"/>
      <c r="F20" s="16">
        <f>IF(OR($N20="",$O20=""),"",MAX(0,MOD($O20-$N20,1)-IF($P20&lt;&gt;"",$P20,IF(MOD($O20-$N20,1)&gt;設定!$E$8,設定!$E$7,0))))</f>
        <v/>
      </c>
      <c r="G20" s="15" t="n"/>
      <c r="H20" s="15" t="n"/>
      <c r="I20" s="15" t="n"/>
      <c r="J20" s="15" t="n"/>
      <c r="K20" s="17">
        <f>IF($A20="","",IFERROR(VLOOKUP($A20,祝日リスト!$A$2:$C$40,3,0),""))</f>
        <v/>
      </c>
      <c r="L20" s="18" t="n"/>
      <c r="M20" s="19">
        <f>IF($A20="","",IF($K20&lt;&gt;"","祝",IF(WEEKDAY($A20,2)=6,"土",IF(WEEKDAY($A20,2)=7,"日","平"))))</f>
        <v/>
      </c>
      <c r="N20" s="19">
        <f>IF(NOT(ISNUMBER($C20)),"",IF($C20&lt;1,$C20,(INT($C20/100)*60+MOD($C20,100))/1440))</f>
        <v/>
      </c>
      <c r="O20" s="19">
        <f>IF(NOT(ISNUMBER($D20)),"",IF($D20&lt;1,$D20,(INT($D20/100)*60+MOD($D20,100))/1440))</f>
        <v/>
      </c>
      <c r="P20" s="19">
        <f>IF(NOT(ISNUMBER($E20)),"",IF($E20&lt;1,$E20,(INT($E20/100)*60+MOD($E20,100))/1440))</f>
        <v/>
      </c>
      <c r="Q20" s="19">
        <f>IF(NOT(ISNUMBER($G20)),"",IF($G20&lt;1,$G20,(INT($G20/100)*60+MOD($G20,100))/1440))</f>
        <v/>
      </c>
      <c r="R20" s="19">
        <f>IF(NOT(ISNUMBER($H20)),"",IF($H20&lt;1,$H20,(INT($H20/100)*60+MOD($H20,100))/1440))</f>
        <v/>
      </c>
      <c r="S20" s="19">
        <f>IF(NOT(ISNUMBER($I20)),"",IF($I20&lt;1,$I20,(INT($I20/100)*60+MOD($I20,100))/1440))</f>
        <v/>
      </c>
      <c r="T20" s="19">
        <f>IF(NOT(ISNUMBER($J20)),"",IF($J20&lt;1,$J20,(INT($J20/100)*60+MOD($J20,100))/1440))</f>
        <v/>
      </c>
    </row>
    <row r="21" ht="19" customHeight="1">
      <c r="A21" s="13">
        <f>IF(A20="","",IF(MONTH(A20+1)=$D$4,A20+1,""))</f>
        <v/>
      </c>
      <c r="B21" s="14">
        <f>IF($A21="","",CHOOSE(WEEKDAY($A21,2),"月","火","水","木","金","土","日"))</f>
        <v/>
      </c>
      <c r="C21" s="15" t="n"/>
      <c r="D21" s="15" t="n"/>
      <c r="E21" s="15" t="n"/>
      <c r="F21" s="16">
        <f>IF(OR($N21="",$O21=""),"",MAX(0,MOD($O21-$N21,1)-IF($P21&lt;&gt;"",$P21,IF(MOD($O21-$N21,1)&gt;設定!$E$8,設定!$E$7,0))))</f>
        <v/>
      </c>
      <c r="G21" s="15" t="n"/>
      <c r="H21" s="15" t="n"/>
      <c r="I21" s="15" t="n"/>
      <c r="J21" s="15" t="n"/>
      <c r="K21" s="17">
        <f>IF($A21="","",IFERROR(VLOOKUP($A21,祝日リスト!$A$2:$C$40,3,0),""))</f>
        <v/>
      </c>
      <c r="L21" s="18" t="n"/>
      <c r="M21" s="19">
        <f>IF($A21="","",IF($K21&lt;&gt;"","祝",IF(WEEKDAY($A21,2)=6,"土",IF(WEEKDAY($A21,2)=7,"日","平"))))</f>
        <v/>
      </c>
      <c r="N21" s="19">
        <f>IF(NOT(ISNUMBER($C21)),"",IF($C21&lt;1,$C21,(INT($C21/100)*60+MOD($C21,100))/1440))</f>
        <v/>
      </c>
      <c r="O21" s="19">
        <f>IF(NOT(ISNUMBER($D21)),"",IF($D21&lt;1,$D21,(INT($D21/100)*60+MOD($D21,100))/1440))</f>
        <v/>
      </c>
      <c r="P21" s="19">
        <f>IF(NOT(ISNUMBER($E21)),"",IF($E21&lt;1,$E21,(INT($E21/100)*60+MOD($E21,100))/1440))</f>
        <v/>
      </c>
      <c r="Q21" s="19">
        <f>IF(NOT(ISNUMBER($G21)),"",IF($G21&lt;1,$G21,(INT($G21/100)*60+MOD($G21,100))/1440))</f>
        <v/>
      </c>
      <c r="R21" s="19">
        <f>IF(NOT(ISNUMBER($H21)),"",IF($H21&lt;1,$H21,(INT($H21/100)*60+MOD($H21,100))/1440))</f>
        <v/>
      </c>
      <c r="S21" s="19">
        <f>IF(NOT(ISNUMBER($I21)),"",IF($I21&lt;1,$I21,(INT($I21/100)*60+MOD($I21,100))/1440))</f>
        <v/>
      </c>
      <c r="T21" s="19">
        <f>IF(NOT(ISNUMBER($J21)),"",IF($J21&lt;1,$J21,(INT($J21/100)*60+MOD($J21,100))/1440))</f>
        <v/>
      </c>
    </row>
    <row r="22" ht="19" customHeight="1">
      <c r="A22" s="13">
        <f>IF(A21="","",IF(MONTH(A21+1)=$D$4,A21+1,""))</f>
        <v/>
      </c>
      <c r="B22" s="14">
        <f>IF($A22="","",CHOOSE(WEEKDAY($A22,2),"月","火","水","木","金","土","日"))</f>
        <v/>
      </c>
      <c r="C22" s="15" t="n"/>
      <c r="D22" s="15" t="n"/>
      <c r="E22" s="15" t="n"/>
      <c r="F22" s="16">
        <f>IF(OR($N22="",$O22=""),"",MAX(0,MOD($O22-$N22,1)-IF($P22&lt;&gt;"",$P22,IF(MOD($O22-$N22,1)&gt;設定!$E$8,設定!$E$7,0))))</f>
        <v/>
      </c>
      <c r="G22" s="15" t="n"/>
      <c r="H22" s="15" t="n"/>
      <c r="I22" s="15" t="n"/>
      <c r="J22" s="15" t="n"/>
      <c r="K22" s="17">
        <f>IF($A22="","",IFERROR(VLOOKUP($A22,祝日リスト!$A$2:$C$40,3,0),""))</f>
        <v/>
      </c>
      <c r="L22" s="18" t="n"/>
      <c r="M22" s="19">
        <f>IF($A22="","",IF($K22&lt;&gt;"","祝",IF(WEEKDAY($A22,2)=6,"土",IF(WEEKDAY($A22,2)=7,"日","平"))))</f>
        <v/>
      </c>
      <c r="N22" s="19">
        <f>IF(NOT(ISNUMBER($C22)),"",IF($C22&lt;1,$C22,(INT($C22/100)*60+MOD($C22,100))/1440))</f>
        <v/>
      </c>
      <c r="O22" s="19">
        <f>IF(NOT(ISNUMBER($D22)),"",IF($D22&lt;1,$D22,(INT($D22/100)*60+MOD($D22,100))/1440))</f>
        <v/>
      </c>
      <c r="P22" s="19">
        <f>IF(NOT(ISNUMBER($E22)),"",IF($E22&lt;1,$E22,(INT($E22/100)*60+MOD($E22,100))/1440))</f>
        <v/>
      </c>
      <c r="Q22" s="19">
        <f>IF(NOT(ISNUMBER($G22)),"",IF($G22&lt;1,$G22,(INT($G22/100)*60+MOD($G22,100))/1440))</f>
        <v/>
      </c>
      <c r="R22" s="19">
        <f>IF(NOT(ISNUMBER($H22)),"",IF($H22&lt;1,$H22,(INT($H22/100)*60+MOD($H22,100))/1440))</f>
        <v/>
      </c>
      <c r="S22" s="19">
        <f>IF(NOT(ISNUMBER($I22)),"",IF($I22&lt;1,$I22,(INT($I22/100)*60+MOD($I22,100))/1440))</f>
        <v/>
      </c>
      <c r="T22" s="19">
        <f>IF(NOT(ISNUMBER($J22)),"",IF($J22&lt;1,$J22,(INT($J22/100)*60+MOD($J22,100))/1440))</f>
        <v/>
      </c>
    </row>
    <row r="23" ht="19" customHeight="1">
      <c r="A23" s="13">
        <f>IF(A22="","",IF(MONTH(A22+1)=$D$4,A22+1,""))</f>
        <v/>
      </c>
      <c r="B23" s="14">
        <f>IF($A23="","",CHOOSE(WEEKDAY($A23,2),"月","火","水","木","金","土","日"))</f>
        <v/>
      </c>
      <c r="C23" s="15" t="n"/>
      <c r="D23" s="15" t="n"/>
      <c r="E23" s="15" t="n"/>
      <c r="F23" s="16">
        <f>IF(OR($N23="",$O23=""),"",MAX(0,MOD($O23-$N23,1)-IF($P23&lt;&gt;"",$P23,IF(MOD($O23-$N23,1)&gt;設定!$E$8,設定!$E$7,0))))</f>
        <v/>
      </c>
      <c r="G23" s="15" t="n"/>
      <c r="H23" s="15" t="n"/>
      <c r="I23" s="15" t="n"/>
      <c r="J23" s="15" t="n"/>
      <c r="K23" s="17">
        <f>IF($A23="","",IFERROR(VLOOKUP($A23,祝日リスト!$A$2:$C$40,3,0),""))</f>
        <v/>
      </c>
      <c r="L23" s="18" t="n"/>
      <c r="M23" s="19">
        <f>IF($A23="","",IF($K23&lt;&gt;"","祝",IF(WEEKDAY($A23,2)=6,"土",IF(WEEKDAY($A23,2)=7,"日","平"))))</f>
        <v/>
      </c>
      <c r="N23" s="19">
        <f>IF(NOT(ISNUMBER($C23)),"",IF($C23&lt;1,$C23,(INT($C23/100)*60+MOD($C23,100))/1440))</f>
        <v/>
      </c>
      <c r="O23" s="19">
        <f>IF(NOT(ISNUMBER($D23)),"",IF($D23&lt;1,$D23,(INT($D23/100)*60+MOD($D23,100))/1440))</f>
        <v/>
      </c>
      <c r="P23" s="19">
        <f>IF(NOT(ISNUMBER($E23)),"",IF($E23&lt;1,$E23,(INT($E23/100)*60+MOD($E23,100))/1440))</f>
        <v/>
      </c>
      <c r="Q23" s="19">
        <f>IF(NOT(ISNUMBER($G23)),"",IF($G23&lt;1,$G23,(INT($G23/100)*60+MOD($G23,100))/1440))</f>
        <v/>
      </c>
      <c r="R23" s="19">
        <f>IF(NOT(ISNUMBER($H23)),"",IF($H23&lt;1,$H23,(INT($H23/100)*60+MOD($H23,100))/1440))</f>
        <v/>
      </c>
      <c r="S23" s="19">
        <f>IF(NOT(ISNUMBER($I23)),"",IF($I23&lt;1,$I23,(INT($I23/100)*60+MOD($I23,100))/1440))</f>
        <v/>
      </c>
      <c r="T23" s="19">
        <f>IF(NOT(ISNUMBER($J23)),"",IF($J23&lt;1,$J23,(INT($J23/100)*60+MOD($J23,100))/1440))</f>
        <v/>
      </c>
    </row>
    <row r="24" ht="19" customHeight="1">
      <c r="A24" s="13">
        <f>IF(A23="","",IF(MONTH(A23+1)=$D$4,A23+1,""))</f>
        <v/>
      </c>
      <c r="B24" s="14">
        <f>IF($A24="","",CHOOSE(WEEKDAY($A24,2),"月","火","水","木","金","土","日"))</f>
        <v/>
      </c>
      <c r="C24" s="15" t="n"/>
      <c r="D24" s="15" t="n"/>
      <c r="E24" s="15" t="n"/>
      <c r="F24" s="16">
        <f>IF(OR($N24="",$O24=""),"",MAX(0,MOD($O24-$N24,1)-IF($P24&lt;&gt;"",$P24,IF(MOD($O24-$N24,1)&gt;設定!$E$8,設定!$E$7,0))))</f>
        <v/>
      </c>
      <c r="G24" s="15" t="n"/>
      <c r="H24" s="15" t="n"/>
      <c r="I24" s="15" t="n"/>
      <c r="J24" s="15" t="n"/>
      <c r="K24" s="17">
        <f>IF($A24="","",IFERROR(VLOOKUP($A24,祝日リスト!$A$2:$C$40,3,0),""))</f>
        <v/>
      </c>
      <c r="L24" s="18" t="n"/>
      <c r="M24" s="19">
        <f>IF($A24="","",IF($K24&lt;&gt;"","祝",IF(WEEKDAY($A24,2)=6,"土",IF(WEEKDAY($A24,2)=7,"日","平"))))</f>
        <v/>
      </c>
      <c r="N24" s="19">
        <f>IF(NOT(ISNUMBER($C24)),"",IF($C24&lt;1,$C24,(INT($C24/100)*60+MOD($C24,100))/1440))</f>
        <v/>
      </c>
      <c r="O24" s="19">
        <f>IF(NOT(ISNUMBER($D24)),"",IF($D24&lt;1,$D24,(INT($D24/100)*60+MOD($D24,100))/1440))</f>
        <v/>
      </c>
      <c r="P24" s="19">
        <f>IF(NOT(ISNUMBER($E24)),"",IF($E24&lt;1,$E24,(INT($E24/100)*60+MOD($E24,100))/1440))</f>
        <v/>
      </c>
      <c r="Q24" s="19">
        <f>IF(NOT(ISNUMBER($G24)),"",IF($G24&lt;1,$G24,(INT($G24/100)*60+MOD($G24,100))/1440))</f>
        <v/>
      </c>
      <c r="R24" s="19">
        <f>IF(NOT(ISNUMBER($H24)),"",IF($H24&lt;1,$H24,(INT($H24/100)*60+MOD($H24,100))/1440))</f>
        <v/>
      </c>
      <c r="S24" s="19">
        <f>IF(NOT(ISNUMBER($I24)),"",IF($I24&lt;1,$I24,(INT($I24/100)*60+MOD($I24,100))/1440))</f>
        <v/>
      </c>
      <c r="T24" s="19">
        <f>IF(NOT(ISNUMBER($J24)),"",IF($J24&lt;1,$J24,(INT($J24/100)*60+MOD($J24,100))/1440))</f>
        <v/>
      </c>
    </row>
    <row r="25" ht="19" customHeight="1">
      <c r="A25" s="13">
        <f>IF(A24="","",IF(MONTH(A24+1)=$D$4,A24+1,""))</f>
        <v/>
      </c>
      <c r="B25" s="14">
        <f>IF($A25="","",CHOOSE(WEEKDAY($A25,2),"月","火","水","木","金","土","日"))</f>
        <v/>
      </c>
      <c r="C25" s="15" t="n"/>
      <c r="D25" s="15" t="n"/>
      <c r="E25" s="15" t="n"/>
      <c r="F25" s="16">
        <f>IF(OR($N25="",$O25=""),"",MAX(0,MOD($O25-$N25,1)-IF($P25&lt;&gt;"",$P25,IF(MOD($O25-$N25,1)&gt;設定!$E$8,設定!$E$7,0))))</f>
        <v/>
      </c>
      <c r="G25" s="15" t="n"/>
      <c r="H25" s="15" t="n"/>
      <c r="I25" s="15" t="n"/>
      <c r="J25" s="15" t="n"/>
      <c r="K25" s="17">
        <f>IF($A25="","",IFERROR(VLOOKUP($A25,祝日リスト!$A$2:$C$40,3,0),""))</f>
        <v/>
      </c>
      <c r="L25" s="18" t="n"/>
      <c r="M25" s="19">
        <f>IF($A25="","",IF($K25&lt;&gt;"","祝",IF(WEEKDAY($A25,2)=6,"土",IF(WEEKDAY($A25,2)=7,"日","平"))))</f>
        <v/>
      </c>
      <c r="N25" s="19">
        <f>IF(NOT(ISNUMBER($C25)),"",IF($C25&lt;1,$C25,(INT($C25/100)*60+MOD($C25,100))/1440))</f>
        <v/>
      </c>
      <c r="O25" s="19">
        <f>IF(NOT(ISNUMBER($D25)),"",IF($D25&lt;1,$D25,(INT($D25/100)*60+MOD($D25,100))/1440))</f>
        <v/>
      </c>
      <c r="P25" s="19">
        <f>IF(NOT(ISNUMBER($E25)),"",IF($E25&lt;1,$E25,(INT($E25/100)*60+MOD($E25,100))/1440))</f>
        <v/>
      </c>
      <c r="Q25" s="19">
        <f>IF(NOT(ISNUMBER($G25)),"",IF($G25&lt;1,$G25,(INT($G25/100)*60+MOD($G25,100))/1440))</f>
        <v/>
      </c>
      <c r="R25" s="19">
        <f>IF(NOT(ISNUMBER($H25)),"",IF($H25&lt;1,$H25,(INT($H25/100)*60+MOD($H25,100))/1440))</f>
        <v/>
      </c>
      <c r="S25" s="19">
        <f>IF(NOT(ISNUMBER($I25)),"",IF($I25&lt;1,$I25,(INT($I25/100)*60+MOD($I25,100))/1440))</f>
        <v/>
      </c>
      <c r="T25" s="19">
        <f>IF(NOT(ISNUMBER($J25)),"",IF($J25&lt;1,$J25,(INT($J25/100)*60+MOD($J25,100))/1440))</f>
        <v/>
      </c>
    </row>
    <row r="26" ht="19" customHeight="1">
      <c r="A26" s="13">
        <f>IF(A25="","",IF(MONTH(A25+1)=$D$4,A25+1,""))</f>
        <v/>
      </c>
      <c r="B26" s="14">
        <f>IF($A26="","",CHOOSE(WEEKDAY($A26,2),"月","火","水","木","金","土","日"))</f>
        <v/>
      </c>
      <c r="C26" s="15" t="n"/>
      <c r="D26" s="15" t="n"/>
      <c r="E26" s="15" t="n"/>
      <c r="F26" s="16">
        <f>IF(OR($N26="",$O26=""),"",MAX(0,MOD($O26-$N26,1)-IF($P26&lt;&gt;"",$P26,IF(MOD($O26-$N26,1)&gt;設定!$E$8,設定!$E$7,0))))</f>
        <v/>
      </c>
      <c r="G26" s="15" t="n"/>
      <c r="H26" s="15" t="n"/>
      <c r="I26" s="15" t="n"/>
      <c r="J26" s="15" t="n"/>
      <c r="K26" s="17">
        <f>IF($A26="","",IFERROR(VLOOKUP($A26,祝日リスト!$A$2:$C$40,3,0),""))</f>
        <v/>
      </c>
      <c r="L26" s="18" t="n"/>
      <c r="M26" s="19">
        <f>IF($A26="","",IF($K26&lt;&gt;"","祝",IF(WEEKDAY($A26,2)=6,"土",IF(WEEKDAY($A26,2)=7,"日","平"))))</f>
        <v/>
      </c>
      <c r="N26" s="19">
        <f>IF(NOT(ISNUMBER($C26)),"",IF($C26&lt;1,$C26,(INT($C26/100)*60+MOD($C26,100))/1440))</f>
        <v/>
      </c>
      <c r="O26" s="19">
        <f>IF(NOT(ISNUMBER($D26)),"",IF($D26&lt;1,$D26,(INT($D26/100)*60+MOD($D26,100))/1440))</f>
        <v/>
      </c>
      <c r="P26" s="19">
        <f>IF(NOT(ISNUMBER($E26)),"",IF($E26&lt;1,$E26,(INT($E26/100)*60+MOD($E26,100))/1440))</f>
        <v/>
      </c>
      <c r="Q26" s="19">
        <f>IF(NOT(ISNUMBER($G26)),"",IF($G26&lt;1,$G26,(INT($G26/100)*60+MOD($G26,100))/1440))</f>
        <v/>
      </c>
      <c r="R26" s="19">
        <f>IF(NOT(ISNUMBER($H26)),"",IF($H26&lt;1,$H26,(INT($H26/100)*60+MOD($H26,100))/1440))</f>
        <v/>
      </c>
      <c r="S26" s="19">
        <f>IF(NOT(ISNUMBER($I26)),"",IF($I26&lt;1,$I26,(INT($I26/100)*60+MOD($I26,100))/1440))</f>
        <v/>
      </c>
      <c r="T26" s="19">
        <f>IF(NOT(ISNUMBER($J26)),"",IF($J26&lt;1,$J26,(INT($J26/100)*60+MOD($J26,100))/1440))</f>
        <v/>
      </c>
    </row>
    <row r="27" ht="19" customHeight="1">
      <c r="A27" s="13">
        <f>IF(A26="","",IF(MONTH(A26+1)=$D$4,A26+1,""))</f>
        <v/>
      </c>
      <c r="B27" s="14">
        <f>IF($A27="","",CHOOSE(WEEKDAY($A27,2),"月","火","水","木","金","土","日"))</f>
        <v/>
      </c>
      <c r="C27" s="15" t="n"/>
      <c r="D27" s="15" t="n"/>
      <c r="E27" s="15" t="n"/>
      <c r="F27" s="16">
        <f>IF(OR($N27="",$O27=""),"",MAX(0,MOD($O27-$N27,1)-IF($P27&lt;&gt;"",$P27,IF(MOD($O27-$N27,1)&gt;設定!$E$8,設定!$E$7,0))))</f>
        <v/>
      </c>
      <c r="G27" s="15" t="n"/>
      <c r="H27" s="15" t="n"/>
      <c r="I27" s="15" t="n"/>
      <c r="J27" s="15" t="n"/>
      <c r="K27" s="17">
        <f>IF($A27="","",IFERROR(VLOOKUP($A27,祝日リスト!$A$2:$C$40,3,0),""))</f>
        <v/>
      </c>
      <c r="L27" s="18" t="n"/>
      <c r="M27" s="19">
        <f>IF($A27="","",IF($K27&lt;&gt;"","祝",IF(WEEKDAY($A27,2)=6,"土",IF(WEEKDAY($A27,2)=7,"日","平"))))</f>
        <v/>
      </c>
      <c r="N27" s="19">
        <f>IF(NOT(ISNUMBER($C27)),"",IF($C27&lt;1,$C27,(INT($C27/100)*60+MOD($C27,100))/1440))</f>
        <v/>
      </c>
      <c r="O27" s="19">
        <f>IF(NOT(ISNUMBER($D27)),"",IF($D27&lt;1,$D27,(INT($D27/100)*60+MOD($D27,100))/1440))</f>
        <v/>
      </c>
      <c r="P27" s="19">
        <f>IF(NOT(ISNUMBER($E27)),"",IF($E27&lt;1,$E27,(INT($E27/100)*60+MOD($E27,100))/1440))</f>
        <v/>
      </c>
      <c r="Q27" s="19">
        <f>IF(NOT(ISNUMBER($G27)),"",IF($G27&lt;1,$G27,(INT($G27/100)*60+MOD($G27,100))/1440))</f>
        <v/>
      </c>
      <c r="R27" s="19">
        <f>IF(NOT(ISNUMBER($H27)),"",IF($H27&lt;1,$H27,(INT($H27/100)*60+MOD($H27,100))/1440))</f>
        <v/>
      </c>
      <c r="S27" s="19">
        <f>IF(NOT(ISNUMBER($I27)),"",IF($I27&lt;1,$I27,(INT($I27/100)*60+MOD($I27,100))/1440))</f>
        <v/>
      </c>
      <c r="T27" s="19">
        <f>IF(NOT(ISNUMBER($J27)),"",IF($J27&lt;1,$J27,(INT($J27/100)*60+MOD($J27,100))/1440))</f>
        <v/>
      </c>
    </row>
    <row r="28" ht="19" customHeight="1">
      <c r="A28" s="13">
        <f>IF(A27="","",IF(MONTH(A27+1)=$D$4,A27+1,""))</f>
        <v/>
      </c>
      <c r="B28" s="14">
        <f>IF($A28="","",CHOOSE(WEEKDAY($A28,2),"月","火","水","木","金","土","日"))</f>
        <v/>
      </c>
      <c r="C28" s="15" t="n"/>
      <c r="D28" s="15" t="n"/>
      <c r="E28" s="15" t="n"/>
      <c r="F28" s="16">
        <f>IF(OR($N28="",$O28=""),"",MAX(0,MOD($O28-$N28,1)-IF($P28&lt;&gt;"",$P28,IF(MOD($O28-$N28,1)&gt;設定!$E$8,設定!$E$7,0))))</f>
        <v/>
      </c>
      <c r="G28" s="15" t="n"/>
      <c r="H28" s="15" t="n"/>
      <c r="I28" s="15" t="n"/>
      <c r="J28" s="15" t="n"/>
      <c r="K28" s="17">
        <f>IF($A28="","",IFERROR(VLOOKUP($A28,祝日リスト!$A$2:$C$40,3,0),""))</f>
        <v/>
      </c>
      <c r="L28" s="18" t="n"/>
      <c r="M28" s="19">
        <f>IF($A28="","",IF($K28&lt;&gt;"","祝",IF(WEEKDAY($A28,2)=6,"土",IF(WEEKDAY($A28,2)=7,"日","平"))))</f>
        <v/>
      </c>
      <c r="N28" s="19">
        <f>IF(NOT(ISNUMBER($C28)),"",IF($C28&lt;1,$C28,(INT($C28/100)*60+MOD($C28,100))/1440))</f>
        <v/>
      </c>
      <c r="O28" s="19">
        <f>IF(NOT(ISNUMBER($D28)),"",IF($D28&lt;1,$D28,(INT($D28/100)*60+MOD($D28,100))/1440))</f>
        <v/>
      </c>
      <c r="P28" s="19">
        <f>IF(NOT(ISNUMBER($E28)),"",IF($E28&lt;1,$E28,(INT($E28/100)*60+MOD($E28,100))/1440))</f>
        <v/>
      </c>
      <c r="Q28" s="19">
        <f>IF(NOT(ISNUMBER($G28)),"",IF($G28&lt;1,$G28,(INT($G28/100)*60+MOD($G28,100))/1440))</f>
        <v/>
      </c>
      <c r="R28" s="19">
        <f>IF(NOT(ISNUMBER($H28)),"",IF($H28&lt;1,$H28,(INT($H28/100)*60+MOD($H28,100))/1440))</f>
        <v/>
      </c>
      <c r="S28" s="19">
        <f>IF(NOT(ISNUMBER($I28)),"",IF($I28&lt;1,$I28,(INT($I28/100)*60+MOD($I28,100))/1440))</f>
        <v/>
      </c>
      <c r="T28" s="19">
        <f>IF(NOT(ISNUMBER($J28)),"",IF($J28&lt;1,$J28,(INT($J28/100)*60+MOD($J28,100))/1440))</f>
        <v/>
      </c>
    </row>
    <row r="29" ht="19" customHeight="1">
      <c r="A29" s="13">
        <f>IF(A28="","",IF(MONTH(A28+1)=$D$4,A28+1,""))</f>
        <v/>
      </c>
      <c r="B29" s="14">
        <f>IF($A29="","",CHOOSE(WEEKDAY($A29,2),"月","火","水","木","金","土","日"))</f>
        <v/>
      </c>
      <c r="C29" s="15" t="n"/>
      <c r="D29" s="15" t="n"/>
      <c r="E29" s="15" t="n"/>
      <c r="F29" s="16">
        <f>IF(OR($N29="",$O29=""),"",MAX(0,MOD($O29-$N29,1)-IF($P29&lt;&gt;"",$P29,IF(MOD($O29-$N29,1)&gt;設定!$E$8,設定!$E$7,0))))</f>
        <v/>
      </c>
      <c r="G29" s="15" t="n"/>
      <c r="H29" s="15" t="n"/>
      <c r="I29" s="15" t="n"/>
      <c r="J29" s="15" t="n"/>
      <c r="K29" s="17">
        <f>IF($A29="","",IFERROR(VLOOKUP($A29,祝日リスト!$A$2:$C$40,3,0),""))</f>
        <v/>
      </c>
      <c r="L29" s="18" t="n"/>
      <c r="M29" s="19">
        <f>IF($A29="","",IF($K29&lt;&gt;"","祝",IF(WEEKDAY($A29,2)=6,"土",IF(WEEKDAY($A29,2)=7,"日","平"))))</f>
        <v/>
      </c>
      <c r="N29" s="19">
        <f>IF(NOT(ISNUMBER($C29)),"",IF($C29&lt;1,$C29,(INT($C29/100)*60+MOD($C29,100))/1440))</f>
        <v/>
      </c>
      <c r="O29" s="19">
        <f>IF(NOT(ISNUMBER($D29)),"",IF($D29&lt;1,$D29,(INT($D29/100)*60+MOD($D29,100))/1440))</f>
        <v/>
      </c>
      <c r="P29" s="19">
        <f>IF(NOT(ISNUMBER($E29)),"",IF($E29&lt;1,$E29,(INT($E29/100)*60+MOD($E29,100))/1440))</f>
        <v/>
      </c>
      <c r="Q29" s="19">
        <f>IF(NOT(ISNUMBER($G29)),"",IF($G29&lt;1,$G29,(INT($G29/100)*60+MOD($G29,100))/1440))</f>
        <v/>
      </c>
      <c r="R29" s="19">
        <f>IF(NOT(ISNUMBER($H29)),"",IF($H29&lt;1,$H29,(INT($H29/100)*60+MOD($H29,100))/1440))</f>
        <v/>
      </c>
      <c r="S29" s="19">
        <f>IF(NOT(ISNUMBER($I29)),"",IF($I29&lt;1,$I29,(INT($I29/100)*60+MOD($I29,100))/1440))</f>
        <v/>
      </c>
      <c r="T29" s="19">
        <f>IF(NOT(ISNUMBER($J29)),"",IF($J29&lt;1,$J29,(INT($J29/100)*60+MOD($J29,100))/1440))</f>
        <v/>
      </c>
    </row>
    <row r="30" ht="19" customHeight="1">
      <c r="A30" s="13">
        <f>IF(A29="","",IF(MONTH(A29+1)=$D$4,A29+1,""))</f>
        <v/>
      </c>
      <c r="B30" s="14">
        <f>IF($A30="","",CHOOSE(WEEKDAY($A30,2),"月","火","水","木","金","土","日"))</f>
        <v/>
      </c>
      <c r="C30" s="15" t="n"/>
      <c r="D30" s="15" t="n"/>
      <c r="E30" s="15" t="n"/>
      <c r="F30" s="16">
        <f>IF(OR($N30="",$O30=""),"",MAX(0,MOD($O30-$N30,1)-IF($P30&lt;&gt;"",$P30,IF(MOD($O30-$N30,1)&gt;設定!$E$8,設定!$E$7,0))))</f>
        <v/>
      </c>
      <c r="G30" s="15" t="n"/>
      <c r="H30" s="15" t="n"/>
      <c r="I30" s="15" t="n"/>
      <c r="J30" s="15" t="n"/>
      <c r="K30" s="17">
        <f>IF($A30="","",IFERROR(VLOOKUP($A30,祝日リスト!$A$2:$C$40,3,0),""))</f>
        <v/>
      </c>
      <c r="L30" s="18" t="n"/>
      <c r="M30" s="19">
        <f>IF($A30="","",IF($K30&lt;&gt;"","祝",IF(WEEKDAY($A30,2)=6,"土",IF(WEEKDAY($A30,2)=7,"日","平"))))</f>
        <v/>
      </c>
      <c r="N30" s="19">
        <f>IF(NOT(ISNUMBER($C30)),"",IF($C30&lt;1,$C30,(INT($C30/100)*60+MOD($C30,100))/1440))</f>
        <v/>
      </c>
      <c r="O30" s="19">
        <f>IF(NOT(ISNUMBER($D30)),"",IF($D30&lt;1,$D30,(INT($D30/100)*60+MOD($D30,100))/1440))</f>
        <v/>
      </c>
      <c r="P30" s="19">
        <f>IF(NOT(ISNUMBER($E30)),"",IF($E30&lt;1,$E30,(INT($E30/100)*60+MOD($E30,100))/1440))</f>
        <v/>
      </c>
      <c r="Q30" s="19">
        <f>IF(NOT(ISNUMBER($G30)),"",IF($G30&lt;1,$G30,(INT($G30/100)*60+MOD($G30,100))/1440))</f>
        <v/>
      </c>
      <c r="R30" s="19">
        <f>IF(NOT(ISNUMBER($H30)),"",IF($H30&lt;1,$H30,(INT($H30/100)*60+MOD($H30,100))/1440))</f>
        <v/>
      </c>
      <c r="S30" s="19">
        <f>IF(NOT(ISNUMBER($I30)),"",IF($I30&lt;1,$I30,(INT($I30/100)*60+MOD($I30,100))/1440))</f>
        <v/>
      </c>
      <c r="T30" s="19">
        <f>IF(NOT(ISNUMBER($J30)),"",IF($J30&lt;1,$J30,(INT($J30/100)*60+MOD($J30,100))/1440))</f>
        <v/>
      </c>
    </row>
    <row r="31" ht="19" customHeight="1">
      <c r="A31" s="13">
        <f>IF(A30="","",IF(MONTH(A30+1)=$D$4,A30+1,""))</f>
        <v/>
      </c>
      <c r="B31" s="14">
        <f>IF($A31="","",CHOOSE(WEEKDAY($A31,2),"月","火","水","木","金","土","日"))</f>
        <v/>
      </c>
      <c r="C31" s="15" t="n"/>
      <c r="D31" s="15" t="n"/>
      <c r="E31" s="15" t="n"/>
      <c r="F31" s="16">
        <f>IF(OR($N31="",$O31=""),"",MAX(0,MOD($O31-$N31,1)-IF($P31&lt;&gt;"",$P31,IF(MOD($O31-$N31,1)&gt;設定!$E$8,設定!$E$7,0))))</f>
        <v/>
      </c>
      <c r="G31" s="15" t="n"/>
      <c r="H31" s="15" t="n"/>
      <c r="I31" s="15" t="n"/>
      <c r="J31" s="15" t="n"/>
      <c r="K31" s="17">
        <f>IF($A31="","",IFERROR(VLOOKUP($A31,祝日リスト!$A$2:$C$40,3,0),""))</f>
        <v/>
      </c>
      <c r="L31" s="18" t="n"/>
      <c r="M31" s="19">
        <f>IF($A31="","",IF($K31&lt;&gt;"","祝",IF(WEEKDAY($A31,2)=6,"土",IF(WEEKDAY($A31,2)=7,"日","平"))))</f>
        <v/>
      </c>
      <c r="N31" s="19">
        <f>IF(NOT(ISNUMBER($C31)),"",IF($C31&lt;1,$C31,(INT($C31/100)*60+MOD($C31,100))/1440))</f>
        <v/>
      </c>
      <c r="O31" s="19">
        <f>IF(NOT(ISNUMBER($D31)),"",IF($D31&lt;1,$D31,(INT($D31/100)*60+MOD($D31,100))/1440))</f>
        <v/>
      </c>
      <c r="P31" s="19">
        <f>IF(NOT(ISNUMBER($E31)),"",IF($E31&lt;1,$E31,(INT($E31/100)*60+MOD($E31,100))/1440))</f>
        <v/>
      </c>
      <c r="Q31" s="19">
        <f>IF(NOT(ISNUMBER($G31)),"",IF($G31&lt;1,$G31,(INT($G31/100)*60+MOD($G31,100))/1440))</f>
        <v/>
      </c>
      <c r="R31" s="19">
        <f>IF(NOT(ISNUMBER($H31)),"",IF($H31&lt;1,$H31,(INT($H31/100)*60+MOD($H31,100))/1440))</f>
        <v/>
      </c>
      <c r="S31" s="19">
        <f>IF(NOT(ISNUMBER($I31)),"",IF($I31&lt;1,$I31,(INT($I31/100)*60+MOD($I31,100))/1440))</f>
        <v/>
      </c>
      <c r="T31" s="19">
        <f>IF(NOT(ISNUMBER($J31)),"",IF($J31&lt;1,$J31,(INT($J31/100)*60+MOD($J31,100))/1440))</f>
        <v/>
      </c>
    </row>
    <row r="32" ht="19" customHeight="1">
      <c r="A32" s="13">
        <f>IF(A31="","",IF(MONTH(A31+1)=$D$4,A31+1,""))</f>
        <v/>
      </c>
      <c r="B32" s="14">
        <f>IF($A32="","",CHOOSE(WEEKDAY($A32,2),"月","火","水","木","金","土","日"))</f>
        <v/>
      </c>
      <c r="C32" s="15" t="n"/>
      <c r="D32" s="15" t="n"/>
      <c r="E32" s="15" t="n"/>
      <c r="F32" s="16">
        <f>IF(OR($N32="",$O32=""),"",MAX(0,MOD($O32-$N32,1)-IF($P32&lt;&gt;"",$P32,IF(MOD($O32-$N32,1)&gt;設定!$E$8,設定!$E$7,0))))</f>
        <v/>
      </c>
      <c r="G32" s="15" t="n"/>
      <c r="H32" s="15" t="n"/>
      <c r="I32" s="15" t="n"/>
      <c r="J32" s="15" t="n"/>
      <c r="K32" s="17">
        <f>IF($A32="","",IFERROR(VLOOKUP($A32,祝日リスト!$A$2:$C$40,3,0),""))</f>
        <v/>
      </c>
      <c r="L32" s="18" t="n"/>
      <c r="M32" s="19">
        <f>IF($A32="","",IF($K32&lt;&gt;"","祝",IF(WEEKDAY($A32,2)=6,"土",IF(WEEKDAY($A32,2)=7,"日","平"))))</f>
        <v/>
      </c>
      <c r="N32" s="19">
        <f>IF(NOT(ISNUMBER($C32)),"",IF($C32&lt;1,$C32,(INT($C32/100)*60+MOD($C32,100))/1440))</f>
        <v/>
      </c>
      <c r="O32" s="19">
        <f>IF(NOT(ISNUMBER($D32)),"",IF($D32&lt;1,$D32,(INT($D32/100)*60+MOD($D32,100))/1440))</f>
        <v/>
      </c>
      <c r="P32" s="19">
        <f>IF(NOT(ISNUMBER($E32)),"",IF($E32&lt;1,$E32,(INT($E32/100)*60+MOD($E32,100))/1440))</f>
        <v/>
      </c>
      <c r="Q32" s="19">
        <f>IF(NOT(ISNUMBER($G32)),"",IF($G32&lt;1,$G32,(INT($G32/100)*60+MOD($G32,100))/1440))</f>
        <v/>
      </c>
      <c r="R32" s="19">
        <f>IF(NOT(ISNUMBER($H32)),"",IF($H32&lt;1,$H32,(INT($H32/100)*60+MOD($H32,100))/1440))</f>
        <v/>
      </c>
      <c r="S32" s="19">
        <f>IF(NOT(ISNUMBER($I32)),"",IF($I32&lt;1,$I32,(INT($I32/100)*60+MOD($I32,100))/1440))</f>
        <v/>
      </c>
      <c r="T32" s="19">
        <f>IF(NOT(ISNUMBER($J32)),"",IF($J32&lt;1,$J32,(INT($J32/100)*60+MOD($J32,100))/1440))</f>
        <v/>
      </c>
    </row>
    <row r="33" ht="19" customHeight="1">
      <c r="A33" s="13">
        <f>IF(A32="","",IF(MONTH(A32+1)=$D$4,A32+1,""))</f>
        <v/>
      </c>
      <c r="B33" s="14">
        <f>IF($A33="","",CHOOSE(WEEKDAY($A33,2),"月","火","水","木","金","土","日"))</f>
        <v/>
      </c>
      <c r="C33" s="15" t="n"/>
      <c r="D33" s="15" t="n"/>
      <c r="E33" s="15" t="n"/>
      <c r="F33" s="16">
        <f>IF(OR($N33="",$O33=""),"",MAX(0,MOD($O33-$N33,1)-IF($P33&lt;&gt;"",$P33,IF(MOD($O33-$N33,1)&gt;設定!$E$8,設定!$E$7,0))))</f>
        <v/>
      </c>
      <c r="G33" s="15" t="n"/>
      <c r="H33" s="15" t="n"/>
      <c r="I33" s="15" t="n"/>
      <c r="J33" s="15" t="n"/>
      <c r="K33" s="17">
        <f>IF($A33="","",IFERROR(VLOOKUP($A33,祝日リスト!$A$2:$C$40,3,0),""))</f>
        <v/>
      </c>
      <c r="L33" s="18" t="n"/>
      <c r="M33" s="19">
        <f>IF($A33="","",IF($K33&lt;&gt;"","祝",IF(WEEKDAY($A33,2)=6,"土",IF(WEEKDAY($A33,2)=7,"日","平"))))</f>
        <v/>
      </c>
      <c r="N33" s="19">
        <f>IF(NOT(ISNUMBER($C33)),"",IF($C33&lt;1,$C33,(INT($C33/100)*60+MOD($C33,100))/1440))</f>
        <v/>
      </c>
      <c r="O33" s="19">
        <f>IF(NOT(ISNUMBER($D33)),"",IF($D33&lt;1,$D33,(INT($D33/100)*60+MOD($D33,100))/1440))</f>
        <v/>
      </c>
      <c r="P33" s="19">
        <f>IF(NOT(ISNUMBER($E33)),"",IF($E33&lt;1,$E33,(INT($E33/100)*60+MOD($E33,100))/1440))</f>
        <v/>
      </c>
      <c r="Q33" s="19">
        <f>IF(NOT(ISNUMBER($G33)),"",IF($G33&lt;1,$G33,(INT($G33/100)*60+MOD($G33,100))/1440))</f>
        <v/>
      </c>
      <c r="R33" s="19">
        <f>IF(NOT(ISNUMBER($H33)),"",IF($H33&lt;1,$H33,(INT($H33/100)*60+MOD($H33,100))/1440))</f>
        <v/>
      </c>
      <c r="S33" s="19">
        <f>IF(NOT(ISNUMBER($I33)),"",IF($I33&lt;1,$I33,(INT($I33/100)*60+MOD($I33,100))/1440))</f>
        <v/>
      </c>
      <c r="T33" s="19">
        <f>IF(NOT(ISNUMBER($J33)),"",IF($J33&lt;1,$J33,(INT($J33/100)*60+MOD($J33,100))/1440))</f>
        <v/>
      </c>
    </row>
    <row r="34" ht="19" customHeight="1">
      <c r="A34" s="13">
        <f>IF(A33="","",IF(MONTH(A33+1)=$D$4,A33+1,""))</f>
        <v/>
      </c>
      <c r="B34" s="14">
        <f>IF($A34="","",CHOOSE(WEEKDAY($A34,2),"月","火","水","木","金","土","日"))</f>
        <v/>
      </c>
      <c r="C34" s="15" t="n"/>
      <c r="D34" s="15" t="n"/>
      <c r="E34" s="15" t="n"/>
      <c r="F34" s="16">
        <f>IF(OR($N34="",$O34=""),"",MAX(0,MOD($O34-$N34,1)-IF($P34&lt;&gt;"",$P34,IF(MOD($O34-$N34,1)&gt;設定!$E$8,設定!$E$7,0))))</f>
        <v/>
      </c>
      <c r="G34" s="15" t="n"/>
      <c r="H34" s="15" t="n"/>
      <c r="I34" s="15" t="n"/>
      <c r="J34" s="15" t="n"/>
      <c r="K34" s="17">
        <f>IF($A34="","",IFERROR(VLOOKUP($A34,祝日リスト!$A$2:$C$40,3,0),""))</f>
        <v/>
      </c>
      <c r="L34" s="18" t="n"/>
      <c r="M34" s="19">
        <f>IF($A34="","",IF($K34&lt;&gt;"","祝",IF(WEEKDAY($A34,2)=6,"土",IF(WEEKDAY($A34,2)=7,"日","平"))))</f>
        <v/>
      </c>
      <c r="N34" s="19">
        <f>IF(NOT(ISNUMBER($C34)),"",IF($C34&lt;1,$C34,(INT($C34/100)*60+MOD($C34,100))/1440))</f>
        <v/>
      </c>
      <c r="O34" s="19">
        <f>IF(NOT(ISNUMBER($D34)),"",IF($D34&lt;1,$D34,(INT($D34/100)*60+MOD($D34,100))/1440))</f>
        <v/>
      </c>
      <c r="P34" s="19">
        <f>IF(NOT(ISNUMBER($E34)),"",IF($E34&lt;1,$E34,(INT($E34/100)*60+MOD($E34,100))/1440))</f>
        <v/>
      </c>
      <c r="Q34" s="19">
        <f>IF(NOT(ISNUMBER($G34)),"",IF($G34&lt;1,$G34,(INT($G34/100)*60+MOD($G34,100))/1440))</f>
        <v/>
      </c>
      <c r="R34" s="19">
        <f>IF(NOT(ISNUMBER($H34)),"",IF($H34&lt;1,$H34,(INT($H34/100)*60+MOD($H34,100))/1440))</f>
        <v/>
      </c>
      <c r="S34" s="19">
        <f>IF(NOT(ISNUMBER($I34)),"",IF($I34&lt;1,$I34,(INT($I34/100)*60+MOD($I34,100))/1440))</f>
        <v/>
      </c>
      <c r="T34" s="19">
        <f>IF(NOT(ISNUMBER($J34)),"",IF($J34&lt;1,$J34,(INT($J34/100)*60+MOD($J34,100))/1440))</f>
        <v/>
      </c>
    </row>
    <row r="35" ht="19" customHeight="1">
      <c r="A35" s="13">
        <f>IF(A34="","",IF(MONTH(A34+1)=$D$4,A34+1,""))</f>
        <v/>
      </c>
      <c r="B35" s="14">
        <f>IF($A35="","",CHOOSE(WEEKDAY($A35,2),"月","火","水","木","金","土","日"))</f>
        <v/>
      </c>
      <c r="C35" s="15" t="n"/>
      <c r="D35" s="15" t="n"/>
      <c r="E35" s="15" t="n"/>
      <c r="F35" s="16">
        <f>IF(OR($N35="",$O35=""),"",MAX(0,MOD($O35-$N35,1)-IF($P35&lt;&gt;"",$P35,IF(MOD($O35-$N35,1)&gt;設定!$E$8,設定!$E$7,0))))</f>
        <v/>
      </c>
      <c r="G35" s="15" t="n"/>
      <c r="H35" s="15" t="n"/>
      <c r="I35" s="15" t="n"/>
      <c r="J35" s="15" t="n"/>
      <c r="K35" s="17">
        <f>IF($A35="","",IFERROR(VLOOKUP($A35,祝日リスト!$A$2:$C$40,3,0),""))</f>
        <v/>
      </c>
      <c r="L35" s="18" t="n"/>
      <c r="M35" s="19">
        <f>IF($A35="","",IF($K35&lt;&gt;"","祝",IF(WEEKDAY($A35,2)=6,"土",IF(WEEKDAY($A35,2)=7,"日","平"))))</f>
        <v/>
      </c>
      <c r="N35" s="19">
        <f>IF(NOT(ISNUMBER($C35)),"",IF($C35&lt;1,$C35,(INT($C35/100)*60+MOD($C35,100))/1440))</f>
        <v/>
      </c>
      <c r="O35" s="19">
        <f>IF(NOT(ISNUMBER($D35)),"",IF($D35&lt;1,$D35,(INT($D35/100)*60+MOD($D35,100))/1440))</f>
        <v/>
      </c>
      <c r="P35" s="19">
        <f>IF(NOT(ISNUMBER($E35)),"",IF($E35&lt;1,$E35,(INT($E35/100)*60+MOD($E35,100))/1440))</f>
        <v/>
      </c>
      <c r="Q35" s="19">
        <f>IF(NOT(ISNUMBER($G35)),"",IF($G35&lt;1,$G35,(INT($G35/100)*60+MOD($G35,100))/1440))</f>
        <v/>
      </c>
      <c r="R35" s="19">
        <f>IF(NOT(ISNUMBER($H35)),"",IF($H35&lt;1,$H35,(INT($H35/100)*60+MOD($H35,100))/1440))</f>
        <v/>
      </c>
      <c r="S35" s="19">
        <f>IF(NOT(ISNUMBER($I35)),"",IF($I35&lt;1,$I35,(INT($I35/100)*60+MOD($I35,100))/1440))</f>
        <v/>
      </c>
      <c r="T35" s="19">
        <f>IF(NOT(ISNUMBER($J35)),"",IF($J35&lt;1,$J35,(INT($J35/100)*60+MOD($J35,100))/1440))</f>
        <v/>
      </c>
    </row>
    <row r="36" ht="19" customHeight="1">
      <c r="A36" s="13">
        <f>IF(A35="","",IF(MONTH(A35+1)=$D$4,A35+1,""))</f>
        <v/>
      </c>
      <c r="B36" s="14">
        <f>IF($A36="","",CHOOSE(WEEKDAY($A36,2),"月","火","水","木","金","土","日"))</f>
        <v/>
      </c>
      <c r="C36" s="15" t="n"/>
      <c r="D36" s="15" t="n"/>
      <c r="E36" s="15" t="n"/>
      <c r="F36" s="16">
        <f>IF(OR($N36="",$O36=""),"",MAX(0,MOD($O36-$N36,1)-IF($P36&lt;&gt;"",$P36,IF(MOD($O36-$N36,1)&gt;設定!$E$8,設定!$E$7,0))))</f>
        <v/>
      </c>
      <c r="G36" s="15" t="n"/>
      <c r="H36" s="15" t="n"/>
      <c r="I36" s="15" t="n"/>
      <c r="J36" s="15" t="n"/>
      <c r="K36" s="17">
        <f>IF($A36="","",IFERROR(VLOOKUP($A36,祝日リスト!$A$2:$C$40,3,0),""))</f>
        <v/>
      </c>
      <c r="L36" s="18" t="n"/>
      <c r="M36" s="19">
        <f>IF($A36="","",IF($K36&lt;&gt;"","祝",IF(WEEKDAY($A36,2)=6,"土",IF(WEEKDAY($A36,2)=7,"日","平"))))</f>
        <v/>
      </c>
      <c r="N36" s="19">
        <f>IF(NOT(ISNUMBER($C36)),"",IF($C36&lt;1,$C36,(INT($C36/100)*60+MOD($C36,100))/1440))</f>
        <v/>
      </c>
      <c r="O36" s="19">
        <f>IF(NOT(ISNUMBER($D36)),"",IF($D36&lt;1,$D36,(INT($D36/100)*60+MOD($D36,100))/1440))</f>
        <v/>
      </c>
      <c r="P36" s="19">
        <f>IF(NOT(ISNUMBER($E36)),"",IF($E36&lt;1,$E36,(INT($E36/100)*60+MOD($E36,100))/1440))</f>
        <v/>
      </c>
      <c r="Q36" s="19">
        <f>IF(NOT(ISNUMBER($G36)),"",IF($G36&lt;1,$G36,(INT($G36/100)*60+MOD($G36,100))/1440))</f>
        <v/>
      </c>
      <c r="R36" s="19">
        <f>IF(NOT(ISNUMBER($H36)),"",IF($H36&lt;1,$H36,(INT($H36/100)*60+MOD($H36,100))/1440))</f>
        <v/>
      </c>
      <c r="S36" s="19">
        <f>IF(NOT(ISNUMBER($I36)),"",IF($I36&lt;1,$I36,(INT($I36/100)*60+MOD($I36,100))/1440))</f>
        <v/>
      </c>
      <c r="T36" s="19">
        <f>IF(NOT(ISNUMBER($J36)),"",IF($J36&lt;1,$J36,(INT($J36/100)*60+MOD($J36,100))/1440))</f>
        <v/>
      </c>
    </row>
    <row r="37" ht="19" customHeight="1">
      <c r="A37" s="13">
        <f>IF(A36="","",IF(MONTH(A36+1)=$D$4,A36+1,""))</f>
        <v/>
      </c>
      <c r="B37" s="14">
        <f>IF($A37="","",CHOOSE(WEEKDAY($A37,2),"月","火","水","木","金","土","日"))</f>
        <v/>
      </c>
      <c r="C37" s="15" t="n"/>
      <c r="D37" s="15" t="n"/>
      <c r="E37" s="15" t="n"/>
      <c r="F37" s="16">
        <f>IF(OR($N37="",$O37=""),"",MAX(0,MOD($O37-$N37,1)-IF($P37&lt;&gt;"",$P37,IF(MOD($O37-$N37,1)&gt;設定!$E$8,設定!$E$7,0))))</f>
        <v/>
      </c>
      <c r="G37" s="15" t="n"/>
      <c r="H37" s="15" t="n"/>
      <c r="I37" s="15" t="n"/>
      <c r="J37" s="15" t="n"/>
      <c r="K37" s="17">
        <f>IF($A37="","",IFERROR(VLOOKUP($A37,祝日リスト!$A$2:$C$40,3,0),""))</f>
        <v/>
      </c>
      <c r="L37" s="18" t="n"/>
      <c r="M37" s="19">
        <f>IF($A37="","",IF($K37&lt;&gt;"","祝",IF(WEEKDAY($A37,2)=6,"土",IF(WEEKDAY($A37,2)=7,"日","平"))))</f>
        <v/>
      </c>
      <c r="N37" s="19">
        <f>IF(NOT(ISNUMBER($C37)),"",IF($C37&lt;1,$C37,(INT($C37/100)*60+MOD($C37,100))/1440))</f>
        <v/>
      </c>
      <c r="O37" s="19">
        <f>IF(NOT(ISNUMBER($D37)),"",IF($D37&lt;1,$D37,(INT($D37/100)*60+MOD($D37,100))/1440))</f>
        <v/>
      </c>
      <c r="P37" s="19">
        <f>IF(NOT(ISNUMBER($E37)),"",IF($E37&lt;1,$E37,(INT($E37/100)*60+MOD($E37,100))/1440))</f>
        <v/>
      </c>
      <c r="Q37" s="19">
        <f>IF(NOT(ISNUMBER($G37)),"",IF($G37&lt;1,$G37,(INT($G37/100)*60+MOD($G37,100))/1440))</f>
        <v/>
      </c>
      <c r="R37" s="19">
        <f>IF(NOT(ISNUMBER($H37)),"",IF($H37&lt;1,$H37,(INT($H37/100)*60+MOD($H37,100))/1440))</f>
        <v/>
      </c>
      <c r="S37" s="19">
        <f>IF(NOT(ISNUMBER($I37)),"",IF($I37&lt;1,$I37,(INT($I37/100)*60+MOD($I37,100))/1440))</f>
        <v/>
      </c>
      <c r="T37" s="19">
        <f>IF(NOT(ISNUMBER($J37)),"",IF($J37&lt;1,$J37,(INT($J37/100)*60+MOD($J37,100))/1440))</f>
        <v/>
      </c>
    </row>
    <row r="38" ht="19" customHeight="1">
      <c r="A38" s="20">
        <f>IF(A37="","",IF(MONTH(A37+1)=$D$4,A37+1,""))</f>
        <v/>
      </c>
      <c r="B38" s="21">
        <f>IF($A38="","",CHOOSE(WEEKDAY($A38,2),"月","火","水","木","金","土","日"))</f>
        <v/>
      </c>
      <c r="C38" s="22" t="n"/>
      <c r="D38" s="22" t="n"/>
      <c r="E38" s="22" t="n"/>
      <c r="F38" s="23">
        <f>IF(OR($N38="",$O38=""),"",MAX(0,MOD($O38-$N38,1)-IF($P38&lt;&gt;"",$P38,IF(MOD($O38-$N38,1)&gt;設定!$E$8,設定!$E$7,0))))</f>
        <v/>
      </c>
      <c r="G38" s="22" t="n"/>
      <c r="H38" s="22" t="n"/>
      <c r="I38" s="22" t="n"/>
      <c r="J38" s="22" t="n"/>
      <c r="K38" s="24">
        <f>IF($A38="","",IFERROR(VLOOKUP($A38,祝日リスト!$A$2:$C$40,3,0),""))</f>
        <v/>
      </c>
      <c r="L38" s="25" t="n"/>
      <c r="M38" s="19">
        <f>IF($A38="","",IF($K38&lt;&gt;"","祝",IF(WEEKDAY($A38,2)=6,"土",IF(WEEKDAY($A38,2)=7,"日","平"))))</f>
        <v/>
      </c>
      <c r="N38" s="19">
        <f>IF(NOT(ISNUMBER($C38)),"",IF($C38&lt;1,$C38,(INT($C38/100)*60+MOD($C38,100))/1440))</f>
        <v/>
      </c>
      <c r="O38" s="19">
        <f>IF(NOT(ISNUMBER($D38)),"",IF($D38&lt;1,$D38,(INT($D38/100)*60+MOD($D38,100))/1440))</f>
        <v/>
      </c>
      <c r="P38" s="19">
        <f>IF(NOT(ISNUMBER($E38)),"",IF($E38&lt;1,$E38,(INT($E38/100)*60+MOD($E38,100))/1440))</f>
        <v/>
      </c>
      <c r="Q38" s="19">
        <f>IF(NOT(ISNUMBER($G38)),"",IF($G38&lt;1,$G38,(INT($G38/100)*60+MOD($G38,100))/1440))</f>
        <v/>
      </c>
      <c r="R38" s="19">
        <f>IF(NOT(ISNUMBER($H38)),"",IF($H38&lt;1,$H38,(INT($H38/100)*60+MOD($H38,100))/1440))</f>
        <v/>
      </c>
      <c r="S38" s="19">
        <f>IF(NOT(ISNUMBER($I38)),"",IF($I38&lt;1,$I38,(INT($I38/100)*60+MOD($I38,100))/1440))</f>
        <v/>
      </c>
      <c r="T38" s="19">
        <f>IF(NOT(ISNUMBER($J38)),"",IF($J38&lt;1,$J38,(INT($J38/100)*60+MOD($J38,100))/1440))</f>
        <v/>
      </c>
    </row>
    <row r="40" ht="20" customHeight="1">
      <c r="A40" s="26" t="inlineStr">
        <is>
          <t>月次集計</t>
        </is>
      </c>
    </row>
    <row r="41" ht="18" customHeight="1">
      <c r="A41" s="27" t="inlineStr">
        <is>
          <t>出勤日数</t>
        </is>
      </c>
      <c r="D41" s="28">
        <f>COUNT($N$8:$N$38)</f>
        <v/>
      </c>
      <c r="E41" s="29" t="inlineStr">
        <is>
          <t>日</t>
        </is>
      </c>
      <c r="G41" s="27" t="inlineStr">
        <is>
          <t>通常残業</t>
        </is>
      </c>
      <c r="K41" s="30">
        <f>SUM($Q$8:$Q$38)</f>
        <v/>
      </c>
    </row>
    <row r="42" ht="18" customHeight="1">
      <c r="A42" s="27" t="inlineStr">
        <is>
          <t>実働時間 合計</t>
        </is>
      </c>
      <c r="D42" s="30">
        <f>SUM($F$8:$F$38)</f>
        <v/>
      </c>
      <c r="G42" s="27" t="inlineStr">
        <is>
          <t>深夜残業</t>
        </is>
      </c>
      <c r="K42" s="30">
        <f>SUM($R$8:$R$38)</f>
        <v/>
      </c>
    </row>
    <row r="43" ht="18" customHeight="1">
      <c r="A43" s="31" t="inlineStr">
        <is>
          <t xml:space="preserve">　うち 平日</t>
        </is>
      </c>
      <c r="D43" s="30">
        <f>SUMIF($M$8:$M$38,"平",$F$8:$F$38)</f>
        <v/>
      </c>
      <c r="G43" s="27" t="inlineStr">
        <is>
          <t>早朝残業</t>
        </is>
      </c>
      <c r="K43" s="30">
        <f>SUM($S$8:$S$38)</f>
        <v/>
      </c>
    </row>
    <row r="44" ht="18" customHeight="1">
      <c r="A44" s="31" t="inlineStr">
        <is>
          <t xml:space="preserve">　うち 土曜</t>
        </is>
      </c>
      <c r="D44" s="30">
        <f>SUMIF($M$8:$M$38,"土",$F$8:$F$38)</f>
        <v/>
      </c>
      <c r="G44" s="27" t="inlineStr">
        <is>
          <t>遅刻・早退</t>
        </is>
      </c>
      <c r="K44" s="30">
        <f>SUM($T$8:$T$38)</f>
        <v/>
      </c>
    </row>
    <row r="45" ht="18" customHeight="1">
      <c r="A45" s="31" t="inlineStr">
        <is>
          <t xml:space="preserve">　うち 日曜・祝日</t>
        </is>
      </c>
      <c r="D45" s="30">
        <f>SUMIF($M$8:$M$38,"日",$F$8:$F$38)+SUMIF($M$8:$M$38,"祝",$F$8:$F$38)</f>
        <v/>
      </c>
      <c r="G45" s="27" t="inlineStr">
        <is>
          <t>所定超過(実働-所定×出勤日数)</t>
        </is>
      </c>
      <c r="K45" s="30">
        <f>MAX(0,SUM($F$8:$F$38)-設定!$E$6*COUNT($N$8:$N$38))</f>
        <v/>
      </c>
    </row>
    <row r="47">
      <c r="A47" s="11" t="inlineStr">
        <is>
          <t>※ 残業欄は実働時間の内数です。実働は「退勤－出勤－休憩」で自動計算されます。</t>
        </is>
      </c>
    </row>
    <row r="49" ht="30" customHeight="1">
      <c r="G49" s="9" t="inlineStr">
        <is>
          <t>承認</t>
        </is>
      </c>
      <c r="H49" s="32" t="n"/>
      <c r="J49" s="32" t="n"/>
    </row>
    <row r="50">
      <c r="H50" s="33" t="inlineStr">
        <is>
          <t>本人</t>
        </is>
      </c>
      <c r="J50" s="33" t="inlineStr">
        <is>
          <t>上長</t>
        </is>
      </c>
    </row>
  </sheetData>
  <mergeCells count="15">
    <mergeCell ref="G44:J44"/>
    <mergeCell ref="A42:C42"/>
    <mergeCell ref="A41:C41"/>
    <mergeCell ref="A44:C44"/>
    <mergeCell ref="A45:C45"/>
    <mergeCell ref="G43:J43"/>
    <mergeCell ref="H49:I49"/>
    <mergeCell ref="J49:K49"/>
    <mergeCell ref="A40:L40"/>
    <mergeCell ref="J4:L4"/>
    <mergeCell ref="A2:D2"/>
    <mergeCell ref="G41:J41"/>
    <mergeCell ref="A43:C43"/>
    <mergeCell ref="G45:J45"/>
    <mergeCell ref="G42:J42"/>
  </mergeCells>
  <conditionalFormatting sqref="A8:L38">
    <cfRule type="expression" priority="1" dxfId="0" stopIfTrue="1">
      <formula>$A8=""</formula>
    </cfRule>
    <cfRule type="expression" priority="2" dxfId="1">
      <formula>OR($M8="祝",$M8="日")</formula>
    </cfRule>
    <cfRule type="expression" priority="3" dxfId="2">
      <formula>$M8="土"</formula>
    </cfRule>
  </conditionalFormatting>
  <conditionalFormatting sqref="D8:D38">
    <cfRule type="expression" priority="4" dxfId="3">
      <formula>AND($N8&lt;&gt;"",$O8="")</formula>
    </cfRule>
  </conditionalFormatting>
  <conditionalFormatting sqref="C8:C38">
    <cfRule type="expression" priority="5" dxfId="3">
      <formula>AND($O8&lt;&gt;"",$N8="")</formula>
    </cfRule>
  </conditionalFormatting>
  <dataValidations count="2">
    <dataValidation sqref="L8:L38" showDropDown="0" showInputMessage="1" showErrorMessage="0" allowBlank="1" promptTitle="備考" prompt="選択、または自由入力できます" type="list">
      <formula1>"有給,半休,欠勤,遅刻,早退,休日出勤,振替休日,直行,直帰,出張,特別休暇"</formula1>
    </dataValidation>
    <dataValidation sqref="C8:C38 D8:D38 E8:E38 G8:G38 H8:H38 I8:I38 J8:J38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=OR(AND(C8&gt;=0,C8&lt;1),AND(C8=INT(C8),C8&lt;=2359,MOD(C8,100)&lt;60))</formula1>
    </dataValidation>
  </dataValidations>
  <pageMargins left="0.3" right="0.3" top="0.4" bottom="0.4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FF8FAADC"/>
    <outlinePr summaryBelow="1" summaryRight="1"/>
    <pageSetUpPr fitToPage="1"/>
  </sheetPr>
  <dimension ref="A2:T5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.5" customWidth="1" min="1" max="1"/>
    <col width="4.5" customWidth="1" min="2" max="2"/>
    <col width="8.5" customWidth="1" min="3" max="3"/>
    <col width="8.5" customWidth="1" min="4" max="4"/>
    <col width="8" customWidth="1" min="5" max="5"/>
    <col width="8.5" customWidth="1" min="6" max="6"/>
    <col width="9" customWidth="1" min="7" max="7"/>
    <col width="9" customWidth="1" min="8" max="8"/>
    <col width="9" customWidth="1" min="9" max="9"/>
    <col width="10" customWidth="1" min="10" max="10"/>
    <col width="14" customWidth="1" min="11" max="11"/>
    <col width="26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2" ht="24" customHeight="1">
      <c r="A2" s="8">
        <f>設定!$B$4&amp;"　"&amp;設定!$B$3&amp;"年"&amp;10&amp;"月度 出勤簿"</f>
        <v/>
      </c>
    </row>
    <row r="4">
      <c r="A4" s="9" t="inlineStr">
        <is>
          <t>年</t>
        </is>
      </c>
      <c r="B4" s="10">
        <f>設定!$B$3</f>
        <v/>
      </c>
      <c r="C4" s="9" t="inlineStr">
        <is>
          <t>月</t>
        </is>
      </c>
      <c r="D4" s="10" t="n">
        <v>10</v>
      </c>
      <c r="G4" s="9" t="inlineStr">
        <is>
          <t>所属</t>
        </is>
      </c>
      <c r="H4" s="10">
        <f>設定!$B$5</f>
        <v/>
      </c>
      <c r="I4" s="9" t="inlineStr">
        <is>
          <t>氏名</t>
        </is>
      </c>
      <c r="J4" s="10">
        <f>設定!$B$4</f>
        <v/>
      </c>
    </row>
    <row r="5">
      <c r="A5" s="11" t="inlineStr">
        <is>
          <t>黄色のセルに入力してください（灰色は自動計算）。時刻は 930 のようにコロンなしで入力できます。</t>
        </is>
      </c>
    </row>
    <row r="7" ht="26" customHeight="1">
      <c r="A7" s="12" t="inlineStr">
        <is>
          <t>日</t>
        </is>
      </c>
      <c r="B7" s="12" t="inlineStr">
        <is>
          <t>曜</t>
        </is>
      </c>
      <c r="C7" s="12" t="inlineStr">
        <is>
          <t>出勤</t>
        </is>
      </c>
      <c r="D7" s="12" t="inlineStr">
        <is>
          <t>退勤</t>
        </is>
      </c>
      <c r="E7" s="12" t="inlineStr">
        <is>
          <t>休憩</t>
        </is>
      </c>
      <c r="F7" s="12" t="inlineStr">
        <is>
          <t>実働</t>
        </is>
      </c>
      <c r="G7" s="12" t="inlineStr">
        <is>
          <t>通常残業</t>
        </is>
      </c>
      <c r="H7" s="12" t="inlineStr">
        <is>
          <t>深夜残業</t>
        </is>
      </c>
      <c r="I7" s="12" t="inlineStr">
        <is>
          <t>早朝残業</t>
        </is>
      </c>
      <c r="J7" s="12" t="inlineStr">
        <is>
          <t>遅刻・早退</t>
        </is>
      </c>
      <c r="K7" s="12" t="inlineStr">
        <is>
          <t>祝日</t>
        </is>
      </c>
      <c r="L7" s="12" t="inlineStr">
        <is>
          <t>備考・理由</t>
        </is>
      </c>
    </row>
    <row r="8" ht="19" customHeight="1">
      <c r="A8" s="13">
        <f>DATE($B$4,$D$4,1)</f>
        <v/>
      </c>
      <c r="B8" s="14">
        <f>IF($A8="","",CHOOSE(WEEKDAY($A8,2),"月","火","水","木","金","土","日"))</f>
        <v/>
      </c>
      <c r="C8" s="15" t="n"/>
      <c r="D8" s="15" t="n"/>
      <c r="E8" s="15" t="n"/>
      <c r="F8" s="16">
        <f>IF(OR($N8="",$O8=""),"",MAX(0,MOD($O8-$N8,1)-IF($P8&lt;&gt;"",$P8,IF(MOD($O8-$N8,1)&gt;設定!$E$8,設定!$E$7,0))))</f>
        <v/>
      </c>
      <c r="G8" s="15" t="n"/>
      <c r="H8" s="15" t="n"/>
      <c r="I8" s="15" t="n"/>
      <c r="J8" s="15" t="n"/>
      <c r="K8" s="17">
        <f>IF($A8="","",IFERROR(VLOOKUP($A8,祝日リスト!$A$2:$C$40,3,0),""))</f>
        <v/>
      </c>
      <c r="L8" s="18" t="n"/>
      <c r="M8" s="19">
        <f>IF($A8="","",IF($K8&lt;&gt;"","祝",IF(WEEKDAY($A8,2)=6,"土",IF(WEEKDAY($A8,2)=7,"日","平"))))</f>
        <v/>
      </c>
      <c r="N8" s="19">
        <f>IF(NOT(ISNUMBER($C8)),"",IF($C8&lt;1,$C8,(INT($C8/100)*60+MOD($C8,100))/1440))</f>
        <v/>
      </c>
      <c r="O8" s="19">
        <f>IF(NOT(ISNUMBER($D8)),"",IF($D8&lt;1,$D8,(INT($D8/100)*60+MOD($D8,100))/1440))</f>
        <v/>
      </c>
      <c r="P8" s="19">
        <f>IF(NOT(ISNUMBER($E8)),"",IF($E8&lt;1,$E8,(INT($E8/100)*60+MOD($E8,100))/1440))</f>
        <v/>
      </c>
      <c r="Q8" s="19">
        <f>IF(NOT(ISNUMBER($G8)),"",IF($G8&lt;1,$G8,(INT($G8/100)*60+MOD($G8,100))/1440))</f>
        <v/>
      </c>
      <c r="R8" s="19">
        <f>IF(NOT(ISNUMBER($H8)),"",IF($H8&lt;1,$H8,(INT($H8/100)*60+MOD($H8,100))/1440))</f>
        <v/>
      </c>
      <c r="S8" s="19">
        <f>IF(NOT(ISNUMBER($I8)),"",IF($I8&lt;1,$I8,(INT($I8/100)*60+MOD($I8,100))/1440))</f>
        <v/>
      </c>
      <c r="T8" s="19">
        <f>IF(NOT(ISNUMBER($J8)),"",IF($J8&lt;1,$J8,(INT($J8/100)*60+MOD($J8,100))/1440))</f>
        <v/>
      </c>
    </row>
    <row r="9" ht="19" customHeight="1">
      <c r="A9" s="13">
        <f>IF(A8="","",IF(MONTH(A8+1)=$D$4,A8+1,""))</f>
        <v/>
      </c>
      <c r="B9" s="14">
        <f>IF($A9="","",CHOOSE(WEEKDAY($A9,2),"月","火","水","木","金","土","日"))</f>
        <v/>
      </c>
      <c r="C9" s="15" t="n"/>
      <c r="D9" s="15" t="n"/>
      <c r="E9" s="15" t="n"/>
      <c r="F9" s="16">
        <f>IF(OR($N9="",$O9=""),"",MAX(0,MOD($O9-$N9,1)-IF($P9&lt;&gt;"",$P9,IF(MOD($O9-$N9,1)&gt;設定!$E$8,設定!$E$7,0))))</f>
        <v/>
      </c>
      <c r="G9" s="15" t="n"/>
      <c r="H9" s="15" t="n"/>
      <c r="I9" s="15" t="n"/>
      <c r="J9" s="15" t="n"/>
      <c r="K9" s="17">
        <f>IF($A9="","",IFERROR(VLOOKUP($A9,祝日リスト!$A$2:$C$40,3,0),""))</f>
        <v/>
      </c>
      <c r="L9" s="18" t="n"/>
      <c r="M9" s="19">
        <f>IF($A9="","",IF($K9&lt;&gt;"","祝",IF(WEEKDAY($A9,2)=6,"土",IF(WEEKDAY($A9,2)=7,"日","平"))))</f>
        <v/>
      </c>
      <c r="N9" s="19">
        <f>IF(NOT(ISNUMBER($C9)),"",IF($C9&lt;1,$C9,(INT($C9/100)*60+MOD($C9,100))/1440))</f>
        <v/>
      </c>
      <c r="O9" s="19">
        <f>IF(NOT(ISNUMBER($D9)),"",IF($D9&lt;1,$D9,(INT($D9/100)*60+MOD($D9,100))/1440))</f>
        <v/>
      </c>
      <c r="P9" s="19">
        <f>IF(NOT(ISNUMBER($E9)),"",IF($E9&lt;1,$E9,(INT($E9/100)*60+MOD($E9,100))/1440))</f>
        <v/>
      </c>
      <c r="Q9" s="19">
        <f>IF(NOT(ISNUMBER($G9)),"",IF($G9&lt;1,$G9,(INT($G9/100)*60+MOD($G9,100))/1440))</f>
        <v/>
      </c>
      <c r="R9" s="19">
        <f>IF(NOT(ISNUMBER($H9)),"",IF($H9&lt;1,$H9,(INT($H9/100)*60+MOD($H9,100))/1440))</f>
        <v/>
      </c>
      <c r="S9" s="19">
        <f>IF(NOT(ISNUMBER($I9)),"",IF($I9&lt;1,$I9,(INT($I9/100)*60+MOD($I9,100))/1440))</f>
        <v/>
      </c>
      <c r="T9" s="19">
        <f>IF(NOT(ISNUMBER($J9)),"",IF($J9&lt;1,$J9,(INT($J9/100)*60+MOD($J9,100))/1440))</f>
        <v/>
      </c>
    </row>
    <row r="10" ht="19" customHeight="1">
      <c r="A10" s="13">
        <f>IF(A9="","",IF(MONTH(A9+1)=$D$4,A9+1,""))</f>
        <v/>
      </c>
      <c r="B10" s="14">
        <f>IF($A10="","",CHOOSE(WEEKDAY($A10,2),"月","火","水","木","金","土","日"))</f>
        <v/>
      </c>
      <c r="C10" s="15" t="n"/>
      <c r="D10" s="15" t="n"/>
      <c r="E10" s="15" t="n"/>
      <c r="F10" s="16">
        <f>IF(OR($N10="",$O10=""),"",MAX(0,MOD($O10-$N10,1)-IF($P10&lt;&gt;"",$P10,IF(MOD($O10-$N10,1)&gt;設定!$E$8,設定!$E$7,0))))</f>
        <v/>
      </c>
      <c r="G10" s="15" t="n"/>
      <c r="H10" s="15" t="n"/>
      <c r="I10" s="15" t="n"/>
      <c r="J10" s="15" t="n"/>
      <c r="K10" s="17">
        <f>IF($A10="","",IFERROR(VLOOKUP($A10,祝日リスト!$A$2:$C$40,3,0),""))</f>
        <v/>
      </c>
      <c r="L10" s="18" t="n"/>
      <c r="M10" s="19">
        <f>IF($A10="","",IF($K10&lt;&gt;"","祝",IF(WEEKDAY($A10,2)=6,"土",IF(WEEKDAY($A10,2)=7,"日","平"))))</f>
        <v/>
      </c>
      <c r="N10" s="19">
        <f>IF(NOT(ISNUMBER($C10)),"",IF($C10&lt;1,$C10,(INT($C10/100)*60+MOD($C10,100))/1440))</f>
        <v/>
      </c>
      <c r="O10" s="19">
        <f>IF(NOT(ISNUMBER($D10)),"",IF($D10&lt;1,$D10,(INT($D10/100)*60+MOD($D10,100))/1440))</f>
        <v/>
      </c>
      <c r="P10" s="19">
        <f>IF(NOT(ISNUMBER($E10)),"",IF($E10&lt;1,$E10,(INT($E10/100)*60+MOD($E10,100))/1440))</f>
        <v/>
      </c>
      <c r="Q10" s="19">
        <f>IF(NOT(ISNUMBER($G10)),"",IF($G10&lt;1,$G10,(INT($G10/100)*60+MOD($G10,100))/1440))</f>
        <v/>
      </c>
      <c r="R10" s="19">
        <f>IF(NOT(ISNUMBER($H10)),"",IF($H10&lt;1,$H10,(INT($H10/100)*60+MOD($H10,100))/1440))</f>
        <v/>
      </c>
      <c r="S10" s="19">
        <f>IF(NOT(ISNUMBER($I10)),"",IF($I10&lt;1,$I10,(INT($I10/100)*60+MOD($I10,100))/1440))</f>
        <v/>
      </c>
      <c r="T10" s="19">
        <f>IF(NOT(ISNUMBER($J10)),"",IF($J10&lt;1,$J10,(INT($J10/100)*60+MOD($J10,100))/1440))</f>
        <v/>
      </c>
    </row>
    <row r="11" ht="19" customHeight="1">
      <c r="A11" s="13">
        <f>IF(A10="","",IF(MONTH(A10+1)=$D$4,A10+1,""))</f>
        <v/>
      </c>
      <c r="B11" s="14">
        <f>IF($A11="","",CHOOSE(WEEKDAY($A11,2),"月","火","水","木","金","土","日"))</f>
        <v/>
      </c>
      <c r="C11" s="15" t="n"/>
      <c r="D11" s="15" t="n"/>
      <c r="E11" s="15" t="n"/>
      <c r="F11" s="16">
        <f>IF(OR($N11="",$O11=""),"",MAX(0,MOD($O11-$N11,1)-IF($P11&lt;&gt;"",$P11,IF(MOD($O11-$N11,1)&gt;設定!$E$8,設定!$E$7,0))))</f>
        <v/>
      </c>
      <c r="G11" s="15" t="n"/>
      <c r="H11" s="15" t="n"/>
      <c r="I11" s="15" t="n"/>
      <c r="J11" s="15" t="n"/>
      <c r="K11" s="17">
        <f>IF($A11="","",IFERROR(VLOOKUP($A11,祝日リスト!$A$2:$C$40,3,0),""))</f>
        <v/>
      </c>
      <c r="L11" s="18" t="n"/>
      <c r="M11" s="19">
        <f>IF($A11="","",IF($K11&lt;&gt;"","祝",IF(WEEKDAY($A11,2)=6,"土",IF(WEEKDAY($A11,2)=7,"日","平"))))</f>
        <v/>
      </c>
      <c r="N11" s="19">
        <f>IF(NOT(ISNUMBER($C11)),"",IF($C11&lt;1,$C11,(INT($C11/100)*60+MOD($C11,100))/1440))</f>
        <v/>
      </c>
      <c r="O11" s="19">
        <f>IF(NOT(ISNUMBER($D11)),"",IF($D11&lt;1,$D11,(INT($D11/100)*60+MOD($D11,100))/1440))</f>
        <v/>
      </c>
      <c r="P11" s="19">
        <f>IF(NOT(ISNUMBER($E11)),"",IF($E11&lt;1,$E11,(INT($E11/100)*60+MOD($E11,100))/1440))</f>
        <v/>
      </c>
      <c r="Q11" s="19">
        <f>IF(NOT(ISNUMBER($G11)),"",IF($G11&lt;1,$G11,(INT($G11/100)*60+MOD($G11,100))/1440))</f>
        <v/>
      </c>
      <c r="R11" s="19">
        <f>IF(NOT(ISNUMBER($H11)),"",IF($H11&lt;1,$H11,(INT($H11/100)*60+MOD($H11,100))/1440))</f>
        <v/>
      </c>
      <c r="S11" s="19">
        <f>IF(NOT(ISNUMBER($I11)),"",IF($I11&lt;1,$I11,(INT($I11/100)*60+MOD($I11,100))/1440))</f>
        <v/>
      </c>
      <c r="T11" s="19">
        <f>IF(NOT(ISNUMBER($J11)),"",IF($J11&lt;1,$J11,(INT($J11/100)*60+MOD($J11,100))/1440))</f>
        <v/>
      </c>
    </row>
    <row r="12" ht="19" customHeight="1">
      <c r="A12" s="13">
        <f>IF(A11="","",IF(MONTH(A11+1)=$D$4,A11+1,""))</f>
        <v/>
      </c>
      <c r="B12" s="14">
        <f>IF($A12="","",CHOOSE(WEEKDAY($A12,2),"月","火","水","木","金","土","日"))</f>
        <v/>
      </c>
      <c r="C12" s="15" t="n"/>
      <c r="D12" s="15" t="n"/>
      <c r="E12" s="15" t="n"/>
      <c r="F12" s="16">
        <f>IF(OR($N12="",$O12=""),"",MAX(0,MOD($O12-$N12,1)-IF($P12&lt;&gt;"",$P12,IF(MOD($O12-$N12,1)&gt;設定!$E$8,設定!$E$7,0))))</f>
        <v/>
      </c>
      <c r="G12" s="15" t="n"/>
      <c r="H12" s="15" t="n"/>
      <c r="I12" s="15" t="n"/>
      <c r="J12" s="15" t="n"/>
      <c r="K12" s="17">
        <f>IF($A12="","",IFERROR(VLOOKUP($A12,祝日リスト!$A$2:$C$40,3,0),""))</f>
        <v/>
      </c>
      <c r="L12" s="18" t="n"/>
      <c r="M12" s="19">
        <f>IF($A12="","",IF($K12&lt;&gt;"","祝",IF(WEEKDAY($A12,2)=6,"土",IF(WEEKDAY($A12,2)=7,"日","平"))))</f>
        <v/>
      </c>
      <c r="N12" s="19">
        <f>IF(NOT(ISNUMBER($C12)),"",IF($C12&lt;1,$C12,(INT($C12/100)*60+MOD($C12,100))/1440))</f>
        <v/>
      </c>
      <c r="O12" s="19">
        <f>IF(NOT(ISNUMBER($D12)),"",IF($D12&lt;1,$D12,(INT($D12/100)*60+MOD($D12,100))/1440))</f>
        <v/>
      </c>
      <c r="P12" s="19">
        <f>IF(NOT(ISNUMBER($E12)),"",IF($E12&lt;1,$E12,(INT($E12/100)*60+MOD($E12,100))/1440))</f>
        <v/>
      </c>
      <c r="Q12" s="19">
        <f>IF(NOT(ISNUMBER($G12)),"",IF($G12&lt;1,$G12,(INT($G12/100)*60+MOD($G12,100))/1440))</f>
        <v/>
      </c>
      <c r="R12" s="19">
        <f>IF(NOT(ISNUMBER($H12)),"",IF($H12&lt;1,$H12,(INT($H12/100)*60+MOD($H12,100))/1440))</f>
        <v/>
      </c>
      <c r="S12" s="19">
        <f>IF(NOT(ISNUMBER($I12)),"",IF($I12&lt;1,$I12,(INT($I12/100)*60+MOD($I12,100))/1440))</f>
        <v/>
      </c>
      <c r="T12" s="19">
        <f>IF(NOT(ISNUMBER($J12)),"",IF($J12&lt;1,$J12,(INT($J12/100)*60+MOD($J12,100))/1440))</f>
        <v/>
      </c>
    </row>
    <row r="13" ht="19" customHeight="1">
      <c r="A13" s="13">
        <f>IF(A12="","",IF(MONTH(A12+1)=$D$4,A12+1,""))</f>
        <v/>
      </c>
      <c r="B13" s="14">
        <f>IF($A13="","",CHOOSE(WEEKDAY($A13,2),"月","火","水","木","金","土","日"))</f>
        <v/>
      </c>
      <c r="C13" s="15" t="n"/>
      <c r="D13" s="15" t="n"/>
      <c r="E13" s="15" t="n"/>
      <c r="F13" s="16">
        <f>IF(OR($N13="",$O13=""),"",MAX(0,MOD($O13-$N13,1)-IF($P13&lt;&gt;"",$P13,IF(MOD($O13-$N13,1)&gt;設定!$E$8,設定!$E$7,0))))</f>
        <v/>
      </c>
      <c r="G13" s="15" t="n"/>
      <c r="H13" s="15" t="n"/>
      <c r="I13" s="15" t="n"/>
      <c r="J13" s="15" t="n"/>
      <c r="K13" s="17">
        <f>IF($A13="","",IFERROR(VLOOKUP($A13,祝日リスト!$A$2:$C$40,3,0),""))</f>
        <v/>
      </c>
      <c r="L13" s="18" t="n"/>
      <c r="M13" s="19">
        <f>IF($A13="","",IF($K13&lt;&gt;"","祝",IF(WEEKDAY($A13,2)=6,"土",IF(WEEKDAY($A13,2)=7,"日","平"))))</f>
        <v/>
      </c>
      <c r="N13" s="19">
        <f>IF(NOT(ISNUMBER($C13)),"",IF($C13&lt;1,$C13,(INT($C13/100)*60+MOD($C13,100))/1440))</f>
        <v/>
      </c>
      <c r="O13" s="19">
        <f>IF(NOT(ISNUMBER($D13)),"",IF($D13&lt;1,$D13,(INT($D13/100)*60+MOD($D13,100))/1440))</f>
        <v/>
      </c>
      <c r="P13" s="19">
        <f>IF(NOT(ISNUMBER($E13)),"",IF($E13&lt;1,$E13,(INT($E13/100)*60+MOD($E13,100))/1440))</f>
        <v/>
      </c>
      <c r="Q13" s="19">
        <f>IF(NOT(ISNUMBER($G13)),"",IF($G13&lt;1,$G13,(INT($G13/100)*60+MOD($G13,100))/1440))</f>
        <v/>
      </c>
      <c r="R13" s="19">
        <f>IF(NOT(ISNUMBER($H13)),"",IF($H13&lt;1,$H13,(INT($H13/100)*60+MOD($H13,100))/1440))</f>
        <v/>
      </c>
      <c r="S13" s="19">
        <f>IF(NOT(ISNUMBER($I13)),"",IF($I13&lt;1,$I13,(INT($I13/100)*60+MOD($I13,100))/1440))</f>
        <v/>
      </c>
      <c r="T13" s="19">
        <f>IF(NOT(ISNUMBER($J13)),"",IF($J13&lt;1,$J13,(INT($J13/100)*60+MOD($J13,100))/1440))</f>
        <v/>
      </c>
    </row>
    <row r="14" ht="19" customHeight="1">
      <c r="A14" s="13">
        <f>IF(A13="","",IF(MONTH(A13+1)=$D$4,A13+1,""))</f>
        <v/>
      </c>
      <c r="B14" s="14">
        <f>IF($A14="","",CHOOSE(WEEKDAY($A14,2),"月","火","水","木","金","土","日"))</f>
        <v/>
      </c>
      <c r="C14" s="15" t="n"/>
      <c r="D14" s="15" t="n"/>
      <c r="E14" s="15" t="n"/>
      <c r="F14" s="16">
        <f>IF(OR($N14="",$O14=""),"",MAX(0,MOD($O14-$N14,1)-IF($P14&lt;&gt;"",$P14,IF(MOD($O14-$N14,1)&gt;設定!$E$8,設定!$E$7,0))))</f>
        <v/>
      </c>
      <c r="G14" s="15" t="n"/>
      <c r="H14" s="15" t="n"/>
      <c r="I14" s="15" t="n"/>
      <c r="J14" s="15" t="n"/>
      <c r="K14" s="17">
        <f>IF($A14="","",IFERROR(VLOOKUP($A14,祝日リスト!$A$2:$C$40,3,0),""))</f>
        <v/>
      </c>
      <c r="L14" s="18" t="n"/>
      <c r="M14" s="19">
        <f>IF($A14="","",IF($K14&lt;&gt;"","祝",IF(WEEKDAY($A14,2)=6,"土",IF(WEEKDAY($A14,2)=7,"日","平"))))</f>
        <v/>
      </c>
      <c r="N14" s="19">
        <f>IF(NOT(ISNUMBER($C14)),"",IF($C14&lt;1,$C14,(INT($C14/100)*60+MOD($C14,100))/1440))</f>
        <v/>
      </c>
      <c r="O14" s="19">
        <f>IF(NOT(ISNUMBER($D14)),"",IF($D14&lt;1,$D14,(INT($D14/100)*60+MOD($D14,100))/1440))</f>
        <v/>
      </c>
      <c r="P14" s="19">
        <f>IF(NOT(ISNUMBER($E14)),"",IF($E14&lt;1,$E14,(INT($E14/100)*60+MOD($E14,100))/1440))</f>
        <v/>
      </c>
      <c r="Q14" s="19">
        <f>IF(NOT(ISNUMBER($G14)),"",IF($G14&lt;1,$G14,(INT($G14/100)*60+MOD($G14,100))/1440))</f>
        <v/>
      </c>
      <c r="R14" s="19">
        <f>IF(NOT(ISNUMBER($H14)),"",IF($H14&lt;1,$H14,(INT($H14/100)*60+MOD($H14,100))/1440))</f>
        <v/>
      </c>
      <c r="S14" s="19">
        <f>IF(NOT(ISNUMBER($I14)),"",IF($I14&lt;1,$I14,(INT($I14/100)*60+MOD($I14,100))/1440))</f>
        <v/>
      </c>
      <c r="T14" s="19">
        <f>IF(NOT(ISNUMBER($J14)),"",IF($J14&lt;1,$J14,(INT($J14/100)*60+MOD($J14,100))/1440))</f>
        <v/>
      </c>
    </row>
    <row r="15" ht="19" customHeight="1">
      <c r="A15" s="13">
        <f>IF(A14="","",IF(MONTH(A14+1)=$D$4,A14+1,""))</f>
        <v/>
      </c>
      <c r="B15" s="14">
        <f>IF($A15="","",CHOOSE(WEEKDAY($A15,2),"月","火","水","木","金","土","日"))</f>
        <v/>
      </c>
      <c r="C15" s="15" t="n"/>
      <c r="D15" s="15" t="n"/>
      <c r="E15" s="15" t="n"/>
      <c r="F15" s="16">
        <f>IF(OR($N15="",$O15=""),"",MAX(0,MOD($O15-$N15,1)-IF($P15&lt;&gt;"",$P15,IF(MOD($O15-$N15,1)&gt;設定!$E$8,設定!$E$7,0))))</f>
        <v/>
      </c>
      <c r="G15" s="15" t="n"/>
      <c r="H15" s="15" t="n"/>
      <c r="I15" s="15" t="n"/>
      <c r="J15" s="15" t="n"/>
      <c r="K15" s="17">
        <f>IF($A15="","",IFERROR(VLOOKUP($A15,祝日リスト!$A$2:$C$40,3,0),""))</f>
        <v/>
      </c>
      <c r="L15" s="18" t="n"/>
      <c r="M15" s="19">
        <f>IF($A15="","",IF($K15&lt;&gt;"","祝",IF(WEEKDAY($A15,2)=6,"土",IF(WEEKDAY($A15,2)=7,"日","平"))))</f>
        <v/>
      </c>
      <c r="N15" s="19">
        <f>IF(NOT(ISNUMBER($C15)),"",IF($C15&lt;1,$C15,(INT($C15/100)*60+MOD($C15,100))/1440))</f>
        <v/>
      </c>
      <c r="O15" s="19">
        <f>IF(NOT(ISNUMBER($D15)),"",IF($D15&lt;1,$D15,(INT($D15/100)*60+MOD($D15,100))/1440))</f>
        <v/>
      </c>
      <c r="P15" s="19">
        <f>IF(NOT(ISNUMBER($E15)),"",IF($E15&lt;1,$E15,(INT($E15/100)*60+MOD($E15,100))/1440))</f>
        <v/>
      </c>
      <c r="Q15" s="19">
        <f>IF(NOT(ISNUMBER($G15)),"",IF($G15&lt;1,$G15,(INT($G15/100)*60+MOD($G15,100))/1440))</f>
        <v/>
      </c>
      <c r="R15" s="19">
        <f>IF(NOT(ISNUMBER($H15)),"",IF($H15&lt;1,$H15,(INT($H15/100)*60+MOD($H15,100))/1440))</f>
        <v/>
      </c>
      <c r="S15" s="19">
        <f>IF(NOT(ISNUMBER($I15)),"",IF($I15&lt;1,$I15,(INT($I15/100)*60+MOD($I15,100))/1440))</f>
        <v/>
      </c>
      <c r="T15" s="19">
        <f>IF(NOT(ISNUMBER($J15)),"",IF($J15&lt;1,$J15,(INT($J15/100)*60+MOD($J15,100))/1440))</f>
        <v/>
      </c>
    </row>
    <row r="16" ht="19" customHeight="1">
      <c r="A16" s="13">
        <f>IF(A15="","",IF(MONTH(A15+1)=$D$4,A15+1,""))</f>
        <v/>
      </c>
      <c r="B16" s="14">
        <f>IF($A16="","",CHOOSE(WEEKDAY($A16,2),"月","火","水","木","金","土","日"))</f>
        <v/>
      </c>
      <c r="C16" s="15" t="n"/>
      <c r="D16" s="15" t="n"/>
      <c r="E16" s="15" t="n"/>
      <c r="F16" s="16">
        <f>IF(OR($N16="",$O16=""),"",MAX(0,MOD($O16-$N16,1)-IF($P16&lt;&gt;"",$P16,IF(MOD($O16-$N16,1)&gt;設定!$E$8,設定!$E$7,0))))</f>
        <v/>
      </c>
      <c r="G16" s="15" t="n"/>
      <c r="H16" s="15" t="n"/>
      <c r="I16" s="15" t="n"/>
      <c r="J16" s="15" t="n"/>
      <c r="K16" s="17">
        <f>IF($A16="","",IFERROR(VLOOKUP($A16,祝日リスト!$A$2:$C$40,3,0),""))</f>
        <v/>
      </c>
      <c r="L16" s="18" t="n"/>
      <c r="M16" s="19">
        <f>IF($A16="","",IF($K16&lt;&gt;"","祝",IF(WEEKDAY($A16,2)=6,"土",IF(WEEKDAY($A16,2)=7,"日","平"))))</f>
        <v/>
      </c>
      <c r="N16" s="19">
        <f>IF(NOT(ISNUMBER($C16)),"",IF($C16&lt;1,$C16,(INT($C16/100)*60+MOD($C16,100))/1440))</f>
        <v/>
      </c>
      <c r="O16" s="19">
        <f>IF(NOT(ISNUMBER($D16)),"",IF($D16&lt;1,$D16,(INT($D16/100)*60+MOD($D16,100))/1440))</f>
        <v/>
      </c>
      <c r="P16" s="19">
        <f>IF(NOT(ISNUMBER($E16)),"",IF($E16&lt;1,$E16,(INT($E16/100)*60+MOD($E16,100))/1440))</f>
        <v/>
      </c>
      <c r="Q16" s="19">
        <f>IF(NOT(ISNUMBER($G16)),"",IF($G16&lt;1,$G16,(INT($G16/100)*60+MOD($G16,100))/1440))</f>
        <v/>
      </c>
      <c r="R16" s="19">
        <f>IF(NOT(ISNUMBER($H16)),"",IF($H16&lt;1,$H16,(INT($H16/100)*60+MOD($H16,100))/1440))</f>
        <v/>
      </c>
      <c r="S16" s="19">
        <f>IF(NOT(ISNUMBER($I16)),"",IF($I16&lt;1,$I16,(INT($I16/100)*60+MOD($I16,100))/1440))</f>
        <v/>
      </c>
      <c r="T16" s="19">
        <f>IF(NOT(ISNUMBER($J16)),"",IF($J16&lt;1,$J16,(INT($J16/100)*60+MOD($J16,100))/1440))</f>
        <v/>
      </c>
    </row>
    <row r="17" ht="19" customHeight="1">
      <c r="A17" s="13">
        <f>IF(A16="","",IF(MONTH(A16+1)=$D$4,A16+1,""))</f>
        <v/>
      </c>
      <c r="B17" s="14">
        <f>IF($A17="","",CHOOSE(WEEKDAY($A17,2),"月","火","水","木","金","土","日"))</f>
        <v/>
      </c>
      <c r="C17" s="15" t="n"/>
      <c r="D17" s="15" t="n"/>
      <c r="E17" s="15" t="n"/>
      <c r="F17" s="16">
        <f>IF(OR($N17="",$O17=""),"",MAX(0,MOD($O17-$N17,1)-IF($P17&lt;&gt;"",$P17,IF(MOD($O17-$N17,1)&gt;設定!$E$8,設定!$E$7,0))))</f>
        <v/>
      </c>
      <c r="G17" s="15" t="n"/>
      <c r="H17" s="15" t="n"/>
      <c r="I17" s="15" t="n"/>
      <c r="J17" s="15" t="n"/>
      <c r="K17" s="17">
        <f>IF($A17="","",IFERROR(VLOOKUP($A17,祝日リスト!$A$2:$C$40,3,0),""))</f>
        <v/>
      </c>
      <c r="L17" s="18" t="n"/>
      <c r="M17" s="19">
        <f>IF($A17="","",IF($K17&lt;&gt;"","祝",IF(WEEKDAY($A17,2)=6,"土",IF(WEEKDAY($A17,2)=7,"日","平"))))</f>
        <v/>
      </c>
      <c r="N17" s="19">
        <f>IF(NOT(ISNUMBER($C17)),"",IF($C17&lt;1,$C17,(INT($C17/100)*60+MOD($C17,100))/1440))</f>
        <v/>
      </c>
      <c r="O17" s="19">
        <f>IF(NOT(ISNUMBER($D17)),"",IF($D17&lt;1,$D17,(INT($D17/100)*60+MOD($D17,100))/1440))</f>
        <v/>
      </c>
      <c r="P17" s="19">
        <f>IF(NOT(ISNUMBER($E17)),"",IF($E17&lt;1,$E17,(INT($E17/100)*60+MOD($E17,100))/1440))</f>
        <v/>
      </c>
      <c r="Q17" s="19">
        <f>IF(NOT(ISNUMBER($G17)),"",IF($G17&lt;1,$G17,(INT($G17/100)*60+MOD($G17,100))/1440))</f>
        <v/>
      </c>
      <c r="R17" s="19">
        <f>IF(NOT(ISNUMBER($H17)),"",IF($H17&lt;1,$H17,(INT($H17/100)*60+MOD($H17,100))/1440))</f>
        <v/>
      </c>
      <c r="S17" s="19">
        <f>IF(NOT(ISNUMBER($I17)),"",IF($I17&lt;1,$I17,(INT($I17/100)*60+MOD($I17,100))/1440))</f>
        <v/>
      </c>
      <c r="T17" s="19">
        <f>IF(NOT(ISNUMBER($J17)),"",IF($J17&lt;1,$J17,(INT($J17/100)*60+MOD($J17,100))/1440))</f>
        <v/>
      </c>
    </row>
    <row r="18" ht="19" customHeight="1">
      <c r="A18" s="13">
        <f>IF(A17="","",IF(MONTH(A17+1)=$D$4,A17+1,""))</f>
        <v/>
      </c>
      <c r="B18" s="14">
        <f>IF($A18="","",CHOOSE(WEEKDAY($A18,2),"月","火","水","木","金","土","日"))</f>
        <v/>
      </c>
      <c r="C18" s="15" t="n"/>
      <c r="D18" s="15" t="n"/>
      <c r="E18" s="15" t="n"/>
      <c r="F18" s="16">
        <f>IF(OR($N18="",$O18=""),"",MAX(0,MOD($O18-$N18,1)-IF($P18&lt;&gt;"",$P18,IF(MOD($O18-$N18,1)&gt;設定!$E$8,設定!$E$7,0))))</f>
        <v/>
      </c>
      <c r="G18" s="15" t="n"/>
      <c r="H18" s="15" t="n"/>
      <c r="I18" s="15" t="n"/>
      <c r="J18" s="15" t="n"/>
      <c r="K18" s="17">
        <f>IF($A18="","",IFERROR(VLOOKUP($A18,祝日リスト!$A$2:$C$40,3,0),""))</f>
        <v/>
      </c>
      <c r="L18" s="18" t="n"/>
      <c r="M18" s="19">
        <f>IF($A18="","",IF($K18&lt;&gt;"","祝",IF(WEEKDAY($A18,2)=6,"土",IF(WEEKDAY($A18,2)=7,"日","平"))))</f>
        <v/>
      </c>
      <c r="N18" s="19">
        <f>IF(NOT(ISNUMBER($C18)),"",IF($C18&lt;1,$C18,(INT($C18/100)*60+MOD($C18,100))/1440))</f>
        <v/>
      </c>
      <c r="O18" s="19">
        <f>IF(NOT(ISNUMBER($D18)),"",IF($D18&lt;1,$D18,(INT($D18/100)*60+MOD($D18,100))/1440))</f>
        <v/>
      </c>
      <c r="P18" s="19">
        <f>IF(NOT(ISNUMBER($E18)),"",IF($E18&lt;1,$E18,(INT($E18/100)*60+MOD($E18,100))/1440))</f>
        <v/>
      </c>
      <c r="Q18" s="19">
        <f>IF(NOT(ISNUMBER($G18)),"",IF($G18&lt;1,$G18,(INT($G18/100)*60+MOD($G18,100))/1440))</f>
        <v/>
      </c>
      <c r="R18" s="19">
        <f>IF(NOT(ISNUMBER($H18)),"",IF($H18&lt;1,$H18,(INT($H18/100)*60+MOD($H18,100))/1440))</f>
        <v/>
      </c>
      <c r="S18" s="19">
        <f>IF(NOT(ISNUMBER($I18)),"",IF($I18&lt;1,$I18,(INT($I18/100)*60+MOD($I18,100))/1440))</f>
        <v/>
      </c>
      <c r="T18" s="19">
        <f>IF(NOT(ISNUMBER($J18)),"",IF($J18&lt;1,$J18,(INT($J18/100)*60+MOD($J18,100))/1440))</f>
        <v/>
      </c>
    </row>
    <row r="19" ht="19" customHeight="1">
      <c r="A19" s="13">
        <f>IF(A18="","",IF(MONTH(A18+1)=$D$4,A18+1,""))</f>
        <v/>
      </c>
      <c r="B19" s="14">
        <f>IF($A19="","",CHOOSE(WEEKDAY($A19,2),"月","火","水","木","金","土","日"))</f>
        <v/>
      </c>
      <c r="C19" s="15" t="n"/>
      <c r="D19" s="15" t="n"/>
      <c r="E19" s="15" t="n"/>
      <c r="F19" s="16">
        <f>IF(OR($N19="",$O19=""),"",MAX(0,MOD($O19-$N19,1)-IF($P19&lt;&gt;"",$P19,IF(MOD($O19-$N19,1)&gt;設定!$E$8,設定!$E$7,0))))</f>
        <v/>
      </c>
      <c r="G19" s="15" t="n"/>
      <c r="H19" s="15" t="n"/>
      <c r="I19" s="15" t="n"/>
      <c r="J19" s="15" t="n"/>
      <c r="K19" s="17">
        <f>IF($A19="","",IFERROR(VLOOKUP($A19,祝日リスト!$A$2:$C$40,3,0),""))</f>
        <v/>
      </c>
      <c r="L19" s="18" t="n"/>
      <c r="M19" s="19">
        <f>IF($A19="","",IF($K19&lt;&gt;"","祝",IF(WEEKDAY($A19,2)=6,"土",IF(WEEKDAY($A19,2)=7,"日","平"))))</f>
        <v/>
      </c>
      <c r="N19" s="19">
        <f>IF(NOT(ISNUMBER($C19)),"",IF($C19&lt;1,$C19,(INT($C19/100)*60+MOD($C19,100))/1440))</f>
        <v/>
      </c>
      <c r="O19" s="19">
        <f>IF(NOT(ISNUMBER($D19)),"",IF($D19&lt;1,$D19,(INT($D19/100)*60+MOD($D19,100))/1440))</f>
        <v/>
      </c>
      <c r="P19" s="19">
        <f>IF(NOT(ISNUMBER($E19)),"",IF($E19&lt;1,$E19,(INT($E19/100)*60+MOD($E19,100))/1440))</f>
        <v/>
      </c>
      <c r="Q19" s="19">
        <f>IF(NOT(ISNUMBER($G19)),"",IF($G19&lt;1,$G19,(INT($G19/100)*60+MOD($G19,100))/1440))</f>
        <v/>
      </c>
      <c r="R19" s="19">
        <f>IF(NOT(ISNUMBER($H19)),"",IF($H19&lt;1,$H19,(INT($H19/100)*60+MOD($H19,100))/1440))</f>
        <v/>
      </c>
      <c r="S19" s="19">
        <f>IF(NOT(ISNUMBER($I19)),"",IF($I19&lt;1,$I19,(INT($I19/100)*60+MOD($I19,100))/1440))</f>
        <v/>
      </c>
      <c r="T19" s="19">
        <f>IF(NOT(ISNUMBER($J19)),"",IF($J19&lt;1,$J19,(INT($J19/100)*60+MOD($J19,100))/1440))</f>
        <v/>
      </c>
    </row>
    <row r="20" ht="19" customHeight="1">
      <c r="A20" s="13">
        <f>IF(A19="","",IF(MONTH(A19+1)=$D$4,A19+1,""))</f>
        <v/>
      </c>
      <c r="B20" s="14">
        <f>IF($A20="","",CHOOSE(WEEKDAY($A20,2),"月","火","水","木","金","土","日"))</f>
        <v/>
      </c>
      <c r="C20" s="15" t="n"/>
      <c r="D20" s="15" t="n"/>
      <c r="E20" s="15" t="n"/>
      <c r="F20" s="16">
        <f>IF(OR($N20="",$O20=""),"",MAX(0,MOD($O20-$N20,1)-IF($P20&lt;&gt;"",$P20,IF(MOD($O20-$N20,1)&gt;設定!$E$8,設定!$E$7,0))))</f>
        <v/>
      </c>
      <c r="G20" s="15" t="n"/>
      <c r="H20" s="15" t="n"/>
      <c r="I20" s="15" t="n"/>
      <c r="J20" s="15" t="n"/>
      <c r="K20" s="17">
        <f>IF($A20="","",IFERROR(VLOOKUP($A20,祝日リスト!$A$2:$C$40,3,0),""))</f>
        <v/>
      </c>
      <c r="L20" s="18" t="n"/>
      <c r="M20" s="19">
        <f>IF($A20="","",IF($K20&lt;&gt;"","祝",IF(WEEKDAY($A20,2)=6,"土",IF(WEEKDAY($A20,2)=7,"日","平"))))</f>
        <v/>
      </c>
      <c r="N20" s="19">
        <f>IF(NOT(ISNUMBER($C20)),"",IF($C20&lt;1,$C20,(INT($C20/100)*60+MOD($C20,100))/1440))</f>
        <v/>
      </c>
      <c r="O20" s="19">
        <f>IF(NOT(ISNUMBER($D20)),"",IF($D20&lt;1,$D20,(INT($D20/100)*60+MOD($D20,100))/1440))</f>
        <v/>
      </c>
      <c r="P20" s="19">
        <f>IF(NOT(ISNUMBER($E20)),"",IF($E20&lt;1,$E20,(INT($E20/100)*60+MOD($E20,100))/1440))</f>
        <v/>
      </c>
      <c r="Q20" s="19">
        <f>IF(NOT(ISNUMBER($G20)),"",IF($G20&lt;1,$G20,(INT($G20/100)*60+MOD($G20,100))/1440))</f>
        <v/>
      </c>
      <c r="R20" s="19">
        <f>IF(NOT(ISNUMBER($H20)),"",IF($H20&lt;1,$H20,(INT($H20/100)*60+MOD($H20,100))/1440))</f>
        <v/>
      </c>
      <c r="S20" s="19">
        <f>IF(NOT(ISNUMBER($I20)),"",IF($I20&lt;1,$I20,(INT($I20/100)*60+MOD($I20,100))/1440))</f>
        <v/>
      </c>
      <c r="T20" s="19">
        <f>IF(NOT(ISNUMBER($J20)),"",IF($J20&lt;1,$J20,(INT($J20/100)*60+MOD($J20,100))/1440))</f>
        <v/>
      </c>
    </row>
    <row r="21" ht="19" customHeight="1">
      <c r="A21" s="13">
        <f>IF(A20="","",IF(MONTH(A20+1)=$D$4,A20+1,""))</f>
        <v/>
      </c>
      <c r="B21" s="14">
        <f>IF($A21="","",CHOOSE(WEEKDAY($A21,2),"月","火","水","木","金","土","日"))</f>
        <v/>
      </c>
      <c r="C21" s="15" t="n"/>
      <c r="D21" s="15" t="n"/>
      <c r="E21" s="15" t="n"/>
      <c r="F21" s="16">
        <f>IF(OR($N21="",$O21=""),"",MAX(0,MOD($O21-$N21,1)-IF($P21&lt;&gt;"",$P21,IF(MOD($O21-$N21,1)&gt;設定!$E$8,設定!$E$7,0))))</f>
        <v/>
      </c>
      <c r="G21" s="15" t="n"/>
      <c r="H21" s="15" t="n"/>
      <c r="I21" s="15" t="n"/>
      <c r="J21" s="15" t="n"/>
      <c r="K21" s="17">
        <f>IF($A21="","",IFERROR(VLOOKUP($A21,祝日リスト!$A$2:$C$40,3,0),""))</f>
        <v/>
      </c>
      <c r="L21" s="18" t="n"/>
      <c r="M21" s="19">
        <f>IF($A21="","",IF($K21&lt;&gt;"","祝",IF(WEEKDAY($A21,2)=6,"土",IF(WEEKDAY($A21,2)=7,"日","平"))))</f>
        <v/>
      </c>
      <c r="N21" s="19">
        <f>IF(NOT(ISNUMBER($C21)),"",IF($C21&lt;1,$C21,(INT($C21/100)*60+MOD($C21,100))/1440))</f>
        <v/>
      </c>
      <c r="O21" s="19">
        <f>IF(NOT(ISNUMBER($D21)),"",IF($D21&lt;1,$D21,(INT($D21/100)*60+MOD($D21,100))/1440))</f>
        <v/>
      </c>
      <c r="P21" s="19">
        <f>IF(NOT(ISNUMBER($E21)),"",IF($E21&lt;1,$E21,(INT($E21/100)*60+MOD($E21,100))/1440))</f>
        <v/>
      </c>
      <c r="Q21" s="19">
        <f>IF(NOT(ISNUMBER($G21)),"",IF($G21&lt;1,$G21,(INT($G21/100)*60+MOD($G21,100))/1440))</f>
        <v/>
      </c>
      <c r="R21" s="19">
        <f>IF(NOT(ISNUMBER($H21)),"",IF($H21&lt;1,$H21,(INT($H21/100)*60+MOD($H21,100))/1440))</f>
        <v/>
      </c>
      <c r="S21" s="19">
        <f>IF(NOT(ISNUMBER($I21)),"",IF($I21&lt;1,$I21,(INT($I21/100)*60+MOD($I21,100))/1440))</f>
        <v/>
      </c>
      <c r="T21" s="19">
        <f>IF(NOT(ISNUMBER($J21)),"",IF($J21&lt;1,$J21,(INT($J21/100)*60+MOD($J21,100))/1440))</f>
        <v/>
      </c>
    </row>
    <row r="22" ht="19" customHeight="1">
      <c r="A22" s="13">
        <f>IF(A21="","",IF(MONTH(A21+1)=$D$4,A21+1,""))</f>
        <v/>
      </c>
      <c r="B22" s="14">
        <f>IF($A22="","",CHOOSE(WEEKDAY($A22,2),"月","火","水","木","金","土","日"))</f>
        <v/>
      </c>
      <c r="C22" s="15" t="n"/>
      <c r="D22" s="15" t="n"/>
      <c r="E22" s="15" t="n"/>
      <c r="F22" s="16">
        <f>IF(OR($N22="",$O22=""),"",MAX(0,MOD($O22-$N22,1)-IF($P22&lt;&gt;"",$P22,IF(MOD($O22-$N22,1)&gt;設定!$E$8,設定!$E$7,0))))</f>
        <v/>
      </c>
      <c r="G22" s="15" t="n"/>
      <c r="H22" s="15" t="n"/>
      <c r="I22" s="15" t="n"/>
      <c r="J22" s="15" t="n"/>
      <c r="K22" s="17">
        <f>IF($A22="","",IFERROR(VLOOKUP($A22,祝日リスト!$A$2:$C$40,3,0),""))</f>
        <v/>
      </c>
      <c r="L22" s="18" t="n"/>
      <c r="M22" s="19">
        <f>IF($A22="","",IF($K22&lt;&gt;"","祝",IF(WEEKDAY($A22,2)=6,"土",IF(WEEKDAY($A22,2)=7,"日","平"))))</f>
        <v/>
      </c>
      <c r="N22" s="19">
        <f>IF(NOT(ISNUMBER($C22)),"",IF($C22&lt;1,$C22,(INT($C22/100)*60+MOD($C22,100))/1440))</f>
        <v/>
      </c>
      <c r="O22" s="19">
        <f>IF(NOT(ISNUMBER($D22)),"",IF($D22&lt;1,$D22,(INT($D22/100)*60+MOD($D22,100))/1440))</f>
        <v/>
      </c>
      <c r="P22" s="19">
        <f>IF(NOT(ISNUMBER($E22)),"",IF($E22&lt;1,$E22,(INT($E22/100)*60+MOD($E22,100))/1440))</f>
        <v/>
      </c>
      <c r="Q22" s="19">
        <f>IF(NOT(ISNUMBER($G22)),"",IF($G22&lt;1,$G22,(INT($G22/100)*60+MOD($G22,100))/1440))</f>
        <v/>
      </c>
      <c r="R22" s="19">
        <f>IF(NOT(ISNUMBER($H22)),"",IF($H22&lt;1,$H22,(INT($H22/100)*60+MOD($H22,100))/1440))</f>
        <v/>
      </c>
      <c r="S22" s="19">
        <f>IF(NOT(ISNUMBER($I22)),"",IF($I22&lt;1,$I22,(INT($I22/100)*60+MOD($I22,100))/1440))</f>
        <v/>
      </c>
      <c r="T22" s="19">
        <f>IF(NOT(ISNUMBER($J22)),"",IF($J22&lt;1,$J22,(INT($J22/100)*60+MOD($J22,100))/1440))</f>
        <v/>
      </c>
    </row>
    <row r="23" ht="19" customHeight="1">
      <c r="A23" s="13">
        <f>IF(A22="","",IF(MONTH(A22+1)=$D$4,A22+1,""))</f>
        <v/>
      </c>
      <c r="B23" s="14">
        <f>IF($A23="","",CHOOSE(WEEKDAY($A23,2),"月","火","水","木","金","土","日"))</f>
        <v/>
      </c>
      <c r="C23" s="15" t="n"/>
      <c r="D23" s="15" t="n"/>
      <c r="E23" s="15" t="n"/>
      <c r="F23" s="16">
        <f>IF(OR($N23="",$O23=""),"",MAX(0,MOD($O23-$N23,1)-IF($P23&lt;&gt;"",$P23,IF(MOD($O23-$N23,1)&gt;設定!$E$8,設定!$E$7,0))))</f>
        <v/>
      </c>
      <c r="G23" s="15" t="n"/>
      <c r="H23" s="15" t="n"/>
      <c r="I23" s="15" t="n"/>
      <c r="J23" s="15" t="n"/>
      <c r="K23" s="17">
        <f>IF($A23="","",IFERROR(VLOOKUP($A23,祝日リスト!$A$2:$C$40,3,0),""))</f>
        <v/>
      </c>
      <c r="L23" s="18" t="n"/>
      <c r="M23" s="19">
        <f>IF($A23="","",IF($K23&lt;&gt;"","祝",IF(WEEKDAY($A23,2)=6,"土",IF(WEEKDAY($A23,2)=7,"日","平"))))</f>
        <v/>
      </c>
      <c r="N23" s="19">
        <f>IF(NOT(ISNUMBER($C23)),"",IF($C23&lt;1,$C23,(INT($C23/100)*60+MOD($C23,100))/1440))</f>
        <v/>
      </c>
      <c r="O23" s="19">
        <f>IF(NOT(ISNUMBER($D23)),"",IF($D23&lt;1,$D23,(INT($D23/100)*60+MOD($D23,100))/1440))</f>
        <v/>
      </c>
      <c r="P23" s="19">
        <f>IF(NOT(ISNUMBER($E23)),"",IF($E23&lt;1,$E23,(INT($E23/100)*60+MOD($E23,100))/1440))</f>
        <v/>
      </c>
      <c r="Q23" s="19">
        <f>IF(NOT(ISNUMBER($G23)),"",IF($G23&lt;1,$G23,(INT($G23/100)*60+MOD($G23,100))/1440))</f>
        <v/>
      </c>
      <c r="R23" s="19">
        <f>IF(NOT(ISNUMBER($H23)),"",IF($H23&lt;1,$H23,(INT($H23/100)*60+MOD($H23,100))/1440))</f>
        <v/>
      </c>
      <c r="S23" s="19">
        <f>IF(NOT(ISNUMBER($I23)),"",IF($I23&lt;1,$I23,(INT($I23/100)*60+MOD($I23,100))/1440))</f>
        <v/>
      </c>
      <c r="T23" s="19">
        <f>IF(NOT(ISNUMBER($J23)),"",IF($J23&lt;1,$J23,(INT($J23/100)*60+MOD($J23,100))/1440))</f>
        <v/>
      </c>
    </row>
    <row r="24" ht="19" customHeight="1">
      <c r="A24" s="13">
        <f>IF(A23="","",IF(MONTH(A23+1)=$D$4,A23+1,""))</f>
        <v/>
      </c>
      <c r="B24" s="14">
        <f>IF($A24="","",CHOOSE(WEEKDAY($A24,2),"月","火","水","木","金","土","日"))</f>
        <v/>
      </c>
      <c r="C24" s="15" t="n"/>
      <c r="D24" s="15" t="n"/>
      <c r="E24" s="15" t="n"/>
      <c r="F24" s="16">
        <f>IF(OR($N24="",$O24=""),"",MAX(0,MOD($O24-$N24,1)-IF($P24&lt;&gt;"",$P24,IF(MOD($O24-$N24,1)&gt;設定!$E$8,設定!$E$7,0))))</f>
        <v/>
      </c>
      <c r="G24" s="15" t="n"/>
      <c r="H24" s="15" t="n"/>
      <c r="I24" s="15" t="n"/>
      <c r="J24" s="15" t="n"/>
      <c r="K24" s="17">
        <f>IF($A24="","",IFERROR(VLOOKUP($A24,祝日リスト!$A$2:$C$40,3,0),""))</f>
        <v/>
      </c>
      <c r="L24" s="18" t="n"/>
      <c r="M24" s="19">
        <f>IF($A24="","",IF($K24&lt;&gt;"","祝",IF(WEEKDAY($A24,2)=6,"土",IF(WEEKDAY($A24,2)=7,"日","平"))))</f>
        <v/>
      </c>
      <c r="N24" s="19">
        <f>IF(NOT(ISNUMBER($C24)),"",IF($C24&lt;1,$C24,(INT($C24/100)*60+MOD($C24,100))/1440))</f>
        <v/>
      </c>
      <c r="O24" s="19">
        <f>IF(NOT(ISNUMBER($D24)),"",IF($D24&lt;1,$D24,(INT($D24/100)*60+MOD($D24,100))/1440))</f>
        <v/>
      </c>
      <c r="P24" s="19">
        <f>IF(NOT(ISNUMBER($E24)),"",IF($E24&lt;1,$E24,(INT($E24/100)*60+MOD($E24,100))/1440))</f>
        <v/>
      </c>
      <c r="Q24" s="19">
        <f>IF(NOT(ISNUMBER($G24)),"",IF($G24&lt;1,$G24,(INT($G24/100)*60+MOD($G24,100))/1440))</f>
        <v/>
      </c>
      <c r="R24" s="19">
        <f>IF(NOT(ISNUMBER($H24)),"",IF($H24&lt;1,$H24,(INT($H24/100)*60+MOD($H24,100))/1440))</f>
        <v/>
      </c>
      <c r="S24" s="19">
        <f>IF(NOT(ISNUMBER($I24)),"",IF($I24&lt;1,$I24,(INT($I24/100)*60+MOD($I24,100))/1440))</f>
        <v/>
      </c>
      <c r="T24" s="19">
        <f>IF(NOT(ISNUMBER($J24)),"",IF($J24&lt;1,$J24,(INT($J24/100)*60+MOD($J24,100))/1440))</f>
        <v/>
      </c>
    </row>
    <row r="25" ht="19" customHeight="1">
      <c r="A25" s="13">
        <f>IF(A24="","",IF(MONTH(A24+1)=$D$4,A24+1,""))</f>
        <v/>
      </c>
      <c r="B25" s="14">
        <f>IF($A25="","",CHOOSE(WEEKDAY($A25,2),"月","火","水","木","金","土","日"))</f>
        <v/>
      </c>
      <c r="C25" s="15" t="n"/>
      <c r="D25" s="15" t="n"/>
      <c r="E25" s="15" t="n"/>
      <c r="F25" s="16">
        <f>IF(OR($N25="",$O25=""),"",MAX(0,MOD($O25-$N25,1)-IF($P25&lt;&gt;"",$P25,IF(MOD($O25-$N25,1)&gt;設定!$E$8,設定!$E$7,0))))</f>
        <v/>
      </c>
      <c r="G25" s="15" t="n"/>
      <c r="H25" s="15" t="n"/>
      <c r="I25" s="15" t="n"/>
      <c r="J25" s="15" t="n"/>
      <c r="K25" s="17">
        <f>IF($A25="","",IFERROR(VLOOKUP($A25,祝日リスト!$A$2:$C$40,3,0),""))</f>
        <v/>
      </c>
      <c r="L25" s="18" t="n"/>
      <c r="M25" s="19">
        <f>IF($A25="","",IF($K25&lt;&gt;"","祝",IF(WEEKDAY($A25,2)=6,"土",IF(WEEKDAY($A25,2)=7,"日","平"))))</f>
        <v/>
      </c>
      <c r="N25" s="19">
        <f>IF(NOT(ISNUMBER($C25)),"",IF($C25&lt;1,$C25,(INT($C25/100)*60+MOD($C25,100))/1440))</f>
        <v/>
      </c>
      <c r="O25" s="19">
        <f>IF(NOT(ISNUMBER($D25)),"",IF($D25&lt;1,$D25,(INT($D25/100)*60+MOD($D25,100))/1440))</f>
        <v/>
      </c>
      <c r="P25" s="19">
        <f>IF(NOT(ISNUMBER($E25)),"",IF($E25&lt;1,$E25,(INT($E25/100)*60+MOD($E25,100))/1440))</f>
        <v/>
      </c>
      <c r="Q25" s="19">
        <f>IF(NOT(ISNUMBER($G25)),"",IF($G25&lt;1,$G25,(INT($G25/100)*60+MOD($G25,100))/1440))</f>
        <v/>
      </c>
      <c r="R25" s="19">
        <f>IF(NOT(ISNUMBER($H25)),"",IF($H25&lt;1,$H25,(INT($H25/100)*60+MOD($H25,100))/1440))</f>
        <v/>
      </c>
      <c r="S25" s="19">
        <f>IF(NOT(ISNUMBER($I25)),"",IF($I25&lt;1,$I25,(INT($I25/100)*60+MOD($I25,100))/1440))</f>
        <v/>
      </c>
      <c r="T25" s="19">
        <f>IF(NOT(ISNUMBER($J25)),"",IF($J25&lt;1,$J25,(INT($J25/100)*60+MOD($J25,100))/1440))</f>
        <v/>
      </c>
    </row>
    <row r="26" ht="19" customHeight="1">
      <c r="A26" s="13">
        <f>IF(A25="","",IF(MONTH(A25+1)=$D$4,A25+1,""))</f>
        <v/>
      </c>
      <c r="B26" s="14">
        <f>IF($A26="","",CHOOSE(WEEKDAY($A26,2),"月","火","水","木","金","土","日"))</f>
        <v/>
      </c>
      <c r="C26" s="15" t="n"/>
      <c r="D26" s="15" t="n"/>
      <c r="E26" s="15" t="n"/>
      <c r="F26" s="16">
        <f>IF(OR($N26="",$O26=""),"",MAX(0,MOD($O26-$N26,1)-IF($P26&lt;&gt;"",$P26,IF(MOD($O26-$N26,1)&gt;設定!$E$8,設定!$E$7,0))))</f>
        <v/>
      </c>
      <c r="G26" s="15" t="n"/>
      <c r="H26" s="15" t="n"/>
      <c r="I26" s="15" t="n"/>
      <c r="J26" s="15" t="n"/>
      <c r="K26" s="17">
        <f>IF($A26="","",IFERROR(VLOOKUP($A26,祝日リスト!$A$2:$C$40,3,0),""))</f>
        <v/>
      </c>
      <c r="L26" s="18" t="n"/>
      <c r="M26" s="19">
        <f>IF($A26="","",IF($K26&lt;&gt;"","祝",IF(WEEKDAY($A26,2)=6,"土",IF(WEEKDAY($A26,2)=7,"日","平"))))</f>
        <v/>
      </c>
      <c r="N26" s="19">
        <f>IF(NOT(ISNUMBER($C26)),"",IF($C26&lt;1,$C26,(INT($C26/100)*60+MOD($C26,100))/1440))</f>
        <v/>
      </c>
      <c r="O26" s="19">
        <f>IF(NOT(ISNUMBER($D26)),"",IF($D26&lt;1,$D26,(INT($D26/100)*60+MOD($D26,100))/1440))</f>
        <v/>
      </c>
      <c r="P26" s="19">
        <f>IF(NOT(ISNUMBER($E26)),"",IF($E26&lt;1,$E26,(INT($E26/100)*60+MOD($E26,100))/1440))</f>
        <v/>
      </c>
      <c r="Q26" s="19">
        <f>IF(NOT(ISNUMBER($G26)),"",IF($G26&lt;1,$G26,(INT($G26/100)*60+MOD($G26,100))/1440))</f>
        <v/>
      </c>
      <c r="R26" s="19">
        <f>IF(NOT(ISNUMBER($H26)),"",IF($H26&lt;1,$H26,(INT($H26/100)*60+MOD($H26,100))/1440))</f>
        <v/>
      </c>
      <c r="S26" s="19">
        <f>IF(NOT(ISNUMBER($I26)),"",IF($I26&lt;1,$I26,(INT($I26/100)*60+MOD($I26,100))/1440))</f>
        <v/>
      </c>
      <c r="T26" s="19">
        <f>IF(NOT(ISNUMBER($J26)),"",IF($J26&lt;1,$J26,(INT($J26/100)*60+MOD($J26,100))/1440))</f>
        <v/>
      </c>
    </row>
    <row r="27" ht="19" customHeight="1">
      <c r="A27" s="13">
        <f>IF(A26="","",IF(MONTH(A26+1)=$D$4,A26+1,""))</f>
        <v/>
      </c>
      <c r="B27" s="14">
        <f>IF($A27="","",CHOOSE(WEEKDAY($A27,2),"月","火","水","木","金","土","日"))</f>
        <v/>
      </c>
      <c r="C27" s="15" t="n"/>
      <c r="D27" s="15" t="n"/>
      <c r="E27" s="15" t="n"/>
      <c r="F27" s="16">
        <f>IF(OR($N27="",$O27=""),"",MAX(0,MOD($O27-$N27,1)-IF($P27&lt;&gt;"",$P27,IF(MOD($O27-$N27,1)&gt;設定!$E$8,設定!$E$7,0))))</f>
        <v/>
      </c>
      <c r="G27" s="15" t="n"/>
      <c r="H27" s="15" t="n"/>
      <c r="I27" s="15" t="n"/>
      <c r="J27" s="15" t="n"/>
      <c r="K27" s="17">
        <f>IF($A27="","",IFERROR(VLOOKUP($A27,祝日リスト!$A$2:$C$40,3,0),""))</f>
        <v/>
      </c>
      <c r="L27" s="18" t="n"/>
      <c r="M27" s="19">
        <f>IF($A27="","",IF($K27&lt;&gt;"","祝",IF(WEEKDAY($A27,2)=6,"土",IF(WEEKDAY($A27,2)=7,"日","平"))))</f>
        <v/>
      </c>
      <c r="N27" s="19">
        <f>IF(NOT(ISNUMBER($C27)),"",IF($C27&lt;1,$C27,(INT($C27/100)*60+MOD($C27,100))/1440))</f>
        <v/>
      </c>
      <c r="O27" s="19">
        <f>IF(NOT(ISNUMBER($D27)),"",IF($D27&lt;1,$D27,(INT($D27/100)*60+MOD($D27,100))/1440))</f>
        <v/>
      </c>
      <c r="P27" s="19">
        <f>IF(NOT(ISNUMBER($E27)),"",IF($E27&lt;1,$E27,(INT($E27/100)*60+MOD($E27,100))/1440))</f>
        <v/>
      </c>
      <c r="Q27" s="19">
        <f>IF(NOT(ISNUMBER($G27)),"",IF($G27&lt;1,$G27,(INT($G27/100)*60+MOD($G27,100))/1440))</f>
        <v/>
      </c>
      <c r="R27" s="19">
        <f>IF(NOT(ISNUMBER($H27)),"",IF($H27&lt;1,$H27,(INT($H27/100)*60+MOD($H27,100))/1440))</f>
        <v/>
      </c>
      <c r="S27" s="19">
        <f>IF(NOT(ISNUMBER($I27)),"",IF($I27&lt;1,$I27,(INT($I27/100)*60+MOD($I27,100))/1440))</f>
        <v/>
      </c>
      <c r="T27" s="19">
        <f>IF(NOT(ISNUMBER($J27)),"",IF($J27&lt;1,$J27,(INT($J27/100)*60+MOD($J27,100))/1440))</f>
        <v/>
      </c>
    </row>
    <row r="28" ht="19" customHeight="1">
      <c r="A28" s="13">
        <f>IF(A27="","",IF(MONTH(A27+1)=$D$4,A27+1,""))</f>
        <v/>
      </c>
      <c r="B28" s="14">
        <f>IF($A28="","",CHOOSE(WEEKDAY($A28,2),"月","火","水","木","金","土","日"))</f>
        <v/>
      </c>
      <c r="C28" s="15" t="n"/>
      <c r="D28" s="15" t="n"/>
      <c r="E28" s="15" t="n"/>
      <c r="F28" s="16">
        <f>IF(OR($N28="",$O28=""),"",MAX(0,MOD($O28-$N28,1)-IF($P28&lt;&gt;"",$P28,IF(MOD($O28-$N28,1)&gt;設定!$E$8,設定!$E$7,0))))</f>
        <v/>
      </c>
      <c r="G28" s="15" t="n"/>
      <c r="H28" s="15" t="n"/>
      <c r="I28" s="15" t="n"/>
      <c r="J28" s="15" t="n"/>
      <c r="K28" s="17">
        <f>IF($A28="","",IFERROR(VLOOKUP($A28,祝日リスト!$A$2:$C$40,3,0),""))</f>
        <v/>
      </c>
      <c r="L28" s="18" t="n"/>
      <c r="M28" s="19">
        <f>IF($A28="","",IF($K28&lt;&gt;"","祝",IF(WEEKDAY($A28,2)=6,"土",IF(WEEKDAY($A28,2)=7,"日","平"))))</f>
        <v/>
      </c>
      <c r="N28" s="19">
        <f>IF(NOT(ISNUMBER($C28)),"",IF($C28&lt;1,$C28,(INT($C28/100)*60+MOD($C28,100))/1440))</f>
        <v/>
      </c>
      <c r="O28" s="19">
        <f>IF(NOT(ISNUMBER($D28)),"",IF($D28&lt;1,$D28,(INT($D28/100)*60+MOD($D28,100))/1440))</f>
        <v/>
      </c>
      <c r="P28" s="19">
        <f>IF(NOT(ISNUMBER($E28)),"",IF($E28&lt;1,$E28,(INT($E28/100)*60+MOD($E28,100))/1440))</f>
        <v/>
      </c>
      <c r="Q28" s="19">
        <f>IF(NOT(ISNUMBER($G28)),"",IF($G28&lt;1,$G28,(INT($G28/100)*60+MOD($G28,100))/1440))</f>
        <v/>
      </c>
      <c r="R28" s="19">
        <f>IF(NOT(ISNUMBER($H28)),"",IF($H28&lt;1,$H28,(INT($H28/100)*60+MOD($H28,100))/1440))</f>
        <v/>
      </c>
      <c r="S28" s="19">
        <f>IF(NOT(ISNUMBER($I28)),"",IF($I28&lt;1,$I28,(INT($I28/100)*60+MOD($I28,100))/1440))</f>
        <v/>
      </c>
      <c r="T28" s="19">
        <f>IF(NOT(ISNUMBER($J28)),"",IF($J28&lt;1,$J28,(INT($J28/100)*60+MOD($J28,100))/1440))</f>
        <v/>
      </c>
    </row>
    <row r="29" ht="19" customHeight="1">
      <c r="A29" s="13">
        <f>IF(A28="","",IF(MONTH(A28+1)=$D$4,A28+1,""))</f>
        <v/>
      </c>
      <c r="B29" s="14">
        <f>IF($A29="","",CHOOSE(WEEKDAY($A29,2),"月","火","水","木","金","土","日"))</f>
        <v/>
      </c>
      <c r="C29" s="15" t="n"/>
      <c r="D29" s="15" t="n"/>
      <c r="E29" s="15" t="n"/>
      <c r="F29" s="16">
        <f>IF(OR($N29="",$O29=""),"",MAX(0,MOD($O29-$N29,1)-IF($P29&lt;&gt;"",$P29,IF(MOD($O29-$N29,1)&gt;設定!$E$8,設定!$E$7,0))))</f>
        <v/>
      </c>
      <c r="G29" s="15" t="n"/>
      <c r="H29" s="15" t="n"/>
      <c r="I29" s="15" t="n"/>
      <c r="J29" s="15" t="n"/>
      <c r="K29" s="17">
        <f>IF($A29="","",IFERROR(VLOOKUP($A29,祝日リスト!$A$2:$C$40,3,0),""))</f>
        <v/>
      </c>
      <c r="L29" s="18" t="n"/>
      <c r="M29" s="19">
        <f>IF($A29="","",IF($K29&lt;&gt;"","祝",IF(WEEKDAY($A29,2)=6,"土",IF(WEEKDAY($A29,2)=7,"日","平"))))</f>
        <v/>
      </c>
      <c r="N29" s="19">
        <f>IF(NOT(ISNUMBER($C29)),"",IF($C29&lt;1,$C29,(INT($C29/100)*60+MOD($C29,100))/1440))</f>
        <v/>
      </c>
      <c r="O29" s="19">
        <f>IF(NOT(ISNUMBER($D29)),"",IF($D29&lt;1,$D29,(INT($D29/100)*60+MOD($D29,100))/1440))</f>
        <v/>
      </c>
      <c r="P29" s="19">
        <f>IF(NOT(ISNUMBER($E29)),"",IF($E29&lt;1,$E29,(INT($E29/100)*60+MOD($E29,100))/1440))</f>
        <v/>
      </c>
      <c r="Q29" s="19">
        <f>IF(NOT(ISNUMBER($G29)),"",IF($G29&lt;1,$G29,(INT($G29/100)*60+MOD($G29,100))/1440))</f>
        <v/>
      </c>
      <c r="R29" s="19">
        <f>IF(NOT(ISNUMBER($H29)),"",IF($H29&lt;1,$H29,(INT($H29/100)*60+MOD($H29,100))/1440))</f>
        <v/>
      </c>
      <c r="S29" s="19">
        <f>IF(NOT(ISNUMBER($I29)),"",IF($I29&lt;1,$I29,(INT($I29/100)*60+MOD($I29,100))/1440))</f>
        <v/>
      </c>
      <c r="T29" s="19">
        <f>IF(NOT(ISNUMBER($J29)),"",IF($J29&lt;1,$J29,(INT($J29/100)*60+MOD($J29,100))/1440))</f>
        <v/>
      </c>
    </row>
    <row r="30" ht="19" customHeight="1">
      <c r="A30" s="13">
        <f>IF(A29="","",IF(MONTH(A29+1)=$D$4,A29+1,""))</f>
        <v/>
      </c>
      <c r="B30" s="14">
        <f>IF($A30="","",CHOOSE(WEEKDAY($A30,2),"月","火","水","木","金","土","日"))</f>
        <v/>
      </c>
      <c r="C30" s="15" t="n"/>
      <c r="D30" s="15" t="n"/>
      <c r="E30" s="15" t="n"/>
      <c r="F30" s="16">
        <f>IF(OR($N30="",$O30=""),"",MAX(0,MOD($O30-$N30,1)-IF($P30&lt;&gt;"",$P30,IF(MOD($O30-$N30,1)&gt;設定!$E$8,設定!$E$7,0))))</f>
        <v/>
      </c>
      <c r="G30" s="15" t="n"/>
      <c r="H30" s="15" t="n"/>
      <c r="I30" s="15" t="n"/>
      <c r="J30" s="15" t="n"/>
      <c r="K30" s="17">
        <f>IF($A30="","",IFERROR(VLOOKUP($A30,祝日リスト!$A$2:$C$40,3,0),""))</f>
        <v/>
      </c>
      <c r="L30" s="18" t="n"/>
      <c r="M30" s="19">
        <f>IF($A30="","",IF($K30&lt;&gt;"","祝",IF(WEEKDAY($A30,2)=6,"土",IF(WEEKDAY($A30,2)=7,"日","平"))))</f>
        <v/>
      </c>
      <c r="N30" s="19">
        <f>IF(NOT(ISNUMBER($C30)),"",IF($C30&lt;1,$C30,(INT($C30/100)*60+MOD($C30,100))/1440))</f>
        <v/>
      </c>
      <c r="O30" s="19">
        <f>IF(NOT(ISNUMBER($D30)),"",IF($D30&lt;1,$D30,(INT($D30/100)*60+MOD($D30,100))/1440))</f>
        <v/>
      </c>
      <c r="P30" s="19">
        <f>IF(NOT(ISNUMBER($E30)),"",IF($E30&lt;1,$E30,(INT($E30/100)*60+MOD($E30,100))/1440))</f>
        <v/>
      </c>
      <c r="Q30" s="19">
        <f>IF(NOT(ISNUMBER($G30)),"",IF($G30&lt;1,$G30,(INT($G30/100)*60+MOD($G30,100))/1440))</f>
        <v/>
      </c>
      <c r="R30" s="19">
        <f>IF(NOT(ISNUMBER($H30)),"",IF($H30&lt;1,$H30,(INT($H30/100)*60+MOD($H30,100))/1440))</f>
        <v/>
      </c>
      <c r="S30" s="19">
        <f>IF(NOT(ISNUMBER($I30)),"",IF($I30&lt;1,$I30,(INT($I30/100)*60+MOD($I30,100))/1440))</f>
        <v/>
      </c>
      <c r="T30" s="19">
        <f>IF(NOT(ISNUMBER($J30)),"",IF($J30&lt;1,$J30,(INT($J30/100)*60+MOD($J30,100))/1440))</f>
        <v/>
      </c>
    </row>
    <row r="31" ht="19" customHeight="1">
      <c r="A31" s="13">
        <f>IF(A30="","",IF(MONTH(A30+1)=$D$4,A30+1,""))</f>
        <v/>
      </c>
      <c r="B31" s="14">
        <f>IF($A31="","",CHOOSE(WEEKDAY($A31,2),"月","火","水","木","金","土","日"))</f>
        <v/>
      </c>
      <c r="C31" s="15" t="n"/>
      <c r="D31" s="15" t="n"/>
      <c r="E31" s="15" t="n"/>
      <c r="F31" s="16">
        <f>IF(OR($N31="",$O31=""),"",MAX(0,MOD($O31-$N31,1)-IF($P31&lt;&gt;"",$P31,IF(MOD($O31-$N31,1)&gt;設定!$E$8,設定!$E$7,0))))</f>
        <v/>
      </c>
      <c r="G31" s="15" t="n"/>
      <c r="H31" s="15" t="n"/>
      <c r="I31" s="15" t="n"/>
      <c r="J31" s="15" t="n"/>
      <c r="K31" s="17">
        <f>IF($A31="","",IFERROR(VLOOKUP($A31,祝日リスト!$A$2:$C$40,3,0),""))</f>
        <v/>
      </c>
      <c r="L31" s="18" t="n"/>
      <c r="M31" s="19">
        <f>IF($A31="","",IF($K31&lt;&gt;"","祝",IF(WEEKDAY($A31,2)=6,"土",IF(WEEKDAY($A31,2)=7,"日","平"))))</f>
        <v/>
      </c>
      <c r="N31" s="19">
        <f>IF(NOT(ISNUMBER($C31)),"",IF($C31&lt;1,$C31,(INT($C31/100)*60+MOD($C31,100))/1440))</f>
        <v/>
      </c>
      <c r="O31" s="19">
        <f>IF(NOT(ISNUMBER($D31)),"",IF($D31&lt;1,$D31,(INT($D31/100)*60+MOD($D31,100))/1440))</f>
        <v/>
      </c>
      <c r="P31" s="19">
        <f>IF(NOT(ISNUMBER($E31)),"",IF($E31&lt;1,$E31,(INT($E31/100)*60+MOD($E31,100))/1440))</f>
        <v/>
      </c>
      <c r="Q31" s="19">
        <f>IF(NOT(ISNUMBER($G31)),"",IF($G31&lt;1,$G31,(INT($G31/100)*60+MOD($G31,100))/1440))</f>
        <v/>
      </c>
      <c r="R31" s="19">
        <f>IF(NOT(ISNUMBER($H31)),"",IF($H31&lt;1,$H31,(INT($H31/100)*60+MOD($H31,100))/1440))</f>
        <v/>
      </c>
      <c r="S31" s="19">
        <f>IF(NOT(ISNUMBER($I31)),"",IF($I31&lt;1,$I31,(INT($I31/100)*60+MOD($I31,100))/1440))</f>
        <v/>
      </c>
      <c r="T31" s="19">
        <f>IF(NOT(ISNUMBER($J31)),"",IF($J31&lt;1,$J31,(INT($J31/100)*60+MOD($J31,100))/1440))</f>
        <v/>
      </c>
    </row>
    <row r="32" ht="19" customHeight="1">
      <c r="A32" s="13">
        <f>IF(A31="","",IF(MONTH(A31+1)=$D$4,A31+1,""))</f>
        <v/>
      </c>
      <c r="B32" s="14">
        <f>IF($A32="","",CHOOSE(WEEKDAY($A32,2),"月","火","水","木","金","土","日"))</f>
        <v/>
      </c>
      <c r="C32" s="15" t="n"/>
      <c r="D32" s="15" t="n"/>
      <c r="E32" s="15" t="n"/>
      <c r="F32" s="16">
        <f>IF(OR($N32="",$O32=""),"",MAX(0,MOD($O32-$N32,1)-IF($P32&lt;&gt;"",$P32,IF(MOD($O32-$N32,1)&gt;設定!$E$8,設定!$E$7,0))))</f>
        <v/>
      </c>
      <c r="G32" s="15" t="n"/>
      <c r="H32" s="15" t="n"/>
      <c r="I32" s="15" t="n"/>
      <c r="J32" s="15" t="n"/>
      <c r="K32" s="17">
        <f>IF($A32="","",IFERROR(VLOOKUP($A32,祝日リスト!$A$2:$C$40,3,0),""))</f>
        <v/>
      </c>
      <c r="L32" s="18" t="n"/>
      <c r="M32" s="19">
        <f>IF($A32="","",IF($K32&lt;&gt;"","祝",IF(WEEKDAY($A32,2)=6,"土",IF(WEEKDAY($A32,2)=7,"日","平"))))</f>
        <v/>
      </c>
      <c r="N32" s="19">
        <f>IF(NOT(ISNUMBER($C32)),"",IF($C32&lt;1,$C32,(INT($C32/100)*60+MOD($C32,100))/1440))</f>
        <v/>
      </c>
      <c r="O32" s="19">
        <f>IF(NOT(ISNUMBER($D32)),"",IF($D32&lt;1,$D32,(INT($D32/100)*60+MOD($D32,100))/1440))</f>
        <v/>
      </c>
      <c r="P32" s="19">
        <f>IF(NOT(ISNUMBER($E32)),"",IF($E32&lt;1,$E32,(INT($E32/100)*60+MOD($E32,100))/1440))</f>
        <v/>
      </c>
      <c r="Q32" s="19">
        <f>IF(NOT(ISNUMBER($G32)),"",IF($G32&lt;1,$G32,(INT($G32/100)*60+MOD($G32,100))/1440))</f>
        <v/>
      </c>
      <c r="R32" s="19">
        <f>IF(NOT(ISNUMBER($H32)),"",IF($H32&lt;1,$H32,(INT($H32/100)*60+MOD($H32,100))/1440))</f>
        <v/>
      </c>
      <c r="S32" s="19">
        <f>IF(NOT(ISNUMBER($I32)),"",IF($I32&lt;1,$I32,(INT($I32/100)*60+MOD($I32,100))/1440))</f>
        <v/>
      </c>
      <c r="T32" s="19">
        <f>IF(NOT(ISNUMBER($J32)),"",IF($J32&lt;1,$J32,(INT($J32/100)*60+MOD($J32,100))/1440))</f>
        <v/>
      </c>
    </row>
    <row r="33" ht="19" customHeight="1">
      <c r="A33" s="13">
        <f>IF(A32="","",IF(MONTH(A32+1)=$D$4,A32+1,""))</f>
        <v/>
      </c>
      <c r="B33" s="14">
        <f>IF($A33="","",CHOOSE(WEEKDAY($A33,2),"月","火","水","木","金","土","日"))</f>
        <v/>
      </c>
      <c r="C33" s="15" t="n"/>
      <c r="D33" s="15" t="n"/>
      <c r="E33" s="15" t="n"/>
      <c r="F33" s="16">
        <f>IF(OR($N33="",$O33=""),"",MAX(0,MOD($O33-$N33,1)-IF($P33&lt;&gt;"",$P33,IF(MOD($O33-$N33,1)&gt;設定!$E$8,設定!$E$7,0))))</f>
        <v/>
      </c>
      <c r="G33" s="15" t="n"/>
      <c r="H33" s="15" t="n"/>
      <c r="I33" s="15" t="n"/>
      <c r="J33" s="15" t="n"/>
      <c r="K33" s="17">
        <f>IF($A33="","",IFERROR(VLOOKUP($A33,祝日リスト!$A$2:$C$40,3,0),""))</f>
        <v/>
      </c>
      <c r="L33" s="18" t="n"/>
      <c r="M33" s="19">
        <f>IF($A33="","",IF($K33&lt;&gt;"","祝",IF(WEEKDAY($A33,2)=6,"土",IF(WEEKDAY($A33,2)=7,"日","平"))))</f>
        <v/>
      </c>
      <c r="N33" s="19">
        <f>IF(NOT(ISNUMBER($C33)),"",IF($C33&lt;1,$C33,(INT($C33/100)*60+MOD($C33,100))/1440))</f>
        <v/>
      </c>
      <c r="O33" s="19">
        <f>IF(NOT(ISNUMBER($D33)),"",IF($D33&lt;1,$D33,(INT($D33/100)*60+MOD($D33,100))/1440))</f>
        <v/>
      </c>
      <c r="P33" s="19">
        <f>IF(NOT(ISNUMBER($E33)),"",IF($E33&lt;1,$E33,(INT($E33/100)*60+MOD($E33,100))/1440))</f>
        <v/>
      </c>
      <c r="Q33" s="19">
        <f>IF(NOT(ISNUMBER($G33)),"",IF($G33&lt;1,$G33,(INT($G33/100)*60+MOD($G33,100))/1440))</f>
        <v/>
      </c>
      <c r="R33" s="19">
        <f>IF(NOT(ISNUMBER($H33)),"",IF($H33&lt;1,$H33,(INT($H33/100)*60+MOD($H33,100))/1440))</f>
        <v/>
      </c>
      <c r="S33" s="19">
        <f>IF(NOT(ISNUMBER($I33)),"",IF($I33&lt;1,$I33,(INT($I33/100)*60+MOD($I33,100))/1440))</f>
        <v/>
      </c>
      <c r="T33" s="19">
        <f>IF(NOT(ISNUMBER($J33)),"",IF($J33&lt;1,$J33,(INT($J33/100)*60+MOD($J33,100))/1440))</f>
        <v/>
      </c>
    </row>
    <row r="34" ht="19" customHeight="1">
      <c r="A34" s="13">
        <f>IF(A33="","",IF(MONTH(A33+1)=$D$4,A33+1,""))</f>
        <v/>
      </c>
      <c r="B34" s="14">
        <f>IF($A34="","",CHOOSE(WEEKDAY($A34,2),"月","火","水","木","金","土","日"))</f>
        <v/>
      </c>
      <c r="C34" s="15" t="n"/>
      <c r="D34" s="15" t="n"/>
      <c r="E34" s="15" t="n"/>
      <c r="F34" s="16">
        <f>IF(OR($N34="",$O34=""),"",MAX(0,MOD($O34-$N34,1)-IF($P34&lt;&gt;"",$P34,IF(MOD($O34-$N34,1)&gt;設定!$E$8,設定!$E$7,0))))</f>
        <v/>
      </c>
      <c r="G34" s="15" t="n"/>
      <c r="H34" s="15" t="n"/>
      <c r="I34" s="15" t="n"/>
      <c r="J34" s="15" t="n"/>
      <c r="K34" s="17">
        <f>IF($A34="","",IFERROR(VLOOKUP($A34,祝日リスト!$A$2:$C$40,3,0),""))</f>
        <v/>
      </c>
      <c r="L34" s="18" t="n"/>
      <c r="M34" s="19">
        <f>IF($A34="","",IF($K34&lt;&gt;"","祝",IF(WEEKDAY($A34,2)=6,"土",IF(WEEKDAY($A34,2)=7,"日","平"))))</f>
        <v/>
      </c>
      <c r="N34" s="19">
        <f>IF(NOT(ISNUMBER($C34)),"",IF($C34&lt;1,$C34,(INT($C34/100)*60+MOD($C34,100))/1440))</f>
        <v/>
      </c>
      <c r="O34" s="19">
        <f>IF(NOT(ISNUMBER($D34)),"",IF($D34&lt;1,$D34,(INT($D34/100)*60+MOD($D34,100))/1440))</f>
        <v/>
      </c>
      <c r="P34" s="19">
        <f>IF(NOT(ISNUMBER($E34)),"",IF($E34&lt;1,$E34,(INT($E34/100)*60+MOD($E34,100))/1440))</f>
        <v/>
      </c>
      <c r="Q34" s="19">
        <f>IF(NOT(ISNUMBER($G34)),"",IF($G34&lt;1,$G34,(INT($G34/100)*60+MOD($G34,100))/1440))</f>
        <v/>
      </c>
      <c r="R34" s="19">
        <f>IF(NOT(ISNUMBER($H34)),"",IF($H34&lt;1,$H34,(INT($H34/100)*60+MOD($H34,100))/1440))</f>
        <v/>
      </c>
      <c r="S34" s="19">
        <f>IF(NOT(ISNUMBER($I34)),"",IF($I34&lt;1,$I34,(INT($I34/100)*60+MOD($I34,100))/1440))</f>
        <v/>
      </c>
      <c r="T34" s="19">
        <f>IF(NOT(ISNUMBER($J34)),"",IF($J34&lt;1,$J34,(INT($J34/100)*60+MOD($J34,100))/1440))</f>
        <v/>
      </c>
    </row>
    <row r="35" ht="19" customHeight="1">
      <c r="A35" s="13">
        <f>IF(A34="","",IF(MONTH(A34+1)=$D$4,A34+1,""))</f>
        <v/>
      </c>
      <c r="B35" s="14">
        <f>IF($A35="","",CHOOSE(WEEKDAY($A35,2),"月","火","水","木","金","土","日"))</f>
        <v/>
      </c>
      <c r="C35" s="15" t="n"/>
      <c r="D35" s="15" t="n"/>
      <c r="E35" s="15" t="n"/>
      <c r="F35" s="16">
        <f>IF(OR($N35="",$O35=""),"",MAX(0,MOD($O35-$N35,1)-IF($P35&lt;&gt;"",$P35,IF(MOD($O35-$N35,1)&gt;設定!$E$8,設定!$E$7,0))))</f>
        <v/>
      </c>
      <c r="G35" s="15" t="n"/>
      <c r="H35" s="15" t="n"/>
      <c r="I35" s="15" t="n"/>
      <c r="J35" s="15" t="n"/>
      <c r="K35" s="17">
        <f>IF($A35="","",IFERROR(VLOOKUP($A35,祝日リスト!$A$2:$C$40,3,0),""))</f>
        <v/>
      </c>
      <c r="L35" s="18" t="n"/>
      <c r="M35" s="19">
        <f>IF($A35="","",IF($K35&lt;&gt;"","祝",IF(WEEKDAY($A35,2)=6,"土",IF(WEEKDAY($A35,2)=7,"日","平"))))</f>
        <v/>
      </c>
      <c r="N35" s="19">
        <f>IF(NOT(ISNUMBER($C35)),"",IF($C35&lt;1,$C35,(INT($C35/100)*60+MOD($C35,100))/1440))</f>
        <v/>
      </c>
      <c r="O35" s="19">
        <f>IF(NOT(ISNUMBER($D35)),"",IF($D35&lt;1,$D35,(INT($D35/100)*60+MOD($D35,100))/1440))</f>
        <v/>
      </c>
      <c r="P35" s="19">
        <f>IF(NOT(ISNUMBER($E35)),"",IF($E35&lt;1,$E35,(INT($E35/100)*60+MOD($E35,100))/1440))</f>
        <v/>
      </c>
      <c r="Q35" s="19">
        <f>IF(NOT(ISNUMBER($G35)),"",IF($G35&lt;1,$G35,(INT($G35/100)*60+MOD($G35,100))/1440))</f>
        <v/>
      </c>
      <c r="R35" s="19">
        <f>IF(NOT(ISNUMBER($H35)),"",IF($H35&lt;1,$H35,(INT($H35/100)*60+MOD($H35,100))/1440))</f>
        <v/>
      </c>
      <c r="S35" s="19">
        <f>IF(NOT(ISNUMBER($I35)),"",IF($I35&lt;1,$I35,(INT($I35/100)*60+MOD($I35,100))/1440))</f>
        <v/>
      </c>
      <c r="T35" s="19">
        <f>IF(NOT(ISNUMBER($J35)),"",IF($J35&lt;1,$J35,(INT($J35/100)*60+MOD($J35,100))/1440))</f>
        <v/>
      </c>
    </row>
    <row r="36" ht="19" customHeight="1">
      <c r="A36" s="13">
        <f>IF(A35="","",IF(MONTH(A35+1)=$D$4,A35+1,""))</f>
        <v/>
      </c>
      <c r="B36" s="14">
        <f>IF($A36="","",CHOOSE(WEEKDAY($A36,2),"月","火","水","木","金","土","日"))</f>
        <v/>
      </c>
      <c r="C36" s="15" t="n"/>
      <c r="D36" s="15" t="n"/>
      <c r="E36" s="15" t="n"/>
      <c r="F36" s="16">
        <f>IF(OR($N36="",$O36=""),"",MAX(0,MOD($O36-$N36,1)-IF($P36&lt;&gt;"",$P36,IF(MOD($O36-$N36,1)&gt;設定!$E$8,設定!$E$7,0))))</f>
        <v/>
      </c>
      <c r="G36" s="15" t="n"/>
      <c r="H36" s="15" t="n"/>
      <c r="I36" s="15" t="n"/>
      <c r="J36" s="15" t="n"/>
      <c r="K36" s="17">
        <f>IF($A36="","",IFERROR(VLOOKUP($A36,祝日リスト!$A$2:$C$40,3,0),""))</f>
        <v/>
      </c>
      <c r="L36" s="18" t="n"/>
      <c r="M36" s="19">
        <f>IF($A36="","",IF($K36&lt;&gt;"","祝",IF(WEEKDAY($A36,2)=6,"土",IF(WEEKDAY($A36,2)=7,"日","平"))))</f>
        <v/>
      </c>
      <c r="N36" s="19">
        <f>IF(NOT(ISNUMBER($C36)),"",IF($C36&lt;1,$C36,(INT($C36/100)*60+MOD($C36,100))/1440))</f>
        <v/>
      </c>
      <c r="O36" s="19">
        <f>IF(NOT(ISNUMBER($D36)),"",IF($D36&lt;1,$D36,(INT($D36/100)*60+MOD($D36,100))/1440))</f>
        <v/>
      </c>
      <c r="P36" s="19">
        <f>IF(NOT(ISNUMBER($E36)),"",IF($E36&lt;1,$E36,(INT($E36/100)*60+MOD($E36,100))/1440))</f>
        <v/>
      </c>
      <c r="Q36" s="19">
        <f>IF(NOT(ISNUMBER($G36)),"",IF($G36&lt;1,$G36,(INT($G36/100)*60+MOD($G36,100))/1440))</f>
        <v/>
      </c>
      <c r="R36" s="19">
        <f>IF(NOT(ISNUMBER($H36)),"",IF($H36&lt;1,$H36,(INT($H36/100)*60+MOD($H36,100))/1440))</f>
        <v/>
      </c>
      <c r="S36" s="19">
        <f>IF(NOT(ISNUMBER($I36)),"",IF($I36&lt;1,$I36,(INT($I36/100)*60+MOD($I36,100))/1440))</f>
        <v/>
      </c>
      <c r="T36" s="19">
        <f>IF(NOT(ISNUMBER($J36)),"",IF($J36&lt;1,$J36,(INT($J36/100)*60+MOD($J36,100))/1440))</f>
        <v/>
      </c>
    </row>
    <row r="37" ht="19" customHeight="1">
      <c r="A37" s="13">
        <f>IF(A36="","",IF(MONTH(A36+1)=$D$4,A36+1,""))</f>
        <v/>
      </c>
      <c r="B37" s="14">
        <f>IF($A37="","",CHOOSE(WEEKDAY($A37,2),"月","火","水","木","金","土","日"))</f>
        <v/>
      </c>
      <c r="C37" s="15" t="n"/>
      <c r="D37" s="15" t="n"/>
      <c r="E37" s="15" t="n"/>
      <c r="F37" s="16">
        <f>IF(OR($N37="",$O37=""),"",MAX(0,MOD($O37-$N37,1)-IF($P37&lt;&gt;"",$P37,IF(MOD($O37-$N37,1)&gt;設定!$E$8,設定!$E$7,0))))</f>
        <v/>
      </c>
      <c r="G37" s="15" t="n"/>
      <c r="H37" s="15" t="n"/>
      <c r="I37" s="15" t="n"/>
      <c r="J37" s="15" t="n"/>
      <c r="K37" s="17">
        <f>IF($A37="","",IFERROR(VLOOKUP($A37,祝日リスト!$A$2:$C$40,3,0),""))</f>
        <v/>
      </c>
      <c r="L37" s="18" t="n"/>
      <c r="M37" s="19">
        <f>IF($A37="","",IF($K37&lt;&gt;"","祝",IF(WEEKDAY($A37,2)=6,"土",IF(WEEKDAY($A37,2)=7,"日","平"))))</f>
        <v/>
      </c>
      <c r="N37" s="19">
        <f>IF(NOT(ISNUMBER($C37)),"",IF($C37&lt;1,$C37,(INT($C37/100)*60+MOD($C37,100))/1440))</f>
        <v/>
      </c>
      <c r="O37" s="19">
        <f>IF(NOT(ISNUMBER($D37)),"",IF($D37&lt;1,$D37,(INT($D37/100)*60+MOD($D37,100))/1440))</f>
        <v/>
      </c>
      <c r="P37" s="19">
        <f>IF(NOT(ISNUMBER($E37)),"",IF($E37&lt;1,$E37,(INT($E37/100)*60+MOD($E37,100))/1440))</f>
        <v/>
      </c>
      <c r="Q37" s="19">
        <f>IF(NOT(ISNUMBER($G37)),"",IF($G37&lt;1,$G37,(INT($G37/100)*60+MOD($G37,100))/1440))</f>
        <v/>
      </c>
      <c r="R37" s="19">
        <f>IF(NOT(ISNUMBER($H37)),"",IF($H37&lt;1,$H37,(INT($H37/100)*60+MOD($H37,100))/1440))</f>
        <v/>
      </c>
      <c r="S37" s="19">
        <f>IF(NOT(ISNUMBER($I37)),"",IF($I37&lt;1,$I37,(INT($I37/100)*60+MOD($I37,100))/1440))</f>
        <v/>
      </c>
      <c r="T37" s="19">
        <f>IF(NOT(ISNUMBER($J37)),"",IF($J37&lt;1,$J37,(INT($J37/100)*60+MOD($J37,100))/1440))</f>
        <v/>
      </c>
    </row>
    <row r="38" ht="19" customHeight="1">
      <c r="A38" s="20">
        <f>IF(A37="","",IF(MONTH(A37+1)=$D$4,A37+1,""))</f>
        <v/>
      </c>
      <c r="B38" s="21">
        <f>IF($A38="","",CHOOSE(WEEKDAY($A38,2),"月","火","水","木","金","土","日"))</f>
        <v/>
      </c>
      <c r="C38" s="22" t="n"/>
      <c r="D38" s="22" t="n"/>
      <c r="E38" s="22" t="n"/>
      <c r="F38" s="23">
        <f>IF(OR($N38="",$O38=""),"",MAX(0,MOD($O38-$N38,1)-IF($P38&lt;&gt;"",$P38,IF(MOD($O38-$N38,1)&gt;設定!$E$8,設定!$E$7,0))))</f>
        <v/>
      </c>
      <c r="G38" s="22" t="n"/>
      <c r="H38" s="22" t="n"/>
      <c r="I38" s="22" t="n"/>
      <c r="J38" s="22" t="n"/>
      <c r="K38" s="24">
        <f>IF($A38="","",IFERROR(VLOOKUP($A38,祝日リスト!$A$2:$C$40,3,0),""))</f>
        <v/>
      </c>
      <c r="L38" s="25" t="n"/>
      <c r="M38" s="19">
        <f>IF($A38="","",IF($K38&lt;&gt;"","祝",IF(WEEKDAY($A38,2)=6,"土",IF(WEEKDAY($A38,2)=7,"日","平"))))</f>
        <v/>
      </c>
      <c r="N38" s="19">
        <f>IF(NOT(ISNUMBER($C38)),"",IF($C38&lt;1,$C38,(INT($C38/100)*60+MOD($C38,100))/1440))</f>
        <v/>
      </c>
      <c r="O38" s="19">
        <f>IF(NOT(ISNUMBER($D38)),"",IF($D38&lt;1,$D38,(INT($D38/100)*60+MOD($D38,100))/1440))</f>
        <v/>
      </c>
      <c r="P38" s="19">
        <f>IF(NOT(ISNUMBER($E38)),"",IF($E38&lt;1,$E38,(INT($E38/100)*60+MOD($E38,100))/1440))</f>
        <v/>
      </c>
      <c r="Q38" s="19">
        <f>IF(NOT(ISNUMBER($G38)),"",IF($G38&lt;1,$G38,(INT($G38/100)*60+MOD($G38,100))/1440))</f>
        <v/>
      </c>
      <c r="R38" s="19">
        <f>IF(NOT(ISNUMBER($H38)),"",IF($H38&lt;1,$H38,(INT($H38/100)*60+MOD($H38,100))/1440))</f>
        <v/>
      </c>
      <c r="S38" s="19">
        <f>IF(NOT(ISNUMBER($I38)),"",IF($I38&lt;1,$I38,(INT($I38/100)*60+MOD($I38,100))/1440))</f>
        <v/>
      </c>
      <c r="T38" s="19">
        <f>IF(NOT(ISNUMBER($J38)),"",IF($J38&lt;1,$J38,(INT($J38/100)*60+MOD($J38,100))/1440))</f>
        <v/>
      </c>
    </row>
    <row r="40" ht="20" customHeight="1">
      <c r="A40" s="26" t="inlineStr">
        <is>
          <t>月次集計</t>
        </is>
      </c>
    </row>
    <row r="41" ht="18" customHeight="1">
      <c r="A41" s="27" t="inlineStr">
        <is>
          <t>出勤日数</t>
        </is>
      </c>
      <c r="D41" s="28">
        <f>COUNT($N$8:$N$38)</f>
        <v/>
      </c>
      <c r="E41" s="29" t="inlineStr">
        <is>
          <t>日</t>
        </is>
      </c>
      <c r="G41" s="27" t="inlineStr">
        <is>
          <t>通常残業</t>
        </is>
      </c>
      <c r="K41" s="30">
        <f>SUM($Q$8:$Q$38)</f>
        <v/>
      </c>
    </row>
    <row r="42" ht="18" customHeight="1">
      <c r="A42" s="27" t="inlineStr">
        <is>
          <t>実働時間 合計</t>
        </is>
      </c>
      <c r="D42" s="30">
        <f>SUM($F$8:$F$38)</f>
        <v/>
      </c>
      <c r="G42" s="27" t="inlineStr">
        <is>
          <t>深夜残業</t>
        </is>
      </c>
      <c r="K42" s="30">
        <f>SUM($R$8:$R$38)</f>
        <v/>
      </c>
    </row>
    <row r="43" ht="18" customHeight="1">
      <c r="A43" s="31" t="inlineStr">
        <is>
          <t xml:space="preserve">　うち 平日</t>
        </is>
      </c>
      <c r="D43" s="30">
        <f>SUMIF($M$8:$M$38,"平",$F$8:$F$38)</f>
        <v/>
      </c>
      <c r="G43" s="27" t="inlineStr">
        <is>
          <t>早朝残業</t>
        </is>
      </c>
      <c r="K43" s="30">
        <f>SUM($S$8:$S$38)</f>
        <v/>
      </c>
    </row>
    <row r="44" ht="18" customHeight="1">
      <c r="A44" s="31" t="inlineStr">
        <is>
          <t xml:space="preserve">　うち 土曜</t>
        </is>
      </c>
      <c r="D44" s="30">
        <f>SUMIF($M$8:$M$38,"土",$F$8:$F$38)</f>
        <v/>
      </c>
      <c r="G44" s="27" t="inlineStr">
        <is>
          <t>遅刻・早退</t>
        </is>
      </c>
      <c r="K44" s="30">
        <f>SUM($T$8:$T$38)</f>
        <v/>
      </c>
    </row>
    <row r="45" ht="18" customHeight="1">
      <c r="A45" s="31" t="inlineStr">
        <is>
          <t xml:space="preserve">　うち 日曜・祝日</t>
        </is>
      </c>
      <c r="D45" s="30">
        <f>SUMIF($M$8:$M$38,"日",$F$8:$F$38)+SUMIF($M$8:$M$38,"祝",$F$8:$F$38)</f>
        <v/>
      </c>
      <c r="G45" s="27" t="inlineStr">
        <is>
          <t>所定超過(実働-所定×出勤日数)</t>
        </is>
      </c>
      <c r="K45" s="30">
        <f>MAX(0,SUM($F$8:$F$38)-設定!$E$6*COUNT($N$8:$N$38))</f>
        <v/>
      </c>
    </row>
    <row r="47">
      <c r="A47" s="11" t="inlineStr">
        <is>
          <t>※ 残業欄は実働時間の内数です。実働は「退勤－出勤－休憩」で自動計算されます。</t>
        </is>
      </c>
    </row>
    <row r="49" ht="30" customHeight="1">
      <c r="G49" s="9" t="inlineStr">
        <is>
          <t>承認</t>
        </is>
      </c>
      <c r="H49" s="32" t="n"/>
      <c r="J49" s="32" t="n"/>
    </row>
    <row r="50">
      <c r="H50" s="33" t="inlineStr">
        <is>
          <t>本人</t>
        </is>
      </c>
      <c r="J50" s="33" t="inlineStr">
        <is>
          <t>上長</t>
        </is>
      </c>
    </row>
  </sheetData>
  <mergeCells count="15">
    <mergeCell ref="G44:J44"/>
    <mergeCell ref="A42:C42"/>
    <mergeCell ref="A41:C41"/>
    <mergeCell ref="A44:C44"/>
    <mergeCell ref="A45:C45"/>
    <mergeCell ref="G43:J43"/>
    <mergeCell ref="H49:I49"/>
    <mergeCell ref="J49:K49"/>
    <mergeCell ref="A40:L40"/>
    <mergeCell ref="J4:L4"/>
    <mergeCell ref="A2:D2"/>
    <mergeCell ref="G41:J41"/>
    <mergeCell ref="A43:C43"/>
    <mergeCell ref="G45:J45"/>
    <mergeCell ref="G42:J42"/>
  </mergeCells>
  <conditionalFormatting sqref="A8:L38">
    <cfRule type="expression" priority="1" dxfId="0" stopIfTrue="1">
      <formula>$A8=""</formula>
    </cfRule>
    <cfRule type="expression" priority="2" dxfId="1">
      <formula>OR($M8="祝",$M8="日")</formula>
    </cfRule>
    <cfRule type="expression" priority="3" dxfId="2">
      <formula>$M8="土"</formula>
    </cfRule>
  </conditionalFormatting>
  <conditionalFormatting sqref="D8:D38">
    <cfRule type="expression" priority="4" dxfId="3">
      <formula>AND($N8&lt;&gt;"",$O8="")</formula>
    </cfRule>
  </conditionalFormatting>
  <conditionalFormatting sqref="C8:C38">
    <cfRule type="expression" priority="5" dxfId="3">
      <formula>AND($O8&lt;&gt;"",$N8="")</formula>
    </cfRule>
  </conditionalFormatting>
  <dataValidations count="2">
    <dataValidation sqref="L8:L38" showDropDown="0" showInputMessage="1" showErrorMessage="0" allowBlank="1" promptTitle="備考" prompt="選択、または自由入力できます" type="list">
      <formula1>"有給,半休,欠勤,遅刻,早退,休日出勤,振替休日,直行,直帰,出張,特別休暇"</formula1>
    </dataValidation>
    <dataValidation sqref="C8:C38 D8:D38 E8:E38 G8:G38 H8:H38 I8:I38 J8:J38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=OR(AND(C8&gt;=0,C8&lt;1),AND(C8=INT(C8),C8&lt;=2359,MOD(C8,100)&lt;60))</formula1>
    </dataValidation>
  </dataValidations>
  <pageMargins left="0.3" right="0.3" top="0.4" bottom="0.4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FF4472C4"/>
    <outlinePr summaryBelow="1" summaryRight="1"/>
    <pageSetUpPr fitToPage="1"/>
  </sheetPr>
  <dimension ref="A2:T5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.5" customWidth="1" min="1" max="1"/>
    <col width="4.5" customWidth="1" min="2" max="2"/>
    <col width="8.5" customWidth="1" min="3" max="3"/>
    <col width="8.5" customWidth="1" min="4" max="4"/>
    <col width="8" customWidth="1" min="5" max="5"/>
    <col width="8.5" customWidth="1" min="6" max="6"/>
    <col width="9" customWidth="1" min="7" max="7"/>
    <col width="9" customWidth="1" min="8" max="8"/>
    <col width="9" customWidth="1" min="9" max="9"/>
    <col width="10" customWidth="1" min="10" max="10"/>
    <col width="14" customWidth="1" min="11" max="11"/>
    <col width="26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2" ht="24" customHeight="1">
      <c r="A2" s="8">
        <f>設定!$B$4&amp;"　"&amp;設定!$B$3&amp;"年"&amp;11&amp;"月度 出勤簿"</f>
        <v/>
      </c>
    </row>
    <row r="4">
      <c r="A4" s="9" t="inlineStr">
        <is>
          <t>年</t>
        </is>
      </c>
      <c r="B4" s="10">
        <f>設定!$B$3</f>
        <v/>
      </c>
      <c r="C4" s="9" t="inlineStr">
        <is>
          <t>月</t>
        </is>
      </c>
      <c r="D4" s="10" t="n">
        <v>11</v>
      </c>
      <c r="G4" s="9" t="inlineStr">
        <is>
          <t>所属</t>
        </is>
      </c>
      <c r="H4" s="10">
        <f>設定!$B$5</f>
        <v/>
      </c>
      <c r="I4" s="9" t="inlineStr">
        <is>
          <t>氏名</t>
        </is>
      </c>
      <c r="J4" s="10">
        <f>設定!$B$4</f>
        <v/>
      </c>
    </row>
    <row r="5">
      <c r="A5" s="11" t="inlineStr">
        <is>
          <t>黄色のセルに入力してください（灰色は自動計算）。時刻は 930 のようにコロンなしで入力できます。</t>
        </is>
      </c>
    </row>
    <row r="7" ht="26" customHeight="1">
      <c r="A7" s="12" t="inlineStr">
        <is>
          <t>日</t>
        </is>
      </c>
      <c r="B7" s="12" t="inlineStr">
        <is>
          <t>曜</t>
        </is>
      </c>
      <c r="C7" s="12" t="inlineStr">
        <is>
          <t>出勤</t>
        </is>
      </c>
      <c r="D7" s="12" t="inlineStr">
        <is>
          <t>退勤</t>
        </is>
      </c>
      <c r="E7" s="12" t="inlineStr">
        <is>
          <t>休憩</t>
        </is>
      </c>
      <c r="F7" s="12" t="inlineStr">
        <is>
          <t>実働</t>
        </is>
      </c>
      <c r="G7" s="12" t="inlineStr">
        <is>
          <t>通常残業</t>
        </is>
      </c>
      <c r="H7" s="12" t="inlineStr">
        <is>
          <t>深夜残業</t>
        </is>
      </c>
      <c r="I7" s="12" t="inlineStr">
        <is>
          <t>早朝残業</t>
        </is>
      </c>
      <c r="J7" s="12" t="inlineStr">
        <is>
          <t>遅刻・早退</t>
        </is>
      </c>
      <c r="K7" s="12" t="inlineStr">
        <is>
          <t>祝日</t>
        </is>
      </c>
      <c r="L7" s="12" t="inlineStr">
        <is>
          <t>備考・理由</t>
        </is>
      </c>
    </row>
    <row r="8" ht="19" customHeight="1">
      <c r="A8" s="13">
        <f>DATE($B$4,$D$4,1)</f>
        <v/>
      </c>
      <c r="B8" s="14">
        <f>IF($A8="","",CHOOSE(WEEKDAY($A8,2),"月","火","水","木","金","土","日"))</f>
        <v/>
      </c>
      <c r="C8" s="15" t="n"/>
      <c r="D8" s="15" t="n"/>
      <c r="E8" s="15" t="n"/>
      <c r="F8" s="16">
        <f>IF(OR($N8="",$O8=""),"",MAX(0,MOD($O8-$N8,1)-IF($P8&lt;&gt;"",$P8,IF(MOD($O8-$N8,1)&gt;設定!$E$8,設定!$E$7,0))))</f>
        <v/>
      </c>
      <c r="G8" s="15" t="n"/>
      <c r="H8" s="15" t="n"/>
      <c r="I8" s="15" t="n"/>
      <c r="J8" s="15" t="n"/>
      <c r="K8" s="17">
        <f>IF($A8="","",IFERROR(VLOOKUP($A8,祝日リスト!$A$2:$C$40,3,0),""))</f>
        <v/>
      </c>
      <c r="L8" s="18" t="n"/>
      <c r="M8" s="19">
        <f>IF($A8="","",IF($K8&lt;&gt;"","祝",IF(WEEKDAY($A8,2)=6,"土",IF(WEEKDAY($A8,2)=7,"日","平"))))</f>
        <v/>
      </c>
      <c r="N8" s="19">
        <f>IF(NOT(ISNUMBER($C8)),"",IF($C8&lt;1,$C8,(INT($C8/100)*60+MOD($C8,100))/1440))</f>
        <v/>
      </c>
      <c r="O8" s="19">
        <f>IF(NOT(ISNUMBER($D8)),"",IF($D8&lt;1,$D8,(INT($D8/100)*60+MOD($D8,100))/1440))</f>
        <v/>
      </c>
      <c r="P8" s="19">
        <f>IF(NOT(ISNUMBER($E8)),"",IF($E8&lt;1,$E8,(INT($E8/100)*60+MOD($E8,100))/1440))</f>
        <v/>
      </c>
      <c r="Q8" s="19">
        <f>IF(NOT(ISNUMBER($G8)),"",IF($G8&lt;1,$G8,(INT($G8/100)*60+MOD($G8,100))/1440))</f>
        <v/>
      </c>
      <c r="R8" s="19">
        <f>IF(NOT(ISNUMBER($H8)),"",IF($H8&lt;1,$H8,(INT($H8/100)*60+MOD($H8,100))/1440))</f>
        <v/>
      </c>
      <c r="S8" s="19">
        <f>IF(NOT(ISNUMBER($I8)),"",IF($I8&lt;1,$I8,(INT($I8/100)*60+MOD($I8,100))/1440))</f>
        <v/>
      </c>
      <c r="T8" s="19">
        <f>IF(NOT(ISNUMBER($J8)),"",IF($J8&lt;1,$J8,(INT($J8/100)*60+MOD($J8,100))/1440))</f>
        <v/>
      </c>
    </row>
    <row r="9" ht="19" customHeight="1">
      <c r="A9" s="13">
        <f>IF(A8="","",IF(MONTH(A8+1)=$D$4,A8+1,""))</f>
        <v/>
      </c>
      <c r="B9" s="14">
        <f>IF($A9="","",CHOOSE(WEEKDAY($A9,2),"月","火","水","木","金","土","日"))</f>
        <v/>
      </c>
      <c r="C9" s="15" t="n"/>
      <c r="D9" s="15" t="n"/>
      <c r="E9" s="15" t="n"/>
      <c r="F9" s="16">
        <f>IF(OR($N9="",$O9=""),"",MAX(0,MOD($O9-$N9,1)-IF($P9&lt;&gt;"",$P9,IF(MOD($O9-$N9,1)&gt;設定!$E$8,設定!$E$7,0))))</f>
        <v/>
      </c>
      <c r="G9" s="15" t="n"/>
      <c r="H9" s="15" t="n"/>
      <c r="I9" s="15" t="n"/>
      <c r="J9" s="15" t="n"/>
      <c r="K9" s="17">
        <f>IF($A9="","",IFERROR(VLOOKUP($A9,祝日リスト!$A$2:$C$40,3,0),""))</f>
        <v/>
      </c>
      <c r="L9" s="18" t="n"/>
      <c r="M9" s="19">
        <f>IF($A9="","",IF($K9&lt;&gt;"","祝",IF(WEEKDAY($A9,2)=6,"土",IF(WEEKDAY($A9,2)=7,"日","平"))))</f>
        <v/>
      </c>
      <c r="N9" s="19">
        <f>IF(NOT(ISNUMBER($C9)),"",IF($C9&lt;1,$C9,(INT($C9/100)*60+MOD($C9,100))/1440))</f>
        <v/>
      </c>
      <c r="O9" s="19">
        <f>IF(NOT(ISNUMBER($D9)),"",IF($D9&lt;1,$D9,(INT($D9/100)*60+MOD($D9,100))/1440))</f>
        <v/>
      </c>
      <c r="P9" s="19">
        <f>IF(NOT(ISNUMBER($E9)),"",IF($E9&lt;1,$E9,(INT($E9/100)*60+MOD($E9,100))/1440))</f>
        <v/>
      </c>
      <c r="Q9" s="19">
        <f>IF(NOT(ISNUMBER($G9)),"",IF($G9&lt;1,$G9,(INT($G9/100)*60+MOD($G9,100))/1440))</f>
        <v/>
      </c>
      <c r="R9" s="19">
        <f>IF(NOT(ISNUMBER($H9)),"",IF($H9&lt;1,$H9,(INT($H9/100)*60+MOD($H9,100))/1440))</f>
        <v/>
      </c>
      <c r="S9" s="19">
        <f>IF(NOT(ISNUMBER($I9)),"",IF($I9&lt;1,$I9,(INT($I9/100)*60+MOD($I9,100))/1440))</f>
        <v/>
      </c>
      <c r="T9" s="19">
        <f>IF(NOT(ISNUMBER($J9)),"",IF($J9&lt;1,$J9,(INT($J9/100)*60+MOD($J9,100))/1440))</f>
        <v/>
      </c>
    </row>
    <row r="10" ht="19" customHeight="1">
      <c r="A10" s="13">
        <f>IF(A9="","",IF(MONTH(A9+1)=$D$4,A9+1,""))</f>
        <v/>
      </c>
      <c r="B10" s="14">
        <f>IF($A10="","",CHOOSE(WEEKDAY($A10,2),"月","火","水","木","金","土","日"))</f>
        <v/>
      </c>
      <c r="C10" s="15" t="n"/>
      <c r="D10" s="15" t="n"/>
      <c r="E10" s="15" t="n"/>
      <c r="F10" s="16">
        <f>IF(OR($N10="",$O10=""),"",MAX(0,MOD($O10-$N10,1)-IF($P10&lt;&gt;"",$P10,IF(MOD($O10-$N10,1)&gt;設定!$E$8,設定!$E$7,0))))</f>
        <v/>
      </c>
      <c r="G10" s="15" t="n"/>
      <c r="H10" s="15" t="n"/>
      <c r="I10" s="15" t="n"/>
      <c r="J10" s="15" t="n"/>
      <c r="K10" s="17">
        <f>IF($A10="","",IFERROR(VLOOKUP($A10,祝日リスト!$A$2:$C$40,3,0),""))</f>
        <v/>
      </c>
      <c r="L10" s="18" t="n"/>
      <c r="M10" s="19">
        <f>IF($A10="","",IF($K10&lt;&gt;"","祝",IF(WEEKDAY($A10,2)=6,"土",IF(WEEKDAY($A10,2)=7,"日","平"))))</f>
        <v/>
      </c>
      <c r="N10" s="19">
        <f>IF(NOT(ISNUMBER($C10)),"",IF($C10&lt;1,$C10,(INT($C10/100)*60+MOD($C10,100))/1440))</f>
        <v/>
      </c>
      <c r="O10" s="19">
        <f>IF(NOT(ISNUMBER($D10)),"",IF($D10&lt;1,$D10,(INT($D10/100)*60+MOD($D10,100))/1440))</f>
        <v/>
      </c>
      <c r="P10" s="19">
        <f>IF(NOT(ISNUMBER($E10)),"",IF($E10&lt;1,$E10,(INT($E10/100)*60+MOD($E10,100))/1440))</f>
        <v/>
      </c>
      <c r="Q10" s="19">
        <f>IF(NOT(ISNUMBER($G10)),"",IF($G10&lt;1,$G10,(INT($G10/100)*60+MOD($G10,100))/1440))</f>
        <v/>
      </c>
      <c r="R10" s="19">
        <f>IF(NOT(ISNUMBER($H10)),"",IF($H10&lt;1,$H10,(INT($H10/100)*60+MOD($H10,100))/1440))</f>
        <v/>
      </c>
      <c r="S10" s="19">
        <f>IF(NOT(ISNUMBER($I10)),"",IF($I10&lt;1,$I10,(INT($I10/100)*60+MOD($I10,100))/1440))</f>
        <v/>
      </c>
      <c r="T10" s="19">
        <f>IF(NOT(ISNUMBER($J10)),"",IF($J10&lt;1,$J10,(INT($J10/100)*60+MOD($J10,100))/1440))</f>
        <v/>
      </c>
    </row>
    <row r="11" ht="19" customHeight="1">
      <c r="A11" s="13">
        <f>IF(A10="","",IF(MONTH(A10+1)=$D$4,A10+1,""))</f>
        <v/>
      </c>
      <c r="B11" s="14">
        <f>IF($A11="","",CHOOSE(WEEKDAY($A11,2),"月","火","水","木","金","土","日"))</f>
        <v/>
      </c>
      <c r="C11" s="15" t="n"/>
      <c r="D11" s="15" t="n"/>
      <c r="E11" s="15" t="n"/>
      <c r="F11" s="16">
        <f>IF(OR($N11="",$O11=""),"",MAX(0,MOD($O11-$N11,1)-IF($P11&lt;&gt;"",$P11,IF(MOD($O11-$N11,1)&gt;設定!$E$8,設定!$E$7,0))))</f>
        <v/>
      </c>
      <c r="G11" s="15" t="n"/>
      <c r="H11" s="15" t="n"/>
      <c r="I11" s="15" t="n"/>
      <c r="J11" s="15" t="n"/>
      <c r="K11" s="17">
        <f>IF($A11="","",IFERROR(VLOOKUP($A11,祝日リスト!$A$2:$C$40,3,0),""))</f>
        <v/>
      </c>
      <c r="L11" s="18" t="n"/>
      <c r="M11" s="19">
        <f>IF($A11="","",IF($K11&lt;&gt;"","祝",IF(WEEKDAY($A11,2)=6,"土",IF(WEEKDAY($A11,2)=7,"日","平"))))</f>
        <v/>
      </c>
      <c r="N11" s="19">
        <f>IF(NOT(ISNUMBER($C11)),"",IF($C11&lt;1,$C11,(INT($C11/100)*60+MOD($C11,100))/1440))</f>
        <v/>
      </c>
      <c r="O11" s="19">
        <f>IF(NOT(ISNUMBER($D11)),"",IF($D11&lt;1,$D11,(INT($D11/100)*60+MOD($D11,100))/1440))</f>
        <v/>
      </c>
      <c r="P11" s="19">
        <f>IF(NOT(ISNUMBER($E11)),"",IF($E11&lt;1,$E11,(INT($E11/100)*60+MOD($E11,100))/1440))</f>
        <v/>
      </c>
      <c r="Q11" s="19">
        <f>IF(NOT(ISNUMBER($G11)),"",IF($G11&lt;1,$G11,(INT($G11/100)*60+MOD($G11,100))/1440))</f>
        <v/>
      </c>
      <c r="R11" s="19">
        <f>IF(NOT(ISNUMBER($H11)),"",IF($H11&lt;1,$H11,(INT($H11/100)*60+MOD($H11,100))/1440))</f>
        <v/>
      </c>
      <c r="S11" s="19">
        <f>IF(NOT(ISNUMBER($I11)),"",IF($I11&lt;1,$I11,(INT($I11/100)*60+MOD($I11,100))/1440))</f>
        <v/>
      </c>
      <c r="T11" s="19">
        <f>IF(NOT(ISNUMBER($J11)),"",IF($J11&lt;1,$J11,(INT($J11/100)*60+MOD($J11,100))/1440))</f>
        <v/>
      </c>
    </row>
    <row r="12" ht="19" customHeight="1">
      <c r="A12" s="13">
        <f>IF(A11="","",IF(MONTH(A11+1)=$D$4,A11+1,""))</f>
        <v/>
      </c>
      <c r="B12" s="14">
        <f>IF($A12="","",CHOOSE(WEEKDAY($A12,2),"月","火","水","木","金","土","日"))</f>
        <v/>
      </c>
      <c r="C12" s="15" t="n"/>
      <c r="D12" s="15" t="n"/>
      <c r="E12" s="15" t="n"/>
      <c r="F12" s="16">
        <f>IF(OR($N12="",$O12=""),"",MAX(0,MOD($O12-$N12,1)-IF($P12&lt;&gt;"",$P12,IF(MOD($O12-$N12,1)&gt;設定!$E$8,設定!$E$7,0))))</f>
        <v/>
      </c>
      <c r="G12" s="15" t="n"/>
      <c r="H12" s="15" t="n"/>
      <c r="I12" s="15" t="n"/>
      <c r="J12" s="15" t="n"/>
      <c r="K12" s="17">
        <f>IF($A12="","",IFERROR(VLOOKUP($A12,祝日リスト!$A$2:$C$40,3,0),""))</f>
        <v/>
      </c>
      <c r="L12" s="18" t="n"/>
      <c r="M12" s="19">
        <f>IF($A12="","",IF($K12&lt;&gt;"","祝",IF(WEEKDAY($A12,2)=6,"土",IF(WEEKDAY($A12,2)=7,"日","平"))))</f>
        <v/>
      </c>
      <c r="N12" s="19">
        <f>IF(NOT(ISNUMBER($C12)),"",IF($C12&lt;1,$C12,(INT($C12/100)*60+MOD($C12,100))/1440))</f>
        <v/>
      </c>
      <c r="O12" s="19">
        <f>IF(NOT(ISNUMBER($D12)),"",IF($D12&lt;1,$D12,(INT($D12/100)*60+MOD($D12,100))/1440))</f>
        <v/>
      </c>
      <c r="P12" s="19">
        <f>IF(NOT(ISNUMBER($E12)),"",IF($E12&lt;1,$E12,(INT($E12/100)*60+MOD($E12,100))/1440))</f>
        <v/>
      </c>
      <c r="Q12" s="19">
        <f>IF(NOT(ISNUMBER($G12)),"",IF($G12&lt;1,$G12,(INT($G12/100)*60+MOD($G12,100))/1440))</f>
        <v/>
      </c>
      <c r="R12" s="19">
        <f>IF(NOT(ISNUMBER($H12)),"",IF($H12&lt;1,$H12,(INT($H12/100)*60+MOD($H12,100))/1440))</f>
        <v/>
      </c>
      <c r="S12" s="19">
        <f>IF(NOT(ISNUMBER($I12)),"",IF($I12&lt;1,$I12,(INT($I12/100)*60+MOD($I12,100))/1440))</f>
        <v/>
      </c>
      <c r="T12" s="19">
        <f>IF(NOT(ISNUMBER($J12)),"",IF($J12&lt;1,$J12,(INT($J12/100)*60+MOD($J12,100))/1440))</f>
        <v/>
      </c>
    </row>
    <row r="13" ht="19" customHeight="1">
      <c r="A13" s="13">
        <f>IF(A12="","",IF(MONTH(A12+1)=$D$4,A12+1,""))</f>
        <v/>
      </c>
      <c r="B13" s="14">
        <f>IF($A13="","",CHOOSE(WEEKDAY($A13,2),"月","火","水","木","金","土","日"))</f>
        <v/>
      </c>
      <c r="C13" s="15" t="n"/>
      <c r="D13" s="15" t="n"/>
      <c r="E13" s="15" t="n"/>
      <c r="F13" s="16">
        <f>IF(OR($N13="",$O13=""),"",MAX(0,MOD($O13-$N13,1)-IF($P13&lt;&gt;"",$P13,IF(MOD($O13-$N13,1)&gt;設定!$E$8,設定!$E$7,0))))</f>
        <v/>
      </c>
      <c r="G13" s="15" t="n"/>
      <c r="H13" s="15" t="n"/>
      <c r="I13" s="15" t="n"/>
      <c r="J13" s="15" t="n"/>
      <c r="K13" s="17">
        <f>IF($A13="","",IFERROR(VLOOKUP($A13,祝日リスト!$A$2:$C$40,3,0),""))</f>
        <v/>
      </c>
      <c r="L13" s="18" t="n"/>
      <c r="M13" s="19">
        <f>IF($A13="","",IF($K13&lt;&gt;"","祝",IF(WEEKDAY($A13,2)=6,"土",IF(WEEKDAY($A13,2)=7,"日","平"))))</f>
        <v/>
      </c>
      <c r="N13" s="19">
        <f>IF(NOT(ISNUMBER($C13)),"",IF($C13&lt;1,$C13,(INT($C13/100)*60+MOD($C13,100))/1440))</f>
        <v/>
      </c>
      <c r="O13" s="19">
        <f>IF(NOT(ISNUMBER($D13)),"",IF($D13&lt;1,$D13,(INT($D13/100)*60+MOD($D13,100))/1440))</f>
        <v/>
      </c>
      <c r="P13" s="19">
        <f>IF(NOT(ISNUMBER($E13)),"",IF($E13&lt;1,$E13,(INT($E13/100)*60+MOD($E13,100))/1440))</f>
        <v/>
      </c>
      <c r="Q13" s="19">
        <f>IF(NOT(ISNUMBER($G13)),"",IF($G13&lt;1,$G13,(INT($G13/100)*60+MOD($G13,100))/1440))</f>
        <v/>
      </c>
      <c r="R13" s="19">
        <f>IF(NOT(ISNUMBER($H13)),"",IF($H13&lt;1,$H13,(INT($H13/100)*60+MOD($H13,100))/1440))</f>
        <v/>
      </c>
      <c r="S13" s="19">
        <f>IF(NOT(ISNUMBER($I13)),"",IF($I13&lt;1,$I13,(INT($I13/100)*60+MOD($I13,100))/1440))</f>
        <v/>
      </c>
      <c r="T13" s="19">
        <f>IF(NOT(ISNUMBER($J13)),"",IF($J13&lt;1,$J13,(INT($J13/100)*60+MOD($J13,100))/1440))</f>
        <v/>
      </c>
    </row>
    <row r="14" ht="19" customHeight="1">
      <c r="A14" s="13">
        <f>IF(A13="","",IF(MONTH(A13+1)=$D$4,A13+1,""))</f>
        <v/>
      </c>
      <c r="B14" s="14">
        <f>IF($A14="","",CHOOSE(WEEKDAY($A14,2),"月","火","水","木","金","土","日"))</f>
        <v/>
      </c>
      <c r="C14" s="15" t="n"/>
      <c r="D14" s="15" t="n"/>
      <c r="E14" s="15" t="n"/>
      <c r="F14" s="16">
        <f>IF(OR($N14="",$O14=""),"",MAX(0,MOD($O14-$N14,1)-IF($P14&lt;&gt;"",$P14,IF(MOD($O14-$N14,1)&gt;設定!$E$8,設定!$E$7,0))))</f>
        <v/>
      </c>
      <c r="G14" s="15" t="n"/>
      <c r="H14" s="15" t="n"/>
      <c r="I14" s="15" t="n"/>
      <c r="J14" s="15" t="n"/>
      <c r="K14" s="17">
        <f>IF($A14="","",IFERROR(VLOOKUP($A14,祝日リスト!$A$2:$C$40,3,0),""))</f>
        <v/>
      </c>
      <c r="L14" s="18" t="n"/>
      <c r="M14" s="19">
        <f>IF($A14="","",IF($K14&lt;&gt;"","祝",IF(WEEKDAY($A14,2)=6,"土",IF(WEEKDAY($A14,2)=7,"日","平"))))</f>
        <v/>
      </c>
      <c r="N14" s="19">
        <f>IF(NOT(ISNUMBER($C14)),"",IF($C14&lt;1,$C14,(INT($C14/100)*60+MOD($C14,100))/1440))</f>
        <v/>
      </c>
      <c r="O14" s="19">
        <f>IF(NOT(ISNUMBER($D14)),"",IF($D14&lt;1,$D14,(INT($D14/100)*60+MOD($D14,100))/1440))</f>
        <v/>
      </c>
      <c r="P14" s="19">
        <f>IF(NOT(ISNUMBER($E14)),"",IF($E14&lt;1,$E14,(INT($E14/100)*60+MOD($E14,100))/1440))</f>
        <v/>
      </c>
      <c r="Q14" s="19">
        <f>IF(NOT(ISNUMBER($G14)),"",IF($G14&lt;1,$G14,(INT($G14/100)*60+MOD($G14,100))/1440))</f>
        <v/>
      </c>
      <c r="R14" s="19">
        <f>IF(NOT(ISNUMBER($H14)),"",IF($H14&lt;1,$H14,(INT($H14/100)*60+MOD($H14,100))/1440))</f>
        <v/>
      </c>
      <c r="S14" s="19">
        <f>IF(NOT(ISNUMBER($I14)),"",IF($I14&lt;1,$I14,(INT($I14/100)*60+MOD($I14,100))/1440))</f>
        <v/>
      </c>
      <c r="T14" s="19">
        <f>IF(NOT(ISNUMBER($J14)),"",IF($J14&lt;1,$J14,(INT($J14/100)*60+MOD($J14,100))/1440))</f>
        <v/>
      </c>
    </row>
    <row r="15" ht="19" customHeight="1">
      <c r="A15" s="13">
        <f>IF(A14="","",IF(MONTH(A14+1)=$D$4,A14+1,""))</f>
        <v/>
      </c>
      <c r="B15" s="14">
        <f>IF($A15="","",CHOOSE(WEEKDAY($A15,2),"月","火","水","木","金","土","日"))</f>
        <v/>
      </c>
      <c r="C15" s="15" t="n"/>
      <c r="D15" s="15" t="n"/>
      <c r="E15" s="15" t="n"/>
      <c r="F15" s="16">
        <f>IF(OR($N15="",$O15=""),"",MAX(0,MOD($O15-$N15,1)-IF($P15&lt;&gt;"",$P15,IF(MOD($O15-$N15,1)&gt;設定!$E$8,設定!$E$7,0))))</f>
        <v/>
      </c>
      <c r="G15" s="15" t="n"/>
      <c r="H15" s="15" t="n"/>
      <c r="I15" s="15" t="n"/>
      <c r="J15" s="15" t="n"/>
      <c r="K15" s="17">
        <f>IF($A15="","",IFERROR(VLOOKUP($A15,祝日リスト!$A$2:$C$40,3,0),""))</f>
        <v/>
      </c>
      <c r="L15" s="18" t="n"/>
      <c r="M15" s="19">
        <f>IF($A15="","",IF($K15&lt;&gt;"","祝",IF(WEEKDAY($A15,2)=6,"土",IF(WEEKDAY($A15,2)=7,"日","平"))))</f>
        <v/>
      </c>
      <c r="N15" s="19">
        <f>IF(NOT(ISNUMBER($C15)),"",IF($C15&lt;1,$C15,(INT($C15/100)*60+MOD($C15,100))/1440))</f>
        <v/>
      </c>
      <c r="O15" s="19">
        <f>IF(NOT(ISNUMBER($D15)),"",IF($D15&lt;1,$D15,(INT($D15/100)*60+MOD($D15,100))/1440))</f>
        <v/>
      </c>
      <c r="P15" s="19">
        <f>IF(NOT(ISNUMBER($E15)),"",IF($E15&lt;1,$E15,(INT($E15/100)*60+MOD($E15,100))/1440))</f>
        <v/>
      </c>
      <c r="Q15" s="19">
        <f>IF(NOT(ISNUMBER($G15)),"",IF($G15&lt;1,$G15,(INT($G15/100)*60+MOD($G15,100))/1440))</f>
        <v/>
      </c>
      <c r="R15" s="19">
        <f>IF(NOT(ISNUMBER($H15)),"",IF($H15&lt;1,$H15,(INT($H15/100)*60+MOD($H15,100))/1440))</f>
        <v/>
      </c>
      <c r="S15" s="19">
        <f>IF(NOT(ISNUMBER($I15)),"",IF($I15&lt;1,$I15,(INT($I15/100)*60+MOD($I15,100))/1440))</f>
        <v/>
      </c>
      <c r="T15" s="19">
        <f>IF(NOT(ISNUMBER($J15)),"",IF($J15&lt;1,$J15,(INT($J15/100)*60+MOD($J15,100))/1440))</f>
        <v/>
      </c>
    </row>
    <row r="16" ht="19" customHeight="1">
      <c r="A16" s="13">
        <f>IF(A15="","",IF(MONTH(A15+1)=$D$4,A15+1,""))</f>
        <v/>
      </c>
      <c r="B16" s="14">
        <f>IF($A16="","",CHOOSE(WEEKDAY($A16,2),"月","火","水","木","金","土","日"))</f>
        <v/>
      </c>
      <c r="C16" s="15" t="n"/>
      <c r="D16" s="15" t="n"/>
      <c r="E16" s="15" t="n"/>
      <c r="F16" s="16">
        <f>IF(OR($N16="",$O16=""),"",MAX(0,MOD($O16-$N16,1)-IF($P16&lt;&gt;"",$P16,IF(MOD($O16-$N16,1)&gt;設定!$E$8,設定!$E$7,0))))</f>
        <v/>
      </c>
      <c r="G16" s="15" t="n"/>
      <c r="H16" s="15" t="n"/>
      <c r="I16" s="15" t="n"/>
      <c r="J16" s="15" t="n"/>
      <c r="K16" s="17">
        <f>IF($A16="","",IFERROR(VLOOKUP($A16,祝日リスト!$A$2:$C$40,3,0),""))</f>
        <v/>
      </c>
      <c r="L16" s="18" t="n"/>
      <c r="M16" s="19">
        <f>IF($A16="","",IF($K16&lt;&gt;"","祝",IF(WEEKDAY($A16,2)=6,"土",IF(WEEKDAY($A16,2)=7,"日","平"))))</f>
        <v/>
      </c>
      <c r="N16" s="19">
        <f>IF(NOT(ISNUMBER($C16)),"",IF($C16&lt;1,$C16,(INT($C16/100)*60+MOD($C16,100))/1440))</f>
        <v/>
      </c>
      <c r="O16" s="19">
        <f>IF(NOT(ISNUMBER($D16)),"",IF($D16&lt;1,$D16,(INT($D16/100)*60+MOD($D16,100))/1440))</f>
        <v/>
      </c>
      <c r="P16" s="19">
        <f>IF(NOT(ISNUMBER($E16)),"",IF($E16&lt;1,$E16,(INT($E16/100)*60+MOD($E16,100))/1440))</f>
        <v/>
      </c>
      <c r="Q16" s="19">
        <f>IF(NOT(ISNUMBER($G16)),"",IF($G16&lt;1,$G16,(INT($G16/100)*60+MOD($G16,100))/1440))</f>
        <v/>
      </c>
      <c r="R16" s="19">
        <f>IF(NOT(ISNUMBER($H16)),"",IF($H16&lt;1,$H16,(INT($H16/100)*60+MOD($H16,100))/1440))</f>
        <v/>
      </c>
      <c r="S16" s="19">
        <f>IF(NOT(ISNUMBER($I16)),"",IF($I16&lt;1,$I16,(INT($I16/100)*60+MOD($I16,100))/1440))</f>
        <v/>
      </c>
      <c r="T16" s="19">
        <f>IF(NOT(ISNUMBER($J16)),"",IF($J16&lt;1,$J16,(INT($J16/100)*60+MOD($J16,100))/1440))</f>
        <v/>
      </c>
    </row>
    <row r="17" ht="19" customHeight="1">
      <c r="A17" s="13">
        <f>IF(A16="","",IF(MONTH(A16+1)=$D$4,A16+1,""))</f>
        <v/>
      </c>
      <c r="B17" s="14">
        <f>IF($A17="","",CHOOSE(WEEKDAY($A17,2),"月","火","水","木","金","土","日"))</f>
        <v/>
      </c>
      <c r="C17" s="15" t="n"/>
      <c r="D17" s="15" t="n"/>
      <c r="E17" s="15" t="n"/>
      <c r="F17" s="16">
        <f>IF(OR($N17="",$O17=""),"",MAX(0,MOD($O17-$N17,1)-IF($P17&lt;&gt;"",$P17,IF(MOD($O17-$N17,1)&gt;設定!$E$8,設定!$E$7,0))))</f>
        <v/>
      </c>
      <c r="G17" s="15" t="n"/>
      <c r="H17" s="15" t="n"/>
      <c r="I17" s="15" t="n"/>
      <c r="J17" s="15" t="n"/>
      <c r="K17" s="17">
        <f>IF($A17="","",IFERROR(VLOOKUP($A17,祝日リスト!$A$2:$C$40,3,0),""))</f>
        <v/>
      </c>
      <c r="L17" s="18" t="n"/>
      <c r="M17" s="19">
        <f>IF($A17="","",IF($K17&lt;&gt;"","祝",IF(WEEKDAY($A17,2)=6,"土",IF(WEEKDAY($A17,2)=7,"日","平"))))</f>
        <v/>
      </c>
      <c r="N17" s="19">
        <f>IF(NOT(ISNUMBER($C17)),"",IF($C17&lt;1,$C17,(INT($C17/100)*60+MOD($C17,100))/1440))</f>
        <v/>
      </c>
      <c r="O17" s="19">
        <f>IF(NOT(ISNUMBER($D17)),"",IF($D17&lt;1,$D17,(INT($D17/100)*60+MOD($D17,100))/1440))</f>
        <v/>
      </c>
      <c r="P17" s="19">
        <f>IF(NOT(ISNUMBER($E17)),"",IF($E17&lt;1,$E17,(INT($E17/100)*60+MOD($E17,100))/1440))</f>
        <v/>
      </c>
      <c r="Q17" s="19">
        <f>IF(NOT(ISNUMBER($G17)),"",IF($G17&lt;1,$G17,(INT($G17/100)*60+MOD($G17,100))/1440))</f>
        <v/>
      </c>
      <c r="R17" s="19">
        <f>IF(NOT(ISNUMBER($H17)),"",IF($H17&lt;1,$H17,(INT($H17/100)*60+MOD($H17,100))/1440))</f>
        <v/>
      </c>
      <c r="S17" s="19">
        <f>IF(NOT(ISNUMBER($I17)),"",IF($I17&lt;1,$I17,(INT($I17/100)*60+MOD($I17,100))/1440))</f>
        <v/>
      </c>
      <c r="T17" s="19">
        <f>IF(NOT(ISNUMBER($J17)),"",IF($J17&lt;1,$J17,(INT($J17/100)*60+MOD($J17,100))/1440))</f>
        <v/>
      </c>
    </row>
    <row r="18" ht="19" customHeight="1">
      <c r="A18" s="13">
        <f>IF(A17="","",IF(MONTH(A17+1)=$D$4,A17+1,""))</f>
        <v/>
      </c>
      <c r="B18" s="14">
        <f>IF($A18="","",CHOOSE(WEEKDAY($A18,2),"月","火","水","木","金","土","日"))</f>
        <v/>
      </c>
      <c r="C18" s="15" t="n"/>
      <c r="D18" s="15" t="n"/>
      <c r="E18" s="15" t="n"/>
      <c r="F18" s="16">
        <f>IF(OR($N18="",$O18=""),"",MAX(0,MOD($O18-$N18,1)-IF($P18&lt;&gt;"",$P18,IF(MOD($O18-$N18,1)&gt;設定!$E$8,設定!$E$7,0))))</f>
        <v/>
      </c>
      <c r="G18" s="15" t="n"/>
      <c r="H18" s="15" t="n"/>
      <c r="I18" s="15" t="n"/>
      <c r="J18" s="15" t="n"/>
      <c r="K18" s="17">
        <f>IF($A18="","",IFERROR(VLOOKUP($A18,祝日リスト!$A$2:$C$40,3,0),""))</f>
        <v/>
      </c>
      <c r="L18" s="18" t="n"/>
      <c r="M18" s="19">
        <f>IF($A18="","",IF($K18&lt;&gt;"","祝",IF(WEEKDAY($A18,2)=6,"土",IF(WEEKDAY($A18,2)=7,"日","平"))))</f>
        <v/>
      </c>
      <c r="N18" s="19">
        <f>IF(NOT(ISNUMBER($C18)),"",IF($C18&lt;1,$C18,(INT($C18/100)*60+MOD($C18,100))/1440))</f>
        <v/>
      </c>
      <c r="O18" s="19">
        <f>IF(NOT(ISNUMBER($D18)),"",IF($D18&lt;1,$D18,(INT($D18/100)*60+MOD($D18,100))/1440))</f>
        <v/>
      </c>
      <c r="P18" s="19">
        <f>IF(NOT(ISNUMBER($E18)),"",IF($E18&lt;1,$E18,(INT($E18/100)*60+MOD($E18,100))/1440))</f>
        <v/>
      </c>
      <c r="Q18" s="19">
        <f>IF(NOT(ISNUMBER($G18)),"",IF($G18&lt;1,$G18,(INT($G18/100)*60+MOD($G18,100))/1440))</f>
        <v/>
      </c>
      <c r="R18" s="19">
        <f>IF(NOT(ISNUMBER($H18)),"",IF($H18&lt;1,$H18,(INT($H18/100)*60+MOD($H18,100))/1440))</f>
        <v/>
      </c>
      <c r="S18" s="19">
        <f>IF(NOT(ISNUMBER($I18)),"",IF($I18&lt;1,$I18,(INT($I18/100)*60+MOD($I18,100))/1440))</f>
        <v/>
      </c>
      <c r="T18" s="19">
        <f>IF(NOT(ISNUMBER($J18)),"",IF($J18&lt;1,$J18,(INT($J18/100)*60+MOD($J18,100))/1440))</f>
        <v/>
      </c>
    </row>
    <row r="19" ht="19" customHeight="1">
      <c r="A19" s="13">
        <f>IF(A18="","",IF(MONTH(A18+1)=$D$4,A18+1,""))</f>
        <v/>
      </c>
      <c r="B19" s="14">
        <f>IF($A19="","",CHOOSE(WEEKDAY($A19,2),"月","火","水","木","金","土","日"))</f>
        <v/>
      </c>
      <c r="C19" s="15" t="n"/>
      <c r="D19" s="15" t="n"/>
      <c r="E19" s="15" t="n"/>
      <c r="F19" s="16">
        <f>IF(OR($N19="",$O19=""),"",MAX(0,MOD($O19-$N19,1)-IF($P19&lt;&gt;"",$P19,IF(MOD($O19-$N19,1)&gt;設定!$E$8,設定!$E$7,0))))</f>
        <v/>
      </c>
      <c r="G19" s="15" t="n"/>
      <c r="H19" s="15" t="n"/>
      <c r="I19" s="15" t="n"/>
      <c r="J19" s="15" t="n"/>
      <c r="K19" s="17">
        <f>IF($A19="","",IFERROR(VLOOKUP($A19,祝日リスト!$A$2:$C$40,3,0),""))</f>
        <v/>
      </c>
      <c r="L19" s="18" t="n"/>
      <c r="M19" s="19">
        <f>IF($A19="","",IF($K19&lt;&gt;"","祝",IF(WEEKDAY($A19,2)=6,"土",IF(WEEKDAY($A19,2)=7,"日","平"))))</f>
        <v/>
      </c>
      <c r="N19" s="19">
        <f>IF(NOT(ISNUMBER($C19)),"",IF($C19&lt;1,$C19,(INT($C19/100)*60+MOD($C19,100))/1440))</f>
        <v/>
      </c>
      <c r="O19" s="19">
        <f>IF(NOT(ISNUMBER($D19)),"",IF($D19&lt;1,$D19,(INT($D19/100)*60+MOD($D19,100))/1440))</f>
        <v/>
      </c>
      <c r="P19" s="19">
        <f>IF(NOT(ISNUMBER($E19)),"",IF($E19&lt;1,$E19,(INT($E19/100)*60+MOD($E19,100))/1440))</f>
        <v/>
      </c>
      <c r="Q19" s="19">
        <f>IF(NOT(ISNUMBER($G19)),"",IF($G19&lt;1,$G19,(INT($G19/100)*60+MOD($G19,100))/1440))</f>
        <v/>
      </c>
      <c r="R19" s="19">
        <f>IF(NOT(ISNUMBER($H19)),"",IF($H19&lt;1,$H19,(INT($H19/100)*60+MOD($H19,100))/1440))</f>
        <v/>
      </c>
      <c r="S19" s="19">
        <f>IF(NOT(ISNUMBER($I19)),"",IF($I19&lt;1,$I19,(INT($I19/100)*60+MOD($I19,100))/1440))</f>
        <v/>
      </c>
      <c r="T19" s="19">
        <f>IF(NOT(ISNUMBER($J19)),"",IF($J19&lt;1,$J19,(INT($J19/100)*60+MOD($J19,100))/1440))</f>
        <v/>
      </c>
    </row>
    <row r="20" ht="19" customHeight="1">
      <c r="A20" s="13">
        <f>IF(A19="","",IF(MONTH(A19+1)=$D$4,A19+1,""))</f>
        <v/>
      </c>
      <c r="B20" s="14">
        <f>IF($A20="","",CHOOSE(WEEKDAY($A20,2),"月","火","水","木","金","土","日"))</f>
        <v/>
      </c>
      <c r="C20" s="15" t="n"/>
      <c r="D20" s="15" t="n"/>
      <c r="E20" s="15" t="n"/>
      <c r="F20" s="16">
        <f>IF(OR($N20="",$O20=""),"",MAX(0,MOD($O20-$N20,1)-IF($P20&lt;&gt;"",$P20,IF(MOD($O20-$N20,1)&gt;設定!$E$8,設定!$E$7,0))))</f>
        <v/>
      </c>
      <c r="G20" s="15" t="n"/>
      <c r="H20" s="15" t="n"/>
      <c r="I20" s="15" t="n"/>
      <c r="J20" s="15" t="n"/>
      <c r="K20" s="17">
        <f>IF($A20="","",IFERROR(VLOOKUP($A20,祝日リスト!$A$2:$C$40,3,0),""))</f>
        <v/>
      </c>
      <c r="L20" s="18" t="n"/>
      <c r="M20" s="19">
        <f>IF($A20="","",IF($K20&lt;&gt;"","祝",IF(WEEKDAY($A20,2)=6,"土",IF(WEEKDAY($A20,2)=7,"日","平"))))</f>
        <v/>
      </c>
      <c r="N20" s="19">
        <f>IF(NOT(ISNUMBER($C20)),"",IF($C20&lt;1,$C20,(INT($C20/100)*60+MOD($C20,100))/1440))</f>
        <v/>
      </c>
      <c r="O20" s="19">
        <f>IF(NOT(ISNUMBER($D20)),"",IF($D20&lt;1,$D20,(INT($D20/100)*60+MOD($D20,100))/1440))</f>
        <v/>
      </c>
      <c r="P20" s="19">
        <f>IF(NOT(ISNUMBER($E20)),"",IF($E20&lt;1,$E20,(INT($E20/100)*60+MOD($E20,100))/1440))</f>
        <v/>
      </c>
      <c r="Q20" s="19">
        <f>IF(NOT(ISNUMBER($G20)),"",IF($G20&lt;1,$G20,(INT($G20/100)*60+MOD($G20,100))/1440))</f>
        <v/>
      </c>
      <c r="R20" s="19">
        <f>IF(NOT(ISNUMBER($H20)),"",IF($H20&lt;1,$H20,(INT($H20/100)*60+MOD($H20,100))/1440))</f>
        <v/>
      </c>
      <c r="S20" s="19">
        <f>IF(NOT(ISNUMBER($I20)),"",IF($I20&lt;1,$I20,(INT($I20/100)*60+MOD($I20,100))/1440))</f>
        <v/>
      </c>
      <c r="T20" s="19">
        <f>IF(NOT(ISNUMBER($J20)),"",IF($J20&lt;1,$J20,(INT($J20/100)*60+MOD($J20,100))/1440))</f>
        <v/>
      </c>
    </row>
    <row r="21" ht="19" customHeight="1">
      <c r="A21" s="13">
        <f>IF(A20="","",IF(MONTH(A20+1)=$D$4,A20+1,""))</f>
        <v/>
      </c>
      <c r="B21" s="14">
        <f>IF($A21="","",CHOOSE(WEEKDAY($A21,2),"月","火","水","木","金","土","日"))</f>
        <v/>
      </c>
      <c r="C21" s="15" t="n"/>
      <c r="D21" s="15" t="n"/>
      <c r="E21" s="15" t="n"/>
      <c r="F21" s="16">
        <f>IF(OR($N21="",$O21=""),"",MAX(0,MOD($O21-$N21,1)-IF($P21&lt;&gt;"",$P21,IF(MOD($O21-$N21,1)&gt;設定!$E$8,設定!$E$7,0))))</f>
        <v/>
      </c>
      <c r="G21" s="15" t="n"/>
      <c r="H21" s="15" t="n"/>
      <c r="I21" s="15" t="n"/>
      <c r="J21" s="15" t="n"/>
      <c r="K21" s="17">
        <f>IF($A21="","",IFERROR(VLOOKUP($A21,祝日リスト!$A$2:$C$40,3,0),""))</f>
        <v/>
      </c>
      <c r="L21" s="18" t="n"/>
      <c r="M21" s="19">
        <f>IF($A21="","",IF($K21&lt;&gt;"","祝",IF(WEEKDAY($A21,2)=6,"土",IF(WEEKDAY($A21,2)=7,"日","平"))))</f>
        <v/>
      </c>
      <c r="N21" s="19">
        <f>IF(NOT(ISNUMBER($C21)),"",IF($C21&lt;1,$C21,(INT($C21/100)*60+MOD($C21,100))/1440))</f>
        <v/>
      </c>
      <c r="O21" s="19">
        <f>IF(NOT(ISNUMBER($D21)),"",IF($D21&lt;1,$D21,(INT($D21/100)*60+MOD($D21,100))/1440))</f>
        <v/>
      </c>
      <c r="P21" s="19">
        <f>IF(NOT(ISNUMBER($E21)),"",IF($E21&lt;1,$E21,(INT($E21/100)*60+MOD($E21,100))/1440))</f>
        <v/>
      </c>
      <c r="Q21" s="19">
        <f>IF(NOT(ISNUMBER($G21)),"",IF($G21&lt;1,$G21,(INT($G21/100)*60+MOD($G21,100))/1440))</f>
        <v/>
      </c>
      <c r="R21" s="19">
        <f>IF(NOT(ISNUMBER($H21)),"",IF($H21&lt;1,$H21,(INT($H21/100)*60+MOD($H21,100))/1440))</f>
        <v/>
      </c>
      <c r="S21" s="19">
        <f>IF(NOT(ISNUMBER($I21)),"",IF($I21&lt;1,$I21,(INT($I21/100)*60+MOD($I21,100))/1440))</f>
        <v/>
      </c>
      <c r="T21" s="19">
        <f>IF(NOT(ISNUMBER($J21)),"",IF($J21&lt;1,$J21,(INT($J21/100)*60+MOD($J21,100))/1440))</f>
        <v/>
      </c>
    </row>
    <row r="22" ht="19" customHeight="1">
      <c r="A22" s="13">
        <f>IF(A21="","",IF(MONTH(A21+1)=$D$4,A21+1,""))</f>
        <v/>
      </c>
      <c r="B22" s="14">
        <f>IF($A22="","",CHOOSE(WEEKDAY($A22,2),"月","火","水","木","金","土","日"))</f>
        <v/>
      </c>
      <c r="C22" s="15" t="n"/>
      <c r="D22" s="15" t="n"/>
      <c r="E22" s="15" t="n"/>
      <c r="F22" s="16">
        <f>IF(OR($N22="",$O22=""),"",MAX(0,MOD($O22-$N22,1)-IF($P22&lt;&gt;"",$P22,IF(MOD($O22-$N22,1)&gt;設定!$E$8,設定!$E$7,0))))</f>
        <v/>
      </c>
      <c r="G22" s="15" t="n"/>
      <c r="H22" s="15" t="n"/>
      <c r="I22" s="15" t="n"/>
      <c r="J22" s="15" t="n"/>
      <c r="K22" s="17">
        <f>IF($A22="","",IFERROR(VLOOKUP($A22,祝日リスト!$A$2:$C$40,3,0),""))</f>
        <v/>
      </c>
      <c r="L22" s="18" t="n"/>
      <c r="M22" s="19">
        <f>IF($A22="","",IF($K22&lt;&gt;"","祝",IF(WEEKDAY($A22,2)=6,"土",IF(WEEKDAY($A22,2)=7,"日","平"))))</f>
        <v/>
      </c>
      <c r="N22" s="19">
        <f>IF(NOT(ISNUMBER($C22)),"",IF($C22&lt;1,$C22,(INT($C22/100)*60+MOD($C22,100))/1440))</f>
        <v/>
      </c>
      <c r="O22" s="19">
        <f>IF(NOT(ISNUMBER($D22)),"",IF($D22&lt;1,$D22,(INT($D22/100)*60+MOD($D22,100))/1440))</f>
        <v/>
      </c>
      <c r="P22" s="19">
        <f>IF(NOT(ISNUMBER($E22)),"",IF($E22&lt;1,$E22,(INT($E22/100)*60+MOD($E22,100))/1440))</f>
        <v/>
      </c>
      <c r="Q22" s="19">
        <f>IF(NOT(ISNUMBER($G22)),"",IF($G22&lt;1,$G22,(INT($G22/100)*60+MOD($G22,100))/1440))</f>
        <v/>
      </c>
      <c r="R22" s="19">
        <f>IF(NOT(ISNUMBER($H22)),"",IF($H22&lt;1,$H22,(INT($H22/100)*60+MOD($H22,100))/1440))</f>
        <v/>
      </c>
      <c r="S22" s="19">
        <f>IF(NOT(ISNUMBER($I22)),"",IF($I22&lt;1,$I22,(INT($I22/100)*60+MOD($I22,100))/1440))</f>
        <v/>
      </c>
      <c r="T22" s="19">
        <f>IF(NOT(ISNUMBER($J22)),"",IF($J22&lt;1,$J22,(INT($J22/100)*60+MOD($J22,100))/1440))</f>
        <v/>
      </c>
    </row>
    <row r="23" ht="19" customHeight="1">
      <c r="A23" s="13">
        <f>IF(A22="","",IF(MONTH(A22+1)=$D$4,A22+1,""))</f>
        <v/>
      </c>
      <c r="B23" s="14">
        <f>IF($A23="","",CHOOSE(WEEKDAY($A23,2),"月","火","水","木","金","土","日"))</f>
        <v/>
      </c>
      <c r="C23" s="15" t="n"/>
      <c r="D23" s="15" t="n"/>
      <c r="E23" s="15" t="n"/>
      <c r="F23" s="16">
        <f>IF(OR($N23="",$O23=""),"",MAX(0,MOD($O23-$N23,1)-IF($P23&lt;&gt;"",$P23,IF(MOD($O23-$N23,1)&gt;設定!$E$8,設定!$E$7,0))))</f>
        <v/>
      </c>
      <c r="G23" s="15" t="n"/>
      <c r="H23" s="15" t="n"/>
      <c r="I23" s="15" t="n"/>
      <c r="J23" s="15" t="n"/>
      <c r="K23" s="17">
        <f>IF($A23="","",IFERROR(VLOOKUP($A23,祝日リスト!$A$2:$C$40,3,0),""))</f>
        <v/>
      </c>
      <c r="L23" s="18" t="n"/>
      <c r="M23" s="19">
        <f>IF($A23="","",IF($K23&lt;&gt;"","祝",IF(WEEKDAY($A23,2)=6,"土",IF(WEEKDAY($A23,2)=7,"日","平"))))</f>
        <v/>
      </c>
      <c r="N23" s="19">
        <f>IF(NOT(ISNUMBER($C23)),"",IF($C23&lt;1,$C23,(INT($C23/100)*60+MOD($C23,100))/1440))</f>
        <v/>
      </c>
      <c r="O23" s="19">
        <f>IF(NOT(ISNUMBER($D23)),"",IF($D23&lt;1,$D23,(INT($D23/100)*60+MOD($D23,100))/1440))</f>
        <v/>
      </c>
      <c r="P23" s="19">
        <f>IF(NOT(ISNUMBER($E23)),"",IF($E23&lt;1,$E23,(INT($E23/100)*60+MOD($E23,100))/1440))</f>
        <v/>
      </c>
      <c r="Q23" s="19">
        <f>IF(NOT(ISNUMBER($G23)),"",IF($G23&lt;1,$G23,(INT($G23/100)*60+MOD($G23,100))/1440))</f>
        <v/>
      </c>
      <c r="R23" s="19">
        <f>IF(NOT(ISNUMBER($H23)),"",IF($H23&lt;1,$H23,(INT($H23/100)*60+MOD($H23,100))/1440))</f>
        <v/>
      </c>
      <c r="S23" s="19">
        <f>IF(NOT(ISNUMBER($I23)),"",IF($I23&lt;1,$I23,(INT($I23/100)*60+MOD($I23,100))/1440))</f>
        <v/>
      </c>
      <c r="T23" s="19">
        <f>IF(NOT(ISNUMBER($J23)),"",IF($J23&lt;1,$J23,(INT($J23/100)*60+MOD($J23,100))/1440))</f>
        <v/>
      </c>
    </row>
    <row r="24" ht="19" customHeight="1">
      <c r="A24" s="13">
        <f>IF(A23="","",IF(MONTH(A23+1)=$D$4,A23+1,""))</f>
        <v/>
      </c>
      <c r="B24" s="14">
        <f>IF($A24="","",CHOOSE(WEEKDAY($A24,2),"月","火","水","木","金","土","日"))</f>
        <v/>
      </c>
      <c r="C24" s="15" t="n"/>
      <c r="D24" s="15" t="n"/>
      <c r="E24" s="15" t="n"/>
      <c r="F24" s="16">
        <f>IF(OR($N24="",$O24=""),"",MAX(0,MOD($O24-$N24,1)-IF($P24&lt;&gt;"",$P24,IF(MOD($O24-$N24,1)&gt;設定!$E$8,設定!$E$7,0))))</f>
        <v/>
      </c>
      <c r="G24" s="15" t="n"/>
      <c r="H24" s="15" t="n"/>
      <c r="I24" s="15" t="n"/>
      <c r="J24" s="15" t="n"/>
      <c r="K24" s="17">
        <f>IF($A24="","",IFERROR(VLOOKUP($A24,祝日リスト!$A$2:$C$40,3,0),""))</f>
        <v/>
      </c>
      <c r="L24" s="18" t="n"/>
      <c r="M24" s="19">
        <f>IF($A24="","",IF($K24&lt;&gt;"","祝",IF(WEEKDAY($A24,2)=6,"土",IF(WEEKDAY($A24,2)=7,"日","平"))))</f>
        <v/>
      </c>
      <c r="N24" s="19">
        <f>IF(NOT(ISNUMBER($C24)),"",IF($C24&lt;1,$C24,(INT($C24/100)*60+MOD($C24,100))/1440))</f>
        <v/>
      </c>
      <c r="O24" s="19">
        <f>IF(NOT(ISNUMBER($D24)),"",IF($D24&lt;1,$D24,(INT($D24/100)*60+MOD($D24,100))/1440))</f>
        <v/>
      </c>
      <c r="P24" s="19">
        <f>IF(NOT(ISNUMBER($E24)),"",IF($E24&lt;1,$E24,(INT($E24/100)*60+MOD($E24,100))/1440))</f>
        <v/>
      </c>
      <c r="Q24" s="19">
        <f>IF(NOT(ISNUMBER($G24)),"",IF($G24&lt;1,$G24,(INT($G24/100)*60+MOD($G24,100))/1440))</f>
        <v/>
      </c>
      <c r="R24" s="19">
        <f>IF(NOT(ISNUMBER($H24)),"",IF($H24&lt;1,$H24,(INT($H24/100)*60+MOD($H24,100))/1440))</f>
        <v/>
      </c>
      <c r="S24" s="19">
        <f>IF(NOT(ISNUMBER($I24)),"",IF($I24&lt;1,$I24,(INT($I24/100)*60+MOD($I24,100))/1440))</f>
        <v/>
      </c>
      <c r="T24" s="19">
        <f>IF(NOT(ISNUMBER($J24)),"",IF($J24&lt;1,$J24,(INT($J24/100)*60+MOD($J24,100))/1440))</f>
        <v/>
      </c>
    </row>
    <row r="25" ht="19" customHeight="1">
      <c r="A25" s="13">
        <f>IF(A24="","",IF(MONTH(A24+1)=$D$4,A24+1,""))</f>
        <v/>
      </c>
      <c r="B25" s="14">
        <f>IF($A25="","",CHOOSE(WEEKDAY($A25,2),"月","火","水","木","金","土","日"))</f>
        <v/>
      </c>
      <c r="C25" s="15" t="n"/>
      <c r="D25" s="15" t="n"/>
      <c r="E25" s="15" t="n"/>
      <c r="F25" s="16">
        <f>IF(OR($N25="",$O25=""),"",MAX(0,MOD($O25-$N25,1)-IF($P25&lt;&gt;"",$P25,IF(MOD($O25-$N25,1)&gt;設定!$E$8,設定!$E$7,0))))</f>
        <v/>
      </c>
      <c r="G25" s="15" t="n"/>
      <c r="H25" s="15" t="n"/>
      <c r="I25" s="15" t="n"/>
      <c r="J25" s="15" t="n"/>
      <c r="K25" s="17">
        <f>IF($A25="","",IFERROR(VLOOKUP($A25,祝日リスト!$A$2:$C$40,3,0),""))</f>
        <v/>
      </c>
      <c r="L25" s="18" t="n"/>
      <c r="M25" s="19">
        <f>IF($A25="","",IF($K25&lt;&gt;"","祝",IF(WEEKDAY($A25,2)=6,"土",IF(WEEKDAY($A25,2)=7,"日","平"))))</f>
        <v/>
      </c>
      <c r="N25" s="19">
        <f>IF(NOT(ISNUMBER($C25)),"",IF($C25&lt;1,$C25,(INT($C25/100)*60+MOD($C25,100))/1440))</f>
        <v/>
      </c>
      <c r="O25" s="19">
        <f>IF(NOT(ISNUMBER($D25)),"",IF($D25&lt;1,$D25,(INT($D25/100)*60+MOD($D25,100))/1440))</f>
        <v/>
      </c>
      <c r="P25" s="19">
        <f>IF(NOT(ISNUMBER($E25)),"",IF($E25&lt;1,$E25,(INT($E25/100)*60+MOD($E25,100))/1440))</f>
        <v/>
      </c>
      <c r="Q25" s="19">
        <f>IF(NOT(ISNUMBER($G25)),"",IF($G25&lt;1,$G25,(INT($G25/100)*60+MOD($G25,100))/1440))</f>
        <v/>
      </c>
      <c r="R25" s="19">
        <f>IF(NOT(ISNUMBER($H25)),"",IF($H25&lt;1,$H25,(INT($H25/100)*60+MOD($H25,100))/1440))</f>
        <v/>
      </c>
      <c r="S25" s="19">
        <f>IF(NOT(ISNUMBER($I25)),"",IF($I25&lt;1,$I25,(INT($I25/100)*60+MOD($I25,100))/1440))</f>
        <v/>
      </c>
      <c r="T25" s="19">
        <f>IF(NOT(ISNUMBER($J25)),"",IF($J25&lt;1,$J25,(INT($J25/100)*60+MOD($J25,100))/1440))</f>
        <v/>
      </c>
    </row>
    <row r="26" ht="19" customHeight="1">
      <c r="A26" s="13">
        <f>IF(A25="","",IF(MONTH(A25+1)=$D$4,A25+1,""))</f>
        <v/>
      </c>
      <c r="B26" s="14">
        <f>IF($A26="","",CHOOSE(WEEKDAY($A26,2),"月","火","水","木","金","土","日"))</f>
        <v/>
      </c>
      <c r="C26" s="15" t="n"/>
      <c r="D26" s="15" t="n"/>
      <c r="E26" s="15" t="n"/>
      <c r="F26" s="16">
        <f>IF(OR($N26="",$O26=""),"",MAX(0,MOD($O26-$N26,1)-IF($P26&lt;&gt;"",$P26,IF(MOD($O26-$N26,1)&gt;設定!$E$8,設定!$E$7,0))))</f>
        <v/>
      </c>
      <c r="G26" s="15" t="n"/>
      <c r="H26" s="15" t="n"/>
      <c r="I26" s="15" t="n"/>
      <c r="J26" s="15" t="n"/>
      <c r="K26" s="17">
        <f>IF($A26="","",IFERROR(VLOOKUP($A26,祝日リスト!$A$2:$C$40,3,0),""))</f>
        <v/>
      </c>
      <c r="L26" s="18" t="n"/>
      <c r="M26" s="19">
        <f>IF($A26="","",IF($K26&lt;&gt;"","祝",IF(WEEKDAY($A26,2)=6,"土",IF(WEEKDAY($A26,2)=7,"日","平"))))</f>
        <v/>
      </c>
      <c r="N26" s="19">
        <f>IF(NOT(ISNUMBER($C26)),"",IF($C26&lt;1,$C26,(INT($C26/100)*60+MOD($C26,100))/1440))</f>
        <v/>
      </c>
      <c r="O26" s="19">
        <f>IF(NOT(ISNUMBER($D26)),"",IF($D26&lt;1,$D26,(INT($D26/100)*60+MOD($D26,100))/1440))</f>
        <v/>
      </c>
      <c r="P26" s="19">
        <f>IF(NOT(ISNUMBER($E26)),"",IF($E26&lt;1,$E26,(INT($E26/100)*60+MOD($E26,100))/1440))</f>
        <v/>
      </c>
      <c r="Q26" s="19">
        <f>IF(NOT(ISNUMBER($G26)),"",IF($G26&lt;1,$G26,(INT($G26/100)*60+MOD($G26,100))/1440))</f>
        <v/>
      </c>
      <c r="R26" s="19">
        <f>IF(NOT(ISNUMBER($H26)),"",IF($H26&lt;1,$H26,(INT($H26/100)*60+MOD($H26,100))/1440))</f>
        <v/>
      </c>
      <c r="S26" s="19">
        <f>IF(NOT(ISNUMBER($I26)),"",IF($I26&lt;1,$I26,(INT($I26/100)*60+MOD($I26,100))/1440))</f>
        <v/>
      </c>
      <c r="T26" s="19">
        <f>IF(NOT(ISNUMBER($J26)),"",IF($J26&lt;1,$J26,(INT($J26/100)*60+MOD($J26,100))/1440))</f>
        <v/>
      </c>
    </row>
    <row r="27" ht="19" customHeight="1">
      <c r="A27" s="13">
        <f>IF(A26="","",IF(MONTH(A26+1)=$D$4,A26+1,""))</f>
        <v/>
      </c>
      <c r="B27" s="14">
        <f>IF($A27="","",CHOOSE(WEEKDAY($A27,2),"月","火","水","木","金","土","日"))</f>
        <v/>
      </c>
      <c r="C27" s="15" t="n"/>
      <c r="D27" s="15" t="n"/>
      <c r="E27" s="15" t="n"/>
      <c r="F27" s="16">
        <f>IF(OR($N27="",$O27=""),"",MAX(0,MOD($O27-$N27,1)-IF($P27&lt;&gt;"",$P27,IF(MOD($O27-$N27,1)&gt;設定!$E$8,設定!$E$7,0))))</f>
        <v/>
      </c>
      <c r="G27" s="15" t="n"/>
      <c r="H27" s="15" t="n"/>
      <c r="I27" s="15" t="n"/>
      <c r="J27" s="15" t="n"/>
      <c r="K27" s="17">
        <f>IF($A27="","",IFERROR(VLOOKUP($A27,祝日リスト!$A$2:$C$40,3,0),""))</f>
        <v/>
      </c>
      <c r="L27" s="18" t="n"/>
      <c r="M27" s="19">
        <f>IF($A27="","",IF($K27&lt;&gt;"","祝",IF(WEEKDAY($A27,2)=6,"土",IF(WEEKDAY($A27,2)=7,"日","平"))))</f>
        <v/>
      </c>
      <c r="N27" s="19">
        <f>IF(NOT(ISNUMBER($C27)),"",IF($C27&lt;1,$C27,(INT($C27/100)*60+MOD($C27,100))/1440))</f>
        <v/>
      </c>
      <c r="O27" s="19">
        <f>IF(NOT(ISNUMBER($D27)),"",IF($D27&lt;1,$D27,(INT($D27/100)*60+MOD($D27,100))/1440))</f>
        <v/>
      </c>
      <c r="P27" s="19">
        <f>IF(NOT(ISNUMBER($E27)),"",IF($E27&lt;1,$E27,(INT($E27/100)*60+MOD($E27,100))/1440))</f>
        <v/>
      </c>
      <c r="Q27" s="19">
        <f>IF(NOT(ISNUMBER($G27)),"",IF($G27&lt;1,$G27,(INT($G27/100)*60+MOD($G27,100))/1440))</f>
        <v/>
      </c>
      <c r="R27" s="19">
        <f>IF(NOT(ISNUMBER($H27)),"",IF($H27&lt;1,$H27,(INT($H27/100)*60+MOD($H27,100))/1440))</f>
        <v/>
      </c>
      <c r="S27" s="19">
        <f>IF(NOT(ISNUMBER($I27)),"",IF($I27&lt;1,$I27,(INT($I27/100)*60+MOD($I27,100))/1440))</f>
        <v/>
      </c>
      <c r="T27" s="19">
        <f>IF(NOT(ISNUMBER($J27)),"",IF($J27&lt;1,$J27,(INT($J27/100)*60+MOD($J27,100))/1440))</f>
        <v/>
      </c>
    </row>
    <row r="28" ht="19" customHeight="1">
      <c r="A28" s="13">
        <f>IF(A27="","",IF(MONTH(A27+1)=$D$4,A27+1,""))</f>
        <v/>
      </c>
      <c r="B28" s="14">
        <f>IF($A28="","",CHOOSE(WEEKDAY($A28,2),"月","火","水","木","金","土","日"))</f>
        <v/>
      </c>
      <c r="C28" s="15" t="n"/>
      <c r="D28" s="15" t="n"/>
      <c r="E28" s="15" t="n"/>
      <c r="F28" s="16">
        <f>IF(OR($N28="",$O28=""),"",MAX(0,MOD($O28-$N28,1)-IF($P28&lt;&gt;"",$P28,IF(MOD($O28-$N28,1)&gt;設定!$E$8,設定!$E$7,0))))</f>
        <v/>
      </c>
      <c r="G28" s="15" t="n"/>
      <c r="H28" s="15" t="n"/>
      <c r="I28" s="15" t="n"/>
      <c r="J28" s="15" t="n"/>
      <c r="K28" s="17">
        <f>IF($A28="","",IFERROR(VLOOKUP($A28,祝日リスト!$A$2:$C$40,3,0),""))</f>
        <v/>
      </c>
      <c r="L28" s="18" t="n"/>
      <c r="M28" s="19">
        <f>IF($A28="","",IF($K28&lt;&gt;"","祝",IF(WEEKDAY($A28,2)=6,"土",IF(WEEKDAY($A28,2)=7,"日","平"))))</f>
        <v/>
      </c>
      <c r="N28" s="19">
        <f>IF(NOT(ISNUMBER($C28)),"",IF($C28&lt;1,$C28,(INT($C28/100)*60+MOD($C28,100))/1440))</f>
        <v/>
      </c>
      <c r="O28" s="19">
        <f>IF(NOT(ISNUMBER($D28)),"",IF($D28&lt;1,$D28,(INT($D28/100)*60+MOD($D28,100))/1440))</f>
        <v/>
      </c>
      <c r="P28" s="19">
        <f>IF(NOT(ISNUMBER($E28)),"",IF($E28&lt;1,$E28,(INT($E28/100)*60+MOD($E28,100))/1440))</f>
        <v/>
      </c>
      <c r="Q28" s="19">
        <f>IF(NOT(ISNUMBER($G28)),"",IF($G28&lt;1,$G28,(INT($G28/100)*60+MOD($G28,100))/1440))</f>
        <v/>
      </c>
      <c r="R28" s="19">
        <f>IF(NOT(ISNUMBER($H28)),"",IF($H28&lt;1,$H28,(INT($H28/100)*60+MOD($H28,100))/1440))</f>
        <v/>
      </c>
      <c r="S28" s="19">
        <f>IF(NOT(ISNUMBER($I28)),"",IF($I28&lt;1,$I28,(INT($I28/100)*60+MOD($I28,100))/1440))</f>
        <v/>
      </c>
      <c r="T28" s="19">
        <f>IF(NOT(ISNUMBER($J28)),"",IF($J28&lt;1,$J28,(INT($J28/100)*60+MOD($J28,100))/1440))</f>
        <v/>
      </c>
    </row>
    <row r="29" ht="19" customHeight="1">
      <c r="A29" s="13">
        <f>IF(A28="","",IF(MONTH(A28+1)=$D$4,A28+1,""))</f>
        <v/>
      </c>
      <c r="B29" s="14">
        <f>IF($A29="","",CHOOSE(WEEKDAY($A29,2),"月","火","水","木","金","土","日"))</f>
        <v/>
      </c>
      <c r="C29" s="15" t="n"/>
      <c r="D29" s="15" t="n"/>
      <c r="E29" s="15" t="n"/>
      <c r="F29" s="16">
        <f>IF(OR($N29="",$O29=""),"",MAX(0,MOD($O29-$N29,1)-IF($P29&lt;&gt;"",$P29,IF(MOD($O29-$N29,1)&gt;設定!$E$8,設定!$E$7,0))))</f>
        <v/>
      </c>
      <c r="G29" s="15" t="n"/>
      <c r="H29" s="15" t="n"/>
      <c r="I29" s="15" t="n"/>
      <c r="J29" s="15" t="n"/>
      <c r="K29" s="17">
        <f>IF($A29="","",IFERROR(VLOOKUP($A29,祝日リスト!$A$2:$C$40,3,0),""))</f>
        <v/>
      </c>
      <c r="L29" s="18" t="n"/>
      <c r="M29" s="19">
        <f>IF($A29="","",IF($K29&lt;&gt;"","祝",IF(WEEKDAY($A29,2)=6,"土",IF(WEEKDAY($A29,2)=7,"日","平"))))</f>
        <v/>
      </c>
      <c r="N29" s="19">
        <f>IF(NOT(ISNUMBER($C29)),"",IF($C29&lt;1,$C29,(INT($C29/100)*60+MOD($C29,100))/1440))</f>
        <v/>
      </c>
      <c r="O29" s="19">
        <f>IF(NOT(ISNUMBER($D29)),"",IF($D29&lt;1,$D29,(INT($D29/100)*60+MOD($D29,100))/1440))</f>
        <v/>
      </c>
      <c r="P29" s="19">
        <f>IF(NOT(ISNUMBER($E29)),"",IF($E29&lt;1,$E29,(INT($E29/100)*60+MOD($E29,100))/1440))</f>
        <v/>
      </c>
      <c r="Q29" s="19">
        <f>IF(NOT(ISNUMBER($G29)),"",IF($G29&lt;1,$G29,(INT($G29/100)*60+MOD($G29,100))/1440))</f>
        <v/>
      </c>
      <c r="R29" s="19">
        <f>IF(NOT(ISNUMBER($H29)),"",IF($H29&lt;1,$H29,(INT($H29/100)*60+MOD($H29,100))/1440))</f>
        <v/>
      </c>
      <c r="S29" s="19">
        <f>IF(NOT(ISNUMBER($I29)),"",IF($I29&lt;1,$I29,(INT($I29/100)*60+MOD($I29,100))/1440))</f>
        <v/>
      </c>
      <c r="T29" s="19">
        <f>IF(NOT(ISNUMBER($J29)),"",IF($J29&lt;1,$J29,(INT($J29/100)*60+MOD($J29,100))/1440))</f>
        <v/>
      </c>
    </row>
    <row r="30" ht="19" customHeight="1">
      <c r="A30" s="13">
        <f>IF(A29="","",IF(MONTH(A29+1)=$D$4,A29+1,""))</f>
        <v/>
      </c>
      <c r="B30" s="14">
        <f>IF($A30="","",CHOOSE(WEEKDAY($A30,2),"月","火","水","木","金","土","日"))</f>
        <v/>
      </c>
      <c r="C30" s="15" t="n"/>
      <c r="D30" s="15" t="n"/>
      <c r="E30" s="15" t="n"/>
      <c r="F30" s="16">
        <f>IF(OR($N30="",$O30=""),"",MAX(0,MOD($O30-$N30,1)-IF($P30&lt;&gt;"",$P30,IF(MOD($O30-$N30,1)&gt;設定!$E$8,設定!$E$7,0))))</f>
        <v/>
      </c>
      <c r="G30" s="15" t="n"/>
      <c r="H30" s="15" t="n"/>
      <c r="I30" s="15" t="n"/>
      <c r="J30" s="15" t="n"/>
      <c r="K30" s="17">
        <f>IF($A30="","",IFERROR(VLOOKUP($A30,祝日リスト!$A$2:$C$40,3,0),""))</f>
        <v/>
      </c>
      <c r="L30" s="18" t="n"/>
      <c r="M30" s="19">
        <f>IF($A30="","",IF($K30&lt;&gt;"","祝",IF(WEEKDAY($A30,2)=6,"土",IF(WEEKDAY($A30,2)=7,"日","平"))))</f>
        <v/>
      </c>
      <c r="N30" s="19">
        <f>IF(NOT(ISNUMBER($C30)),"",IF($C30&lt;1,$C30,(INT($C30/100)*60+MOD($C30,100))/1440))</f>
        <v/>
      </c>
      <c r="O30" s="19">
        <f>IF(NOT(ISNUMBER($D30)),"",IF($D30&lt;1,$D30,(INT($D30/100)*60+MOD($D30,100))/1440))</f>
        <v/>
      </c>
      <c r="P30" s="19">
        <f>IF(NOT(ISNUMBER($E30)),"",IF($E30&lt;1,$E30,(INT($E30/100)*60+MOD($E30,100))/1440))</f>
        <v/>
      </c>
      <c r="Q30" s="19">
        <f>IF(NOT(ISNUMBER($G30)),"",IF($G30&lt;1,$G30,(INT($G30/100)*60+MOD($G30,100))/1440))</f>
        <v/>
      </c>
      <c r="R30" s="19">
        <f>IF(NOT(ISNUMBER($H30)),"",IF($H30&lt;1,$H30,(INT($H30/100)*60+MOD($H30,100))/1440))</f>
        <v/>
      </c>
      <c r="S30" s="19">
        <f>IF(NOT(ISNUMBER($I30)),"",IF($I30&lt;1,$I30,(INT($I30/100)*60+MOD($I30,100))/1440))</f>
        <v/>
      </c>
      <c r="T30" s="19">
        <f>IF(NOT(ISNUMBER($J30)),"",IF($J30&lt;1,$J30,(INT($J30/100)*60+MOD($J30,100))/1440))</f>
        <v/>
      </c>
    </row>
    <row r="31" ht="19" customHeight="1">
      <c r="A31" s="13">
        <f>IF(A30="","",IF(MONTH(A30+1)=$D$4,A30+1,""))</f>
        <v/>
      </c>
      <c r="B31" s="14">
        <f>IF($A31="","",CHOOSE(WEEKDAY($A31,2),"月","火","水","木","金","土","日"))</f>
        <v/>
      </c>
      <c r="C31" s="15" t="n"/>
      <c r="D31" s="15" t="n"/>
      <c r="E31" s="15" t="n"/>
      <c r="F31" s="16">
        <f>IF(OR($N31="",$O31=""),"",MAX(0,MOD($O31-$N31,1)-IF($P31&lt;&gt;"",$P31,IF(MOD($O31-$N31,1)&gt;設定!$E$8,設定!$E$7,0))))</f>
        <v/>
      </c>
      <c r="G31" s="15" t="n"/>
      <c r="H31" s="15" t="n"/>
      <c r="I31" s="15" t="n"/>
      <c r="J31" s="15" t="n"/>
      <c r="K31" s="17">
        <f>IF($A31="","",IFERROR(VLOOKUP($A31,祝日リスト!$A$2:$C$40,3,0),""))</f>
        <v/>
      </c>
      <c r="L31" s="18" t="n"/>
      <c r="M31" s="19">
        <f>IF($A31="","",IF($K31&lt;&gt;"","祝",IF(WEEKDAY($A31,2)=6,"土",IF(WEEKDAY($A31,2)=7,"日","平"))))</f>
        <v/>
      </c>
      <c r="N31" s="19">
        <f>IF(NOT(ISNUMBER($C31)),"",IF($C31&lt;1,$C31,(INT($C31/100)*60+MOD($C31,100))/1440))</f>
        <v/>
      </c>
      <c r="O31" s="19">
        <f>IF(NOT(ISNUMBER($D31)),"",IF($D31&lt;1,$D31,(INT($D31/100)*60+MOD($D31,100))/1440))</f>
        <v/>
      </c>
      <c r="P31" s="19">
        <f>IF(NOT(ISNUMBER($E31)),"",IF($E31&lt;1,$E31,(INT($E31/100)*60+MOD($E31,100))/1440))</f>
        <v/>
      </c>
      <c r="Q31" s="19">
        <f>IF(NOT(ISNUMBER($G31)),"",IF($G31&lt;1,$G31,(INT($G31/100)*60+MOD($G31,100))/1440))</f>
        <v/>
      </c>
      <c r="R31" s="19">
        <f>IF(NOT(ISNUMBER($H31)),"",IF($H31&lt;1,$H31,(INT($H31/100)*60+MOD($H31,100))/1440))</f>
        <v/>
      </c>
      <c r="S31" s="19">
        <f>IF(NOT(ISNUMBER($I31)),"",IF($I31&lt;1,$I31,(INT($I31/100)*60+MOD($I31,100))/1440))</f>
        <v/>
      </c>
      <c r="T31" s="19">
        <f>IF(NOT(ISNUMBER($J31)),"",IF($J31&lt;1,$J31,(INT($J31/100)*60+MOD($J31,100))/1440))</f>
        <v/>
      </c>
    </row>
    <row r="32" ht="19" customHeight="1">
      <c r="A32" s="13">
        <f>IF(A31="","",IF(MONTH(A31+1)=$D$4,A31+1,""))</f>
        <v/>
      </c>
      <c r="B32" s="14">
        <f>IF($A32="","",CHOOSE(WEEKDAY($A32,2),"月","火","水","木","金","土","日"))</f>
        <v/>
      </c>
      <c r="C32" s="15" t="n"/>
      <c r="D32" s="15" t="n"/>
      <c r="E32" s="15" t="n"/>
      <c r="F32" s="16">
        <f>IF(OR($N32="",$O32=""),"",MAX(0,MOD($O32-$N32,1)-IF($P32&lt;&gt;"",$P32,IF(MOD($O32-$N32,1)&gt;設定!$E$8,設定!$E$7,0))))</f>
        <v/>
      </c>
      <c r="G32" s="15" t="n"/>
      <c r="H32" s="15" t="n"/>
      <c r="I32" s="15" t="n"/>
      <c r="J32" s="15" t="n"/>
      <c r="K32" s="17">
        <f>IF($A32="","",IFERROR(VLOOKUP($A32,祝日リスト!$A$2:$C$40,3,0),""))</f>
        <v/>
      </c>
      <c r="L32" s="18" t="n"/>
      <c r="M32" s="19">
        <f>IF($A32="","",IF($K32&lt;&gt;"","祝",IF(WEEKDAY($A32,2)=6,"土",IF(WEEKDAY($A32,2)=7,"日","平"))))</f>
        <v/>
      </c>
      <c r="N32" s="19">
        <f>IF(NOT(ISNUMBER($C32)),"",IF($C32&lt;1,$C32,(INT($C32/100)*60+MOD($C32,100))/1440))</f>
        <v/>
      </c>
      <c r="O32" s="19">
        <f>IF(NOT(ISNUMBER($D32)),"",IF($D32&lt;1,$D32,(INT($D32/100)*60+MOD($D32,100))/1440))</f>
        <v/>
      </c>
      <c r="P32" s="19">
        <f>IF(NOT(ISNUMBER($E32)),"",IF($E32&lt;1,$E32,(INT($E32/100)*60+MOD($E32,100))/1440))</f>
        <v/>
      </c>
      <c r="Q32" s="19">
        <f>IF(NOT(ISNUMBER($G32)),"",IF($G32&lt;1,$G32,(INT($G32/100)*60+MOD($G32,100))/1440))</f>
        <v/>
      </c>
      <c r="R32" s="19">
        <f>IF(NOT(ISNUMBER($H32)),"",IF($H32&lt;1,$H32,(INT($H32/100)*60+MOD($H32,100))/1440))</f>
        <v/>
      </c>
      <c r="S32" s="19">
        <f>IF(NOT(ISNUMBER($I32)),"",IF($I32&lt;1,$I32,(INT($I32/100)*60+MOD($I32,100))/1440))</f>
        <v/>
      </c>
      <c r="T32" s="19">
        <f>IF(NOT(ISNUMBER($J32)),"",IF($J32&lt;1,$J32,(INT($J32/100)*60+MOD($J32,100))/1440))</f>
        <v/>
      </c>
    </row>
    <row r="33" ht="19" customHeight="1">
      <c r="A33" s="13">
        <f>IF(A32="","",IF(MONTH(A32+1)=$D$4,A32+1,""))</f>
        <v/>
      </c>
      <c r="B33" s="14">
        <f>IF($A33="","",CHOOSE(WEEKDAY($A33,2),"月","火","水","木","金","土","日"))</f>
        <v/>
      </c>
      <c r="C33" s="15" t="n"/>
      <c r="D33" s="15" t="n"/>
      <c r="E33" s="15" t="n"/>
      <c r="F33" s="16">
        <f>IF(OR($N33="",$O33=""),"",MAX(0,MOD($O33-$N33,1)-IF($P33&lt;&gt;"",$P33,IF(MOD($O33-$N33,1)&gt;設定!$E$8,設定!$E$7,0))))</f>
        <v/>
      </c>
      <c r="G33" s="15" t="n"/>
      <c r="H33" s="15" t="n"/>
      <c r="I33" s="15" t="n"/>
      <c r="J33" s="15" t="n"/>
      <c r="K33" s="17">
        <f>IF($A33="","",IFERROR(VLOOKUP($A33,祝日リスト!$A$2:$C$40,3,0),""))</f>
        <v/>
      </c>
      <c r="L33" s="18" t="n"/>
      <c r="M33" s="19">
        <f>IF($A33="","",IF($K33&lt;&gt;"","祝",IF(WEEKDAY($A33,2)=6,"土",IF(WEEKDAY($A33,2)=7,"日","平"))))</f>
        <v/>
      </c>
      <c r="N33" s="19">
        <f>IF(NOT(ISNUMBER($C33)),"",IF($C33&lt;1,$C33,(INT($C33/100)*60+MOD($C33,100))/1440))</f>
        <v/>
      </c>
      <c r="O33" s="19">
        <f>IF(NOT(ISNUMBER($D33)),"",IF($D33&lt;1,$D33,(INT($D33/100)*60+MOD($D33,100))/1440))</f>
        <v/>
      </c>
      <c r="P33" s="19">
        <f>IF(NOT(ISNUMBER($E33)),"",IF($E33&lt;1,$E33,(INT($E33/100)*60+MOD($E33,100))/1440))</f>
        <v/>
      </c>
      <c r="Q33" s="19">
        <f>IF(NOT(ISNUMBER($G33)),"",IF($G33&lt;1,$G33,(INT($G33/100)*60+MOD($G33,100))/1440))</f>
        <v/>
      </c>
      <c r="R33" s="19">
        <f>IF(NOT(ISNUMBER($H33)),"",IF($H33&lt;1,$H33,(INT($H33/100)*60+MOD($H33,100))/1440))</f>
        <v/>
      </c>
      <c r="S33" s="19">
        <f>IF(NOT(ISNUMBER($I33)),"",IF($I33&lt;1,$I33,(INT($I33/100)*60+MOD($I33,100))/1440))</f>
        <v/>
      </c>
      <c r="T33" s="19">
        <f>IF(NOT(ISNUMBER($J33)),"",IF($J33&lt;1,$J33,(INT($J33/100)*60+MOD($J33,100))/1440))</f>
        <v/>
      </c>
    </row>
    <row r="34" ht="19" customHeight="1">
      <c r="A34" s="13">
        <f>IF(A33="","",IF(MONTH(A33+1)=$D$4,A33+1,""))</f>
        <v/>
      </c>
      <c r="B34" s="14">
        <f>IF($A34="","",CHOOSE(WEEKDAY($A34,2),"月","火","水","木","金","土","日"))</f>
        <v/>
      </c>
      <c r="C34" s="15" t="n"/>
      <c r="D34" s="15" t="n"/>
      <c r="E34" s="15" t="n"/>
      <c r="F34" s="16">
        <f>IF(OR($N34="",$O34=""),"",MAX(0,MOD($O34-$N34,1)-IF($P34&lt;&gt;"",$P34,IF(MOD($O34-$N34,1)&gt;設定!$E$8,設定!$E$7,0))))</f>
        <v/>
      </c>
      <c r="G34" s="15" t="n"/>
      <c r="H34" s="15" t="n"/>
      <c r="I34" s="15" t="n"/>
      <c r="J34" s="15" t="n"/>
      <c r="K34" s="17">
        <f>IF($A34="","",IFERROR(VLOOKUP($A34,祝日リスト!$A$2:$C$40,3,0),""))</f>
        <v/>
      </c>
      <c r="L34" s="18" t="n"/>
      <c r="M34" s="19">
        <f>IF($A34="","",IF($K34&lt;&gt;"","祝",IF(WEEKDAY($A34,2)=6,"土",IF(WEEKDAY($A34,2)=7,"日","平"))))</f>
        <v/>
      </c>
      <c r="N34" s="19">
        <f>IF(NOT(ISNUMBER($C34)),"",IF($C34&lt;1,$C34,(INT($C34/100)*60+MOD($C34,100))/1440))</f>
        <v/>
      </c>
      <c r="O34" s="19">
        <f>IF(NOT(ISNUMBER($D34)),"",IF($D34&lt;1,$D34,(INT($D34/100)*60+MOD($D34,100))/1440))</f>
        <v/>
      </c>
      <c r="P34" s="19">
        <f>IF(NOT(ISNUMBER($E34)),"",IF($E34&lt;1,$E34,(INT($E34/100)*60+MOD($E34,100))/1440))</f>
        <v/>
      </c>
      <c r="Q34" s="19">
        <f>IF(NOT(ISNUMBER($G34)),"",IF($G34&lt;1,$G34,(INT($G34/100)*60+MOD($G34,100))/1440))</f>
        <v/>
      </c>
      <c r="R34" s="19">
        <f>IF(NOT(ISNUMBER($H34)),"",IF($H34&lt;1,$H34,(INT($H34/100)*60+MOD($H34,100))/1440))</f>
        <v/>
      </c>
      <c r="S34" s="19">
        <f>IF(NOT(ISNUMBER($I34)),"",IF($I34&lt;1,$I34,(INT($I34/100)*60+MOD($I34,100))/1440))</f>
        <v/>
      </c>
      <c r="T34" s="19">
        <f>IF(NOT(ISNUMBER($J34)),"",IF($J34&lt;1,$J34,(INT($J34/100)*60+MOD($J34,100))/1440))</f>
        <v/>
      </c>
    </row>
    <row r="35" ht="19" customHeight="1">
      <c r="A35" s="13">
        <f>IF(A34="","",IF(MONTH(A34+1)=$D$4,A34+1,""))</f>
        <v/>
      </c>
      <c r="B35" s="14">
        <f>IF($A35="","",CHOOSE(WEEKDAY($A35,2),"月","火","水","木","金","土","日"))</f>
        <v/>
      </c>
      <c r="C35" s="15" t="n"/>
      <c r="D35" s="15" t="n"/>
      <c r="E35" s="15" t="n"/>
      <c r="F35" s="16">
        <f>IF(OR($N35="",$O35=""),"",MAX(0,MOD($O35-$N35,1)-IF($P35&lt;&gt;"",$P35,IF(MOD($O35-$N35,1)&gt;設定!$E$8,設定!$E$7,0))))</f>
        <v/>
      </c>
      <c r="G35" s="15" t="n"/>
      <c r="H35" s="15" t="n"/>
      <c r="I35" s="15" t="n"/>
      <c r="J35" s="15" t="n"/>
      <c r="K35" s="17">
        <f>IF($A35="","",IFERROR(VLOOKUP($A35,祝日リスト!$A$2:$C$40,3,0),""))</f>
        <v/>
      </c>
      <c r="L35" s="18" t="n"/>
      <c r="M35" s="19">
        <f>IF($A35="","",IF($K35&lt;&gt;"","祝",IF(WEEKDAY($A35,2)=6,"土",IF(WEEKDAY($A35,2)=7,"日","平"))))</f>
        <v/>
      </c>
      <c r="N35" s="19">
        <f>IF(NOT(ISNUMBER($C35)),"",IF($C35&lt;1,$C35,(INT($C35/100)*60+MOD($C35,100))/1440))</f>
        <v/>
      </c>
      <c r="O35" s="19">
        <f>IF(NOT(ISNUMBER($D35)),"",IF($D35&lt;1,$D35,(INT($D35/100)*60+MOD($D35,100))/1440))</f>
        <v/>
      </c>
      <c r="P35" s="19">
        <f>IF(NOT(ISNUMBER($E35)),"",IF($E35&lt;1,$E35,(INT($E35/100)*60+MOD($E35,100))/1440))</f>
        <v/>
      </c>
      <c r="Q35" s="19">
        <f>IF(NOT(ISNUMBER($G35)),"",IF($G35&lt;1,$G35,(INT($G35/100)*60+MOD($G35,100))/1440))</f>
        <v/>
      </c>
      <c r="R35" s="19">
        <f>IF(NOT(ISNUMBER($H35)),"",IF($H35&lt;1,$H35,(INT($H35/100)*60+MOD($H35,100))/1440))</f>
        <v/>
      </c>
      <c r="S35" s="19">
        <f>IF(NOT(ISNUMBER($I35)),"",IF($I35&lt;1,$I35,(INT($I35/100)*60+MOD($I35,100))/1440))</f>
        <v/>
      </c>
      <c r="T35" s="19">
        <f>IF(NOT(ISNUMBER($J35)),"",IF($J35&lt;1,$J35,(INT($J35/100)*60+MOD($J35,100))/1440))</f>
        <v/>
      </c>
    </row>
    <row r="36" ht="19" customHeight="1">
      <c r="A36" s="13">
        <f>IF(A35="","",IF(MONTH(A35+1)=$D$4,A35+1,""))</f>
        <v/>
      </c>
      <c r="B36" s="14">
        <f>IF($A36="","",CHOOSE(WEEKDAY($A36,2),"月","火","水","木","金","土","日"))</f>
        <v/>
      </c>
      <c r="C36" s="15" t="n"/>
      <c r="D36" s="15" t="n"/>
      <c r="E36" s="15" t="n"/>
      <c r="F36" s="16">
        <f>IF(OR($N36="",$O36=""),"",MAX(0,MOD($O36-$N36,1)-IF($P36&lt;&gt;"",$P36,IF(MOD($O36-$N36,1)&gt;設定!$E$8,設定!$E$7,0))))</f>
        <v/>
      </c>
      <c r="G36" s="15" t="n"/>
      <c r="H36" s="15" t="n"/>
      <c r="I36" s="15" t="n"/>
      <c r="J36" s="15" t="n"/>
      <c r="K36" s="17">
        <f>IF($A36="","",IFERROR(VLOOKUP($A36,祝日リスト!$A$2:$C$40,3,0),""))</f>
        <v/>
      </c>
      <c r="L36" s="18" t="n"/>
      <c r="M36" s="19">
        <f>IF($A36="","",IF($K36&lt;&gt;"","祝",IF(WEEKDAY($A36,2)=6,"土",IF(WEEKDAY($A36,2)=7,"日","平"))))</f>
        <v/>
      </c>
      <c r="N36" s="19">
        <f>IF(NOT(ISNUMBER($C36)),"",IF($C36&lt;1,$C36,(INT($C36/100)*60+MOD($C36,100))/1440))</f>
        <v/>
      </c>
      <c r="O36" s="19">
        <f>IF(NOT(ISNUMBER($D36)),"",IF($D36&lt;1,$D36,(INT($D36/100)*60+MOD($D36,100))/1440))</f>
        <v/>
      </c>
      <c r="P36" s="19">
        <f>IF(NOT(ISNUMBER($E36)),"",IF($E36&lt;1,$E36,(INT($E36/100)*60+MOD($E36,100))/1440))</f>
        <v/>
      </c>
      <c r="Q36" s="19">
        <f>IF(NOT(ISNUMBER($G36)),"",IF($G36&lt;1,$G36,(INT($G36/100)*60+MOD($G36,100))/1440))</f>
        <v/>
      </c>
      <c r="R36" s="19">
        <f>IF(NOT(ISNUMBER($H36)),"",IF($H36&lt;1,$H36,(INT($H36/100)*60+MOD($H36,100))/1440))</f>
        <v/>
      </c>
      <c r="S36" s="19">
        <f>IF(NOT(ISNUMBER($I36)),"",IF($I36&lt;1,$I36,(INT($I36/100)*60+MOD($I36,100))/1440))</f>
        <v/>
      </c>
      <c r="T36" s="19">
        <f>IF(NOT(ISNUMBER($J36)),"",IF($J36&lt;1,$J36,(INT($J36/100)*60+MOD($J36,100))/1440))</f>
        <v/>
      </c>
    </row>
    <row r="37" ht="19" customHeight="1">
      <c r="A37" s="13">
        <f>IF(A36="","",IF(MONTH(A36+1)=$D$4,A36+1,""))</f>
        <v/>
      </c>
      <c r="B37" s="14">
        <f>IF($A37="","",CHOOSE(WEEKDAY($A37,2),"月","火","水","木","金","土","日"))</f>
        <v/>
      </c>
      <c r="C37" s="15" t="n"/>
      <c r="D37" s="15" t="n"/>
      <c r="E37" s="15" t="n"/>
      <c r="F37" s="16">
        <f>IF(OR($N37="",$O37=""),"",MAX(0,MOD($O37-$N37,1)-IF($P37&lt;&gt;"",$P37,IF(MOD($O37-$N37,1)&gt;設定!$E$8,設定!$E$7,0))))</f>
        <v/>
      </c>
      <c r="G37" s="15" t="n"/>
      <c r="H37" s="15" t="n"/>
      <c r="I37" s="15" t="n"/>
      <c r="J37" s="15" t="n"/>
      <c r="K37" s="17">
        <f>IF($A37="","",IFERROR(VLOOKUP($A37,祝日リスト!$A$2:$C$40,3,0),""))</f>
        <v/>
      </c>
      <c r="L37" s="18" t="n"/>
      <c r="M37" s="19">
        <f>IF($A37="","",IF($K37&lt;&gt;"","祝",IF(WEEKDAY($A37,2)=6,"土",IF(WEEKDAY($A37,2)=7,"日","平"))))</f>
        <v/>
      </c>
      <c r="N37" s="19">
        <f>IF(NOT(ISNUMBER($C37)),"",IF($C37&lt;1,$C37,(INT($C37/100)*60+MOD($C37,100))/1440))</f>
        <v/>
      </c>
      <c r="O37" s="19">
        <f>IF(NOT(ISNUMBER($D37)),"",IF($D37&lt;1,$D37,(INT($D37/100)*60+MOD($D37,100))/1440))</f>
        <v/>
      </c>
      <c r="P37" s="19">
        <f>IF(NOT(ISNUMBER($E37)),"",IF($E37&lt;1,$E37,(INT($E37/100)*60+MOD($E37,100))/1440))</f>
        <v/>
      </c>
      <c r="Q37" s="19">
        <f>IF(NOT(ISNUMBER($G37)),"",IF($G37&lt;1,$G37,(INT($G37/100)*60+MOD($G37,100))/1440))</f>
        <v/>
      </c>
      <c r="R37" s="19">
        <f>IF(NOT(ISNUMBER($H37)),"",IF($H37&lt;1,$H37,(INT($H37/100)*60+MOD($H37,100))/1440))</f>
        <v/>
      </c>
      <c r="S37" s="19">
        <f>IF(NOT(ISNUMBER($I37)),"",IF($I37&lt;1,$I37,(INT($I37/100)*60+MOD($I37,100))/1440))</f>
        <v/>
      </c>
      <c r="T37" s="19">
        <f>IF(NOT(ISNUMBER($J37)),"",IF($J37&lt;1,$J37,(INT($J37/100)*60+MOD($J37,100))/1440))</f>
        <v/>
      </c>
    </row>
    <row r="38" ht="19" customHeight="1">
      <c r="A38" s="20">
        <f>IF(A37="","",IF(MONTH(A37+1)=$D$4,A37+1,""))</f>
        <v/>
      </c>
      <c r="B38" s="21">
        <f>IF($A38="","",CHOOSE(WEEKDAY($A38,2),"月","火","水","木","金","土","日"))</f>
        <v/>
      </c>
      <c r="C38" s="22" t="n"/>
      <c r="D38" s="22" t="n"/>
      <c r="E38" s="22" t="n"/>
      <c r="F38" s="23">
        <f>IF(OR($N38="",$O38=""),"",MAX(0,MOD($O38-$N38,1)-IF($P38&lt;&gt;"",$P38,IF(MOD($O38-$N38,1)&gt;設定!$E$8,設定!$E$7,0))))</f>
        <v/>
      </c>
      <c r="G38" s="22" t="n"/>
      <c r="H38" s="22" t="n"/>
      <c r="I38" s="22" t="n"/>
      <c r="J38" s="22" t="n"/>
      <c r="K38" s="24">
        <f>IF($A38="","",IFERROR(VLOOKUP($A38,祝日リスト!$A$2:$C$40,3,0),""))</f>
        <v/>
      </c>
      <c r="L38" s="25" t="n"/>
      <c r="M38" s="19">
        <f>IF($A38="","",IF($K38&lt;&gt;"","祝",IF(WEEKDAY($A38,2)=6,"土",IF(WEEKDAY($A38,2)=7,"日","平"))))</f>
        <v/>
      </c>
      <c r="N38" s="19">
        <f>IF(NOT(ISNUMBER($C38)),"",IF($C38&lt;1,$C38,(INT($C38/100)*60+MOD($C38,100))/1440))</f>
        <v/>
      </c>
      <c r="O38" s="19">
        <f>IF(NOT(ISNUMBER($D38)),"",IF($D38&lt;1,$D38,(INT($D38/100)*60+MOD($D38,100))/1440))</f>
        <v/>
      </c>
      <c r="P38" s="19">
        <f>IF(NOT(ISNUMBER($E38)),"",IF($E38&lt;1,$E38,(INT($E38/100)*60+MOD($E38,100))/1440))</f>
        <v/>
      </c>
      <c r="Q38" s="19">
        <f>IF(NOT(ISNUMBER($G38)),"",IF($G38&lt;1,$G38,(INT($G38/100)*60+MOD($G38,100))/1440))</f>
        <v/>
      </c>
      <c r="R38" s="19">
        <f>IF(NOT(ISNUMBER($H38)),"",IF($H38&lt;1,$H38,(INT($H38/100)*60+MOD($H38,100))/1440))</f>
        <v/>
      </c>
      <c r="S38" s="19">
        <f>IF(NOT(ISNUMBER($I38)),"",IF($I38&lt;1,$I38,(INT($I38/100)*60+MOD($I38,100))/1440))</f>
        <v/>
      </c>
      <c r="T38" s="19">
        <f>IF(NOT(ISNUMBER($J38)),"",IF($J38&lt;1,$J38,(INT($J38/100)*60+MOD($J38,100))/1440))</f>
        <v/>
      </c>
    </row>
    <row r="40" ht="20" customHeight="1">
      <c r="A40" s="26" t="inlineStr">
        <is>
          <t>月次集計</t>
        </is>
      </c>
    </row>
    <row r="41" ht="18" customHeight="1">
      <c r="A41" s="27" t="inlineStr">
        <is>
          <t>出勤日数</t>
        </is>
      </c>
      <c r="D41" s="28">
        <f>COUNT($N$8:$N$38)</f>
        <v/>
      </c>
      <c r="E41" s="29" t="inlineStr">
        <is>
          <t>日</t>
        </is>
      </c>
      <c r="G41" s="27" t="inlineStr">
        <is>
          <t>通常残業</t>
        </is>
      </c>
      <c r="K41" s="30">
        <f>SUM($Q$8:$Q$38)</f>
        <v/>
      </c>
    </row>
    <row r="42" ht="18" customHeight="1">
      <c r="A42" s="27" t="inlineStr">
        <is>
          <t>実働時間 合計</t>
        </is>
      </c>
      <c r="D42" s="30">
        <f>SUM($F$8:$F$38)</f>
        <v/>
      </c>
      <c r="G42" s="27" t="inlineStr">
        <is>
          <t>深夜残業</t>
        </is>
      </c>
      <c r="K42" s="30">
        <f>SUM($R$8:$R$38)</f>
        <v/>
      </c>
    </row>
    <row r="43" ht="18" customHeight="1">
      <c r="A43" s="31" t="inlineStr">
        <is>
          <t xml:space="preserve">　うち 平日</t>
        </is>
      </c>
      <c r="D43" s="30">
        <f>SUMIF($M$8:$M$38,"平",$F$8:$F$38)</f>
        <v/>
      </c>
      <c r="G43" s="27" t="inlineStr">
        <is>
          <t>早朝残業</t>
        </is>
      </c>
      <c r="K43" s="30">
        <f>SUM($S$8:$S$38)</f>
        <v/>
      </c>
    </row>
    <row r="44" ht="18" customHeight="1">
      <c r="A44" s="31" t="inlineStr">
        <is>
          <t xml:space="preserve">　うち 土曜</t>
        </is>
      </c>
      <c r="D44" s="30">
        <f>SUMIF($M$8:$M$38,"土",$F$8:$F$38)</f>
        <v/>
      </c>
      <c r="G44" s="27" t="inlineStr">
        <is>
          <t>遅刻・早退</t>
        </is>
      </c>
      <c r="K44" s="30">
        <f>SUM($T$8:$T$38)</f>
        <v/>
      </c>
    </row>
    <row r="45" ht="18" customHeight="1">
      <c r="A45" s="31" t="inlineStr">
        <is>
          <t xml:space="preserve">　うち 日曜・祝日</t>
        </is>
      </c>
      <c r="D45" s="30">
        <f>SUMIF($M$8:$M$38,"日",$F$8:$F$38)+SUMIF($M$8:$M$38,"祝",$F$8:$F$38)</f>
        <v/>
      </c>
      <c r="G45" s="27" t="inlineStr">
        <is>
          <t>所定超過(実働-所定×出勤日数)</t>
        </is>
      </c>
      <c r="K45" s="30">
        <f>MAX(0,SUM($F$8:$F$38)-設定!$E$6*COUNT($N$8:$N$38))</f>
        <v/>
      </c>
    </row>
    <row r="47">
      <c r="A47" s="11" t="inlineStr">
        <is>
          <t>※ 残業欄は実働時間の内数です。実働は「退勤－出勤－休憩」で自動計算されます。</t>
        </is>
      </c>
    </row>
    <row r="49" ht="30" customHeight="1">
      <c r="G49" s="9" t="inlineStr">
        <is>
          <t>承認</t>
        </is>
      </c>
      <c r="H49" s="32" t="n"/>
      <c r="J49" s="32" t="n"/>
    </row>
    <row r="50">
      <c r="H50" s="33" t="inlineStr">
        <is>
          <t>本人</t>
        </is>
      </c>
      <c r="J50" s="33" t="inlineStr">
        <is>
          <t>上長</t>
        </is>
      </c>
    </row>
  </sheetData>
  <mergeCells count="15">
    <mergeCell ref="G44:J44"/>
    <mergeCell ref="A42:C42"/>
    <mergeCell ref="A41:C41"/>
    <mergeCell ref="A44:C44"/>
    <mergeCell ref="A45:C45"/>
    <mergeCell ref="G43:J43"/>
    <mergeCell ref="H49:I49"/>
    <mergeCell ref="J49:K49"/>
    <mergeCell ref="A40:L40"/>
    <mergeCell ref="J4:L4"/>
    <mergeCell ref="A2:D2"/>
    <mergeCell ref="G41:J41"/>
    <mergeCell ref="A43:C43"/>
    <mergeCell ref="G45:J45"/>
    <mergeCell ref="G42:J42"/>
  </mergeCells>
  <conditionalFormatting sqref="A8:L38">
    <cfRule type="expression" priority="1" dxfId="0" stopIfTrue="1">
      <formula>$A8=""</formula>
    </cfRule>
    <cfRule type="expression" priority="2" dxfId="1">
      <formula>OR($M8="祝",$M8="日")</formula>
    </cfRule>
    <cfRule type="expression" priority="3" dxfId="2">
      <formula>$M8="土"</formula>
    </cfRule>
  </conditionalFormatting>
  <conditionalFormatting sqref="D8:D38">
    <cfRule type="expression" priority="4" dxfId="3">
      <formula>AND($N8&lt;&gt;"",$O8="")</formula>
    </cfRule>
  </conditionalFormatting>
  <conditionalFormatting sqref="C8:C38">
    <cfRule type="expression" priority="5" dxfId="3">
      <formula>AND($O8&lt;&gt;"",$N8="")</formula>
    </cfRule>
  </conditionalFormatting>
  <dataValidations count="2">
    <dataValidation sqref="L8:L38" showDropDown="0" showInputMessage="1" showErrorMessage="0" allowBlank="1" promptTitle="備考" prompt="選択、または自由入力できます" type="list">
      <formula1>"有給,半休,欠勤,遅刻,早退,休日出勤,振替休日,直行,直帰,出張,特別休暇"</formula1>
    </dataValidation>
    <dataValidation sqref="C8:C38 D8:D38 E8:E38 G8:G38 H8:H38 I8:I38 J8:J38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=OR(AND(C8&gt;=0,C8&lt;1),AND(C8=INT(C8),C8&lt;=2359,MOD(C8,100)&lt;60))</formula1>
    </dataValidation>
  </dataValidations>
  <pageMargins left="0.3" right="0.3" top="0.4" bottom="0.4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FF8FAADC"/>
    <outlinePr summaryBelow="1" summaryRight="1"/>
    <pageSetUpPr fitToPage="1"/>
  </sheetPr>
  <dimension ref="A2:T5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.5" customWidth="1" min="1" max="1"/>
    <col width="4.5" customWidth="1" min="2" max="2"/>
    <col width="8.5" customWidth="1" min="3" max="3"/>
    <col width="8.5" customWidth="1" min="4" max="4"/>
    <col width="8" customWidth="1" min="5" max="5"/>
    <col width="8.5" customWidth="1" min="6" max="6"/>
    <col width="9" customWidth="1" min="7" max="7"/>
    <col width="9" customWidth="1" min="8" max="8"/>
    <col width="9" customWidth="1" min="9" max="9"/>
    <col width="10" customWidth="1" min="10" max="10"/>
    <col width="14" customWidth="1" min="11" max="11"/>
    <col width="26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2" ht="24" customHeight="1">
      <c r="A2" s="8">
        <f>設定!$B$4&amp;"　"&amp;設定!$B$3&amp;"年"&amp;12&amp;"月度 出勤簿"</f>
        <v/>
      </c>
    </row>
    <row r="4">
      <c r="A4" s="9" t="inlineStr">
        <is>
          <t>年</t>
        </is>
      </c>
      <c r="B4" s="10">
        <f>設定!$B$3</f>
        <v/>
      </c>
      <c r="C4" s="9" t="inlineStr">
        <is>
          <t>月</t>
        </is>
      </c>
      <c r="D4" s="10" t="n">
        <v>12</v>
      </c>
      <c r="G4" s="9" t="inlineStr">
        <is>
          <t>所属</t>
        </is>
      </c>
      <c r="H4" s="10">
        <f>設定!$B$5</f>
        <v/>
      </c>
      <c r="I4" s="9" t="inlineStr">
        <is>
          <t>氏名</t>
        </is>
      </c>
      <c r="J4" s="10">
        <f>設定!$B$4</f>
        <v/>
      </c>
    </row>
    <row r="5">
      <c r="A5" s="11" t="inlineStr">
        <is>
          <t>黄色のセルに入力してください（灰色は自動計算）。時刻は 930 のようにコロンなしで入力できます。</t>
        </is>
      </c>
    </row>
    <row r="7" ht="26" customHeight="1">
      <c r="A7" s="12" t="inlineStr">
        <is>
          <t>日</t>
        </is>
      </c>
      <c r="B7" s="12" t="inlineStr">
        <is>
          <t>曜</t>
        </is>
      </c>
      <c r="C7" s="12" t="inlineStr">
        <is>
          <t>出勤</t>
        </is>
      </c>
      <c r="D7" s="12" t="inlineStr">
        <is>
          <t>退勤</t>
        </is>
      </c>
      <c r="E7" s="12" t="inlineStr">
        <is>
          <t>休憩</t>
        </is>
      </c>
      <c r="F7" s="12" t="inlineStr">
        <is>
          <t>実働</t>
        </is>
      </c>
      <c r="G7" s="12" t="inlineStr">
        <is>
          <t>通常残業</t>
        </is>
      </c>
      <c r="H7" s="12" t="inlineStr">
        <is>
          <t>深夜残業</t>
        </is>
      </c>
      <c r="I7" s="12" t="inlineStr">
        <is>
          <t>早朝残業</t>
        </is>
      </c>
      <c r="J7" s="12" t="inlineStr">
        <is>
          <t>遅刻・早退</t>
        </is>
      </c>
      <c r="K7" s="12" t="inlineStr">
        <is>
          <t>祝日</t>
        </is>
      </c>
      <c r="L7" s="12" t="inlineStr">
        <is>
          <t>備考・理由</t>
        </is>
      </c>
    </row>
    <row r="8" ht="19" customHeight="1">
      <c r="A8" s="13">
        <f>DATE($B$4,$D$4,1)</f>
        <v/>
      </c>
      <c r="B8" s="14">
        <f>IF($A8="","",CHOOSE(WEEKDAY($A8,2),"月","火","水","木","金","土","日"))</f>
        <v/>
      </c>
      <c r="C8" s="15" t="n"/>
      <c r="D8" s="15" t="n"/>
      <c r="E8" s="15" t="n"/>
      <c r="F8" s="16">
        <f>IF(OR($N8="",$O8=""),"",MAX(0,MOD($O8-$N8,1)-IF($P8&lt;&gt;"",$P8,IF(MOD($O8-$N8,1)&gt;設定!$E$8,設定!$E$7,0))))</f>
        <v/>
      </c>
      <c r="G8" s="15" t="n"/>
      <c r="H8" s="15" t="n"/>
      <c r="I8" s="15" t="n"/>
      <c r="J8" s="15" t="n"/>
      <c r="K8" s="17">
        <f>IF($A8="","",IFERROR(VLOOKUP($A8,祝日リスト!$A$2:$C$40,3,0),""))</f>
        <v/>
      </c>
      <c r="L8" s="18" t="n"/>
      <c r="M8" s="19">
        <f>IF($A8="","",IF($K8&lt;&gt;"","祝",IF(WEEKDAY($A8,2)=6,"土",IF(WEEKDAY($A8,2)=7,"日","平"))))</f>
        <v/>
      </c>
      <c r="N8" s="19">
        <f>IF(NOT(ISNUMBER($C8)),"",IF($C8&lt;1,$C8,(INT($C8/100)*60+MOD($C8,100))/1440))</f>
        <v/>
      </c>
      <c r="O8" s="19">
        <f>IF(NOT(ISNUMBER($D8)),"",IF($D8&lt;1,$D8,(INT($D8/100)*60+MOD($D8,100))/1440))</f>
        <v/>
      </c>
      <c r="P8" s="19">
        <f>IF(NOT(ISNUMBER($E8)),"",IF($E8&lt;1,$E8,(INT($E8/100)*60+MOD($E8,100))/1440))</f>
        <v/>
      </c>
      <c r="Q8" s="19">
        <f>IF(NOT(ISNUMBER($G8)),"",IF($G8&lt;1,$G8,(INT($G8/100)*60+MOD($G8,100))/1440))</f>
        <v/>
      </c>
      <c r="R8" s="19">
        <f>IF(NOT(ISNUMBER($H8)),"",IF($H8&lt;1,$H8,(INT($H8/100)*60+MOD($H8,100))/1440))</f>
        <v/>
      </c>
      <c r="S8" s="19">
        <f>IF(NOT(ISNUMBER($I8)),"",IF($I8&lt;1,$I8,(INT($I8/100)*60+MOD($I8,100))/1440))</f>
        <v/>
      </c>
      <c r="T8" s="19">
        <f>IF(NOT(ISNUMBER($J8)),"",IF($J8&lt;1,$J8,(INT($J8/100)*60+MOD($J8,100))/1440))</f>
        <v/>
      </c>
    </row>
    <row r="9" ht="19" customHeight="1">
      <c r="A9" s="13">
        <f>IF(A8="","",IF(MONTH(A8+1)=$D$4,A8+1,""))</f>
        <v/>
      </c>
      <c r="B9" s="14">
        <f>IF($A9="","",CHOOSE(WEEKDAY($A9,2),"月","火","水","木","金","土","日"))</f>
        <v/>
      </c>
      <c r="C9" s="15" t="n"/>
      <c r="D9" s="15" t="n"/>
      <c r="E9" s="15" t="n"/>
      <c r="F9" s="16">
        <f>IF(OR($N9="",$O9=""),"",MAX(0,MOD($O9-$N9,1)-IF($P9&lt;&gt;"",$P9,IF(MOD($O9-$N9,1)&gt;設定!$E$8,設定!$E$7,0))))</f>
        <v/>
      </c>
      <c r="G9" s="15" t="n"/>
      <c r="H9" s="15" t="n"/>
      <c r="I9" s="15" t="n"/>
      <c r="J9" s="15" t="n"/>
      <c r="K9" s="17">
        <f>IF($A9="","",IFERROR(VLOOKUP($A9,祝日リスト!$A$2:$C$40,3,0),""))</f>
        <v/>
      </c>
      <c r="L9" s="18" t="n"/>
      <c r="M9" s="19">
        <f>IF($A9="","",IF($K9&lt;&gt;"","祝",IF(WEEKDAY($A9,2)=6,"土",IF(WEEKDAY($A9,2)=7,"日","平"))))</f>
        <v/>
      </c>
      <c r="N9" s="19">
        <f>IF(NOT(ISNUMBER($C9)),"",IF($C9&lt;1,$C9,(INT($C9/100)*60+MOD($C9,100))/1440))</f>
        <v/>
      </c>
      <c r="O9" s="19">
        <f>IF(NOT(ISNUMBER($D9)),"",IF($D9&lt;1,$D9,(INT($D9/100)*60+MOD($D9,100))/1440))</f>
        <v/>
      </c>
      <c r="P9" s="19">
        <f>IF(NOT(ISNUMBER($E9)),"",IF($E9&lt;1,$E9,(INT($E9/100)*60+MOD($E9,100))/1440))</f>
        <v/>
      </c>
      <c r="Q9" s="19">
        <f>IF(NOT(ISNUMBER($G9)),"",IF($G9&lt;1,$G9,(INT($G9/100)*60+MOD($G9,100))/1440))</f>
        <v/>
      </c>
      <c r="R9" s="19">
        <f>IF(NOT(ISNUMBER($H9)),"",IF($H9&lt;1,$H9,(INT($H9/100)*60+MOD($H9,100))/1440))</f>
        <v/>
      </c>
      <c r="S9" s="19">
        <f>IF(NOT(ISNUMBER($I9)),"",IF($I9&lt;1,$I9,(INT($I9/100)*60+MOD($I9,100))/1440))</f>
        <v/>
      </c>
      <c r="T9" s="19">
        <f>IF(NOT(ISNUMBER($J9)),"",IF($J9&lt;1,$J9,(INT($J9/100)*60+MOD($J9,100))/1440))</f>
        <v/>
      </c>
    </row>
    <row r="10" ht="19" customHeight="1">
      <c r="A10" s="13">
        <f>IF(A9="","",IF(MONTH(A9+1)=$D$4,A9+1,""))</f>
        <v/>
      </c>
      <c r="B10" s="14">
        <f>IF($A10="","",CHOOSE(WEEKDAY($A10,2),"月","火","水","木","金","土","日"))</f>
        <v/>
      </c>
      <c r="C10" s="15" t="n"/>
      <c r="D10" s="15" t="n"/>
      <c r="E10" s="15" t="n"/>
      <c r="F10" s="16">
        <f>IF(OR($N10="",$O10=""),"",MAX(0,MOD($O10-$N10,1)-IF($P10&lt;&gt;"",$P10,IF(MOD($O10-$N10,1)&gt;設定!$E$8,設定!$E$7,0))))</f>
        <v/>
      </c>
      <c r="G10" s="15" t="n"/>
      <c r="H10" s="15" t="n"/>
      <c r="I10" s="15" t="n"/>
      <c r="J10" s="15" t="n"/>
      <c r="K10" s="17">
        <f>IF($A10="","",IFERROR(VLOOKUP($A10,祝日リスト!$A$2:$C$40,3,0),""))</f>
        <v/>
      </c>
      <c r="L10" s="18" t="n"/>
      <c r="M10" s="19">
        <f>IF($A10="","",IF($K10&lt;&gt;"","祝",IF(WEEKDAY($A10,2)=6,"土",IF(WEEKDAY($A10,2)=7,"日","平"))))</f>
        <v/>
      </c>
      <c r="N10" s="19">
        <f>IF(NOT(ISNUMBER($C10)),"",IF($C10&lt;1,$C10,(INT($C10/100)*60+MOD($C10,100))/1440))</f>
        <v/>
      </c>
      <c r="O10" s="19">
        <f>IF(NOT(ISNUMBER($D10)),"",IF($D10&lt;1,$D10,(INT($D10/100)*60+MOD($D10,100))/1440))</f>
        <v/>
      </c>
      <c r="P10" s="19">
        <f>IF(NOT(ISNUMBER($E10)),"",IF($E10&lt;1,$E10,(INT($E10/100)*60+MOD($E10,100))/1440))</f>
        <v/>
      </c>
      <c r="Q10" s="19">
        <f>IF(NOT(ISNUMBER($G10)),"",IF($G10&lt;1,$G10,(INT($G10/100)*60+MOD($G10,100))/1440))</f>
        <v/>
      </c>
      <c r="R10" s="19">
        <f>IF(NOT(ISNUMBER($H10)),"",IF($H10&lt;1,$H10,(INT($H10/100)*60+MOD($H10,100))/1440))</f>
        <v/>
      </c>
      <c r="S10" s="19">
        <f>IF(NOT(ISNUMBER($I10)),"",IF($I10&lt;1,$I10,(INT($I10/100)*60+MOD($I10,100))/1440))</f>
        <v/>
      </c>
      <c r="T10" s="19">
        <f>IF(NOT(ISNUMBER($J10)),"",IF($J10&lt;1,$J10,(INT($J10/100)*60+MOD($J10,100))/1440))</f>
        <v/>
      </c>
    </row>
    <row r="11" ht="19" customHeight="1">
      <c r="A11" s="13">
        <f>IF(A10="","",IF(MONTH(A10+1)=$D$4,A10+1,""))</f>
        <v/>
      </c>
      <c r="B11" s="14">
        <f>IF($A11="","",CHOOSE(WEEKDAY($A11,2),"月","火","水","木","金","土","日"))</f>
        <v/>
      </c>
      <c r="C11" s="15" t="n"/>
      <c r="D11" s="15" t="n"/>
      <c r="E11" s="15" t="n"/>
      <c r="F11" s="16">
        <f>IF(OR($N11="",$O11=""),"",MAX(0,MOD($O11-$N11,1)-IF($P11&lt;&gt;"",$P11,IF(MOD($O11-$N11,1)&gt;設定!$E$8,設定!$E$7,0))))</f>
        <v/>
      </c>
      <c r="G11" s="15" t="n"/>
      <c r="H11" s="15" t="n"/>
      <c r="I11" s="15" t="n"/>
      <c r="J11" s="15" t="n"/>
      <c r="K11" s="17">
        <f>IF($A11="","",IFERROR(VLOOKUP($A11,祝日リスト!$A$2:$C$40,3,0),""))</f>
        <v/>
      </c>
      <c r="L11" s="18" t="n"/>
      <c r="M11" s="19">
        <f>IF($A11="","",IF($K11&lt;&gt;"","祝",IF(WEEKDAY($A11,2)=6,"土",IF(WEEKDAY($A11,2)=7,"日","平"))))</f>
        <v/>
      </c>
      <c r="N11" s="19">
        <f>IF(NOT(ISNUMBER($C11)),"",IF($C11&lt;1,$C11,(INT($C11/100)*60+MOD($C11,100))/1440))</f>
        <v/>
      </c>
      <c r="O11" s="19">
        <f>IF(NOT(ISNUMBER($D11)),"",IF($D11&lt;1,$D11,(INT($D11/100)*60+MOD($D11,100))/1440))</f>
        <v/>
      </c>
      <c r="P11" s="19">
        <f>IF(NOT(ISNUMBER($E11)),"",IF($E11&lt;1,$E11,(INT($E11/100)*60+MOD($E11,100))/1440))</f>
        <v/>
      </c>
      <c r="Q11" s="19">
        <f>IF(NOT(ISNUMBER($G11)),"",IF($G11&lt;1,$G11,(INT($G11/100)*60+MOD($G11,100))/1440))</f>
        <v/>
      </c>
      <c r="R11" s="19">
        <f>IF(NOT(ISNUMBER($H11)),"",IF($H11&lt;1,$H11,(INT($H11/100)*60+MOD($H11,100))/1440))</f>
        <v/>
      </c>
      <c r="S11" s="19">
        <f>IF(NOT(ISNUMBER($I11)),"",IF($I11&lt;1,$I11,(INT($I11/100)*60+MOD($I11,100))/1440))</f>
        <v/>
      </c>
      <c r="T11" s="19">
        <f>IF(NOT(ISNUMBER($J11)),"",IF($J11&lt;1,$J11,(INT($J11/100)*60+MOD($J11,100))/1440))</f>
        <v/>
      </c>
    </row>
    <row r="12" ht="19" customHeight="1">
      <c r="A12" s="13">
        <f>IF(A11="","",IF(MONTH(A11+1)=$D$4,A11+1,""))</f>
        <v/>
      </c>
      <c r="B12" s="14">
        <f>IF($A12="","",CHOOSE(WEEKDAY($A12,2),"月","火","水","木","金","土","日"))</f>
        <v/>
      </c>
      <c r="C12" s="15" t="n"/>
      <c r="D12" s="15" t="n"/>
      <c r="E12" s="15" t="n"/>
      <c r="F12" s="16">
        <f>IF(OR($N12="",$O12=""),"",MAX(0,MOD($O12-$N12,1)-IF($P12&lt;&gt;"",$P12,IF(MOD($O12-$N12,1)&gt;設定!$E$8,設定!$E$7,0))))</f>
        <v/>
      </c>
      <c r="G12" s="15" t="n"/>
      <c r="H12" s="15" t="n"/>
      <c r="I12" s="15" t="n"/>
      <c r="J12" s="15" t="n"/>
      <c r="K12" s="17">
        <f>IF($A12="","",IFERROR(VLOOKUP($A12,祝日リスト!$A$2:$C$40,3,0),""))</f>
        <v/>
      </c>
      <c r="L12" s="18" t="n"/>
      <c r="M12" s="19">
        <f>IF($A12="","",IF($K12&lt;&gt;"","祝",IF(WEEKDAY($A12,2)=6,"土",IF(WEEKDAY($A12,2)=7,"日","平"))))</f>
        <v/>
      </c>
      <c r="N12" s="19">
        <f>IF(NOT(ISNUMBER($C12)),"",IF($C12&lt;1,$C12,(INT($C12/100)*60+MOD($C12,100))/1440))</f>
        <v/>
      </c>
      <c r="O12" s="19">
        <f>IF(NOT(ISNUMBER($D12)),"",IF($D12&lt;1,$D12,(INT($D12/100)*60+MOD($D12,100))/1440))</f>
        <v/>
      </c>
      <c r="P12" s="19">
        <f>IF(NOT(ISNUMBER($E12)),"",IF($E12&lt;1,$E12,(INT($E12/100)*60+MOD($E12,100))/1440))</f>
        <v/>
      </c>
      <c r="Q12" s="19">
        <f>IF(NOT(ISNUMBER($G12)),"",IF($G12&lt;1,$G12,(INT($G12/100)*60+MOD($G12,100))/1440))</f>
        <v/>
      </c>
      <c r="R12" s="19">
        <f>IF(NOT(ISNUMBER($H12)),"",IF($H12&lt;1,$H12,(INT($H12/100)*60+MOD($H12,100))/1440))</f>
        <v/>
      </c>
      <c r="S12" s="19">
        <f>IF(NOT(ISNUMBER($I12)),"",IF($I12&lt;1,$I12,(INT($I12/100)*60+MOD($I12,100))/1440))</f>
        <v/>
      </c>
      <c r="T12" s="19">
        <f>IF(NOT(ISNUMBER($J12)),"",IF($J12&lt;1,$J12,(INT($J12/100)*60+MOD($J12,100))/1440))</f>
        <v/>
      </c>
    </row>
    <row r="13" ht="19" customHeight="1">
      <c r="A13" s="13">
        <f>IF(A12="","",IF(MONTH(A12+1)=$D$4,A12+1,""))</f>
        <v/>
      </c>
      <c r="B13" s="14">
        <f>IF($A13="","",CHOOSE(WEEKDAY($A13,2),"月","火","水","木","金","土","日"))</f>
        <v/>
      </c>
      <c r="C13" s="15" t="n"/>
      <c r="D13" s="15" t="n"/>
      <c r="E13" s="15" t="n"/>
      <c r="F13" s="16">
        <f>IF(OR($N13="",$O13=""),"",MAX(0,MOD($O13-$N13,1)-IF($P13&lt;&gt;"",$P13,IF(MOD($O13-$N13,1)&gt;設定!$E$8,設定!$E$7,0))))</f>
        <v/>
      </c>
      <c r="G13" s="15" t="n"/>
      <c r="H13" s="15" t="n"/>
      <c r="I13" s="15" t="n"/>
      <c r="J13" s="15" t="n"/>
      <c r="K13" s="17">
        <f>IF($A13="","",IFERROR(VLOOKUP($A13,祝日リスト!$A$2:$C$40,3,0),""))</f>
        <v/>
      </c>
      <c r="L13" s="18" t="n"/>
      <c r="M13" s="19">
        <f>IF($A13="","",IF($K13&lt;&gt;"","祝",IF(WEEKDAY($A13,2)=6,"土",IF(WEEKDAY($A13,2)=7,"日","平"))))</f>
        <v/>
      </c>
      <c r="N13" s="19">
        <f>IF(NOT(ISNUMBER($C13)),"",IF($C13&lt;1,$C13,(INT($C13/100)*60+MOD($C13,100))/1440))</f>
        <v/>
      </c>
      <c r="O13" s="19">
        <f>IF(NOT(ISNUMBER($D13)),"",IF($D13&lt;1,$D13,(INT($D13/100)*60+MOD($D13,100))/1440))</f>
        <v/>
      </c>
      <c r="P13" s="19">
        <f>IF(NOT(ISNUMBER($E13)),"",IF($E13&lt;1,$E13,(INT($E13/100)*60+MOD($E13,100))/1440))</f>
        <v/>
      </c>
      <c r="Q13" s="19">
        <f>IF(NOT(ISNUMBER($G13)),"",IF($G13&lt;1,$G13,(INT($G13/100)*60+MOD($G13,100))/1440))</f>
        <v/>
      </c>
      <c r="R13" s="19">
        <f>IF(NOT(ISNUMBER($H13)),"",IF($H13&lt;1,$H13,(INT($H13/100)*60+MOD($H13,100))/1440))</f>
        <v/>
      </c>
      <c r="S13" s="19">
        <f>IF(NOT(ISNUMBER($I13)),"",IF($I13&lt;1,$I13,(INT($I13/100)*60+MOD($I13,100))/1440))</f>
        <v/>
      </c>
      <c r="T13" s="19">
        <f>IF(NOT(ISNUMBER($J13)),"",IF($J13&lt;1,$J13,(INT($J13/100)*60+MOD($J13,100))/1440))</f>
        <v/>
      </c>
    </row>
    <row r="14" ht="19" customHeight="1">
      <c r="A14" s="13">
        <f>IF(A13="","",IF(MONTH(A13+1)=$D$4,A13+1,""))</f>
        <v/>
      </c>
      <c r="B14" s="14">
        <f>IF($A14="","",CHOOSE(WEEKDAY($A14,2),"月","火","水","木","金","土","日"))</f>
        <v/>
      </c>
      <c r="C14" s="15" t="n"/>
      <c r="D14" s="15" t="n"/>
      <c r="E14" s="15" t="n"/>
      <c r="F14" s="16">
        <f>IF(OR($N14="",$O14=""),"",MAX(0,MOD($O14-$N14,1)-IF($P14&lt;&gt;"",$P14,IF(MOD($O14-$N14,1)&gt;設定!$E$8,設定!$E$7,0))))</f>
        <v/>
      </c>
      <c r="G14" s="15" t="n"/>
      <c r="H14" s="15" t="n"/>
      <c r="I14" s="15" t="n"/>
      <c r="J14" s="15" t="n"/>
      <c r="K14" s="17">
        <f>IF($A14="","",IFERROR(VLOOKUP($A14,祝日リスト!$A$2:$C$40,3,0),""))</f>
        <v/>
      </c>
      <c r="L14" s="18" t="n"/>
      <c r="M14" s="19">
        <f>IF($A14="","",IF($K14&lt;&gt;"","祝",IF(WEEKDAY($A14,2)=6,"土",IF(WEEKDAY($A14,2)=7,"日","平"))))</f>
        <v/>
      </c>
      <c r="N14" s="19">
        <f>IF(NOT(ISNUMBER($C14)),"",IF($C14&lt;1,$C14,(INT($C14/100)*60+MOD($C14,100))/1440))</f>
        <v/>
      </c>
      <c r="O14" s="19">
        <f>IF(NOT(ISNUMBER($D14)),"",IF($D14&lt;1,$D14,(INT($D14/100)*60+MOD($D14,100))/1440))</f>
        <v/>
      </c>
      <c r="P14" s="19">
        <f>IF(NOT(ISNUMBER($E14)),"",IF($E14&lt;1,$E14,(INT($E14/100)*60+MOD($E14,100))/1440))</f>
        <v/>
      </c>
      <c r="Q14" s="19">
        <f>IF(NOT(ISNUMBER($G14)),"",IF($G14&lt;1,$G14,(INT($G14/100)*60+MOD($G14,100))/1440))</f>
        <v/>
      </c>
      <c r="R14" s="19">
        <f>IF(NOT(ISNUMBER($H14)),"",IF($H14&lt;1,$H14,(INT($H14/100)*60+MOD($H14,100))/1440))</f>
        <v/>
      </c>
      <c r="S14" s="19">
        <f>IF(NOT(ISNUMBER($I14)),"",IF($I14&lt;1,$I14,(INT($I14/100)*60+MOD($I14,100))/1440))</f>
        <v/>
      </c>
      <c r="T14" s="19">
        <f>IF(NOT(ISNUMBER($J14)),"",IF($J14&lt;1,$J14,(INT($J14/100)*60+MOD($J14,100))/1440))</f>
        <v/>
      </c>
    </row>
    <row r="15" ht="19" customHeight="1">
      <c r="A15" s="13">
        <f>IF(A14="","",IF(MONTH(A14+1)=$D$4,A14+1,""))</f>
        <v/>
      </c>
      <c r="B15" s="14">
        <f>IF($A15="","",CHOOSE(WEEKDAY($A15,2),"月","火","水","木","金","土","日"))</f>
        <v/>
      </c>
      <c r="C15" s="15" t="n"/>
      <c r="D15" s="15" t="n"/>
      <c r="E15" s="15" t="n"/>
      <c r="F15" s="16">
        <f>IF(OR($N15="",$O15=""),"",MAX(0,MOD($O15-$N15,1)-IF($P15&lt;&gt;"",$P15,IF(MOD($O15-$N15,1)&gt;設定!$E$8,設定!$E$7,0))))</f>
        <v/>
      </c>
      <c r="G15" s="15" t="n"/>
      <c r="H15" s="15" t="n"/>
      <c r="I15" s="15" t="n"/>
      <c r="J15" s="15" t="n"/>
      <c r="K15" s="17">
        <f>IF($A15="","",IFERROR(VLOOKUP($A15,祝日リスト!$A$2:$C$40,3,0),""))</f>
        <v/>
      </c>
      <c r="L15" s="18" t="n"/>
      <c r="M15" s="19">
        <f>IF($A15="","",IF($K15&lt;&gt;"","祝",IF(WEEKDAY($A15,2)=6,"土",IF(WEEKDAY($A15,2)=7,"日","平"))))</f>
        <v/>
      </c>
      <c r="N15" s="19">
        <f>IF(NOT(ISNUMBER($C15)),"",IF($C15&lt;1,$C15,(INT($C15/100)*60+MOD($C15,100))/1440))</f>
        <v/>
      </c>
      <c r="O15" s="19">
        <f>IF(NOT(ISNUMBER($D15)),"",IF($D15&lt;1,$D15,(INT($D15/100)*60+MOD($D15,100))/1440))</f>
        <v/>
      </c>
      <c r="P15" s="19">
        <f>IF(NOT(ISNUMBER($E15)),"",IF($E15&lt;1,$E15,(INT($E15/100)*60+MOD($E15,100))/1440))</f>
        <v/>
      </c>
      <c r="Q15" s="19">
        <f>IF(NOT(ISNUMBER($G15)),"",IF($G15&lt;1,$G15,(INT($G15/100)*60+MOD($G15,100))/1440))</f>
        <v/>
      </c>
      <c r="R15" s="19">
        <f>IF(NOT(ISNUMBER($H15)),"",IF($H15&lt;1,$H15,(INT($H15/100)*60+MOD($H15,100))/1440))</f>
        <v/>
      </c>
      <c r="S15" s="19">
        <f>IF(NOT(ISNUMBER($I15)),"",IF($I15&lt;1,$I15,(INT($I15/100)*60+MOD($I15,100))/1440))</f>
        <v/>
      </c>
      <c r="T15" s="19">
        <f>IF(NOT(ISNUMBER($J15)),"",IF($J15&lt;1,$J15,(INT($J15/100)*60+MOD($J15,100))/1440))</f>
        <v/>
      </c>
    </row>
    <row r="16" ht="19" customHeight="1">
      <c r="A16" s="13">
        <f>IF(A15="","",IF(MONTH(A15+1)=$D$4,A15+1,""))</f>
        <v/>
      </c>
      <c r="B16" s="14">
        <f>IF($A16="","",CHOOSE(WEEKDAY($A16,2),"月","火","水","木","金","土","日"))</f>
        <v/>
      </c>
      <c r="C16" s="15" t="n"/>
      <c r="D16" s="15" t="n"/>
      <c r="E16" s="15" t="n"/>
      <c r="F16" s="16">
        <f>IF(OR($N16="",$O16=""),"",MAX(0,MOD($O16-$N16,1)-IF($P16&lt;&gt;"",$P16,IF(MOD($O16-$N16,1)&gt;設定!$E$8,設定!$E$7,0))))</f>
        <v/>
      </c>
      <c r="G16" s="15" t="n"/>
      <c r="H16" s="15" t="n"/>
      <c r="I16" s="15" t="n"/>
      <c r="J16" s="15" t="n"/>
      <c r="K16" s="17">
        <f>IF($A16="","",IFERROR(VLOOKUP($A16,祝日リスト!$A$2:$C$40,3,0),""))</f>
        <v/>
      </c>
      <c r="L16" s="18" t="n"/>
      <c r="M16" s="19">
        <f>IF($A16="","",IF($K16&lt;&gt;"","祝",IF(WEEKDAY($A16,2)=6,"土",IF(WEEKDAY($A16,2)=7,"日","平"))))</f>
        <v/>
      </c>
      <c r="N16" s="19">
        <f>IF(NOT(ISNUMBER($C16)),"",IF($C16&lt;1,$C16,(INT($C16/100)*60+MOD($C16,100))/1440))</f>
        <v/>
      </c>
      <c r="O16" s="19">
        <f>IF(NOT(ISNUMBER($D16)),"",IF($D16&lt;1,$D16,(INT($D16/100)*60+MOD($D16,100))/1440))</f>
        <v/>
      </c>
      <c r="P16" s="19">
        <f>IF(NOT(ISNUMBER($E16)),"",IF($E16&lt;1,$E16,(INT($E16/100)*60+MOD($E16,100))/1440))</f>
        <v/>
      </c>
      <c r="Q16" s="19">
        <f>IF(NOT(ISNUMBER($G16)),"",IF($G16&lt;1,$G16,(INT($G16/100)*60+MOD($G16,100))/1440))</f>
        <v/>
      </c>
      <c r="R16" s="19">
        <f>IF(NOT(ISNUMBER($H16)),"",IF($H16&lt;1,$H16,(INT($H16/100)*60+MOD($H16,100))/1440))</f>
        <v/>
      </c>
      <c r="S16" s="19">
        <f>IF(NOT(ISNUMBER($I16)),"",IF($I16&lt;1,$I16,(INT($I16/100)*60+MOD($I16,100))/1440))</f>
        <v/>
      </c>
      <c r="T16" s="19">
        <f>IF(NOT(ISNUMBER($J16)),"",IF($J16&lt;1,$J16,(INT($J16/100)*60+MOD($J16,100))/1440))</f>
        <v/>
      </c>
    </row>
    <row r="17" ht="19" customHeight="1">
      <c r="A17" s="13">
        <f>IF(A16="","",IF(MONTH(A16+1)=$D$4,A16+1,""))</f>
        <v/>
      </c>
      <c r="B17" s="14">
        <f>IF($A17="","",CHOOSE(WEEKDAY($A17,2),"月","火","水","木","金","土","日"))</f>
        <v/>
      </c>
      <c r="C17" s="15" t="n"/>
      <c r="D17" s="15" t="n"/>
      <c r="E17" s="15" t="n"/>
      <c r="F17" s="16">
        <f>IF(OR($N17="",$O17=""),"",MAX(0,MOD($O17-$N17,1)-IF($P17&lt;&gt;"",$P17,IF(MOD($O17-$N17,1)&gt;設定!$E$8,設定!$E$7,0))))</f>
        <v/>
      </c>
      <c r="G17" s="15" t="n"/>
      <c r="H17" s="15" t="n"/>
      <c r="I17" s="15" t="n"/>
      <c r="J17" s="15" t="n"/>
      <c r="K17" s="17">
        <f>IF($A17="","",IFERROR(VLOOKUP($A17,祝日リスト!$A$2:$C$40,3,0),""))</f>
        <v/>
      </c>
      <c r="L17" s="18" t="n"/>
      <c r="M17" s="19">
        <f>IF($A17="","",IF($K17&lt;&gt;"","祝",IF(WEEKDAY($A17,2)=6,"土",IF(WEEKDAY($A17,2)=7,"日","平"))))</f>
        <v/>
      </c>
      <c r="N17" s="19">
        <f>IF(NOT(ISNUMBER($C17)),"",IF($C17&lt;1,$C17,(INT($C17/100)*60+MOD($C17,100))/1440))</f>
        <v/>
      </c>
      <c r="O17" s="19">
        <f>IF(NOT(ISNUMBER($D17)),"",IF($D17&lt;1,$D17,(INT($D17/100)*60+MOD($D17,100))/1440))</f>
        <v/>
      </c>
      <c r="P17" s="19">
        <f>IF(NOT(ISNUMBER($E17)),"",IF($E17&lt;1,$E17,(INT($E17/100)*60+MOD($E17,100))/1440))</f>
        <v/>
      </c>
      <c r="Q17" s="19">
        <f>IF(NOT(ISNUMBER($G17)),"",IF($G17&lt;1,$G17,(INT($G17/100)*60+MOD($G17,100))/1440))</f>
        <v/>
      </c>
      <c r="R17" s="19">
        <f>IF(NOT(ISNUMBER($H17)),"",IF($H17&lt;1,$H17,(INT($H17/100)*60+MOD($H17,100))/1440))</f>
        <v/>
      </c>
      <c r="S17" s="19">
        <f>IF(NOT(ISNUMBER($I17)),"",IF($I17&lt;1,$I17,(INT($I17/100)*60+MOD($I17,100))/1440))</f>
        <v/>
      </c>
      <c r="T17" s="19">
        <f>IF(NOT(ISNUMBER($J17)),"",IF($J17&lt;1,$J17,(INT($J17/100)*60+MOD($J17,100))/1440))</f>
        <v/>
      </c>
    </row>
    <row r="18" ht="19" customHeight="1">
      <c r="A18" s="13">
        <f>IF(A17="","",IF(MONTH(A17+1)=$D$4,A17+1,""))</f>
        <v/>
      </c>
      <c r="B18" s="14">
        <f>IF($A18="","",CHOOSE(WEEKDAY($A18,2),"月","火","水","木","金","土","日"))</f>
        <v/>
      </c>
      <c r="C18" s="15" t="n"/>
      <c r="D18" s="15" t="n"/>
      <c r="E18" s="15" t="n"/>
      <c r="F18" s="16">
        <f>IF(OR($N18="",$O18=""),"",MAX(0,MOD($O18-$N18,1)-IF($P18&lt;&gt;"",$P18,IF(MOD($O18-$N18,1)&gt;設定!$E$8,設定!$E$7,0))))</f>
        <v/>
      </c>
      <c r="G18" s="15" t="n"/>
      <c r="H18" s="15" t="n"/>
      <c r="I18" s="15" t="n"/>
      <c r="J18" s="15" t="n"/>
      <c r="K18" s="17">
        <f>IF($A18="","",IFERROR(VLOOKUP($A18,祝日リスト!$A$2:$C$40,3,0),""))</f>
        <v/>
      </c>
      <c r="L18" s="18" t="n"/>
      <c r="M18" s="19">
        <f>IF($A18="","",IF($K18&lt;&gt;"","祝",IF(WEEKDAY($A18,2)=6,"土",IF(WEEKDAY($A18,2)=7,"日","平"))))</f>
        <v/>
      </c>
      <c r="N18" s="19">
        <f>IF(NOT(ISNUMBER($C18)),"",IF($C18&lt;1,$C18,(INT($C18/100)*60+MOD($C18,100))/1440))</f>
        <v/>
      </c>
      <c r="O18" s="19">
        <f>IF(NOT(ISNUMBER($D18)),"",IF($D18&lt;1,$D18,(INT($D18/100)*60+MOD($D18,100))/1440))</f>
        <v/>
      </c>
      <c r="P18" s="19">
        <f>IF(NOT(ISNUMBER($E18)),"",IF($E18&lt;1,$E18,(INT($E18/100)*60+MOD($E18,100))/1440))</f>
        <v/>
      </c>
      <c r="Q18" s="19">
        <f>IF(NOT(ISNUMBER($G18)),"",IF($G18&lt;1,$G18,(INT($G18/100)*60+MOD($G18,100))/1440))</f>
        <v/>
      </c>
      <c r="R18" s="19">
        <f>IF(NOT(ISNUMBER($H18)),"",IF($H18&lt;1,$H18,(INT($H18/100)*60+MOD($H18,100))/1440))</f>
        <v/>
      </c>
      <c r="S18" s="19">
        <f>IF(NOT(ISNUMBER($I18)),"",IF($I18&lt;1,$I18,(INT($I18/100)*60+MOD($I18,100))/1440))</f>
        <v/>
      </c>
      <c r="T18" s="19">
        <f>IF(NOT(ISNUMBER($J18)),"",IF($J18&lt;1,$J18,(INT($J18/100)*60+MOD($J18,100))/1440))</f>
        <v/>
      </c>
    </row>
    <row r="19" ht="19" customHeight="1">
      <c r="A19" s="13">
        <f>IF(A18="","",IF(MONTH(A18+1)=$D$4,A18+1,""))</f>
        <v/>
      </c>
      <c r="B19" s="14">
        <f>IF($A19="","",CHOOSE(WEEKDAY($A19,2),"月","火","水","木","金","土","日"))</f>
        <v/>
      </c>
      <c r="C19" s="15" t="n"/>
      <c r="D19" s="15" t="n"/>
      <c r="E19" s="15" t="n"/>
      <c r="F19" s="16">
        <f>IF(OR($N19="",$O19=""),"",MAX(0,MOD($O19-$N19,1)-IF($P19&lt;&gt;"",$P19,IF(MOD($O19-$N19,1)&gt;設定!$E$8,設定!$E$7,0))))</f>
        <v/>
      </c>
      <c r="G19" s="15" t="n"/>
      <c r="H19" s="15" t="n"/>
      <c r="I19" s="15" t="n"/>
      <c r="J19" s="15" t="n"/>
      <c r="K19" s="17">
        <f>IF($A19="","",IFERROR(VLOOKUP($A19,祝日リスト!$A$2:$C$40,3,0),""))</f>
        <v/>
      </c>
      <c r="L19" s="18" t="n"/>
      <c r="M19" s="19">
        <f>IF($A19="","",IF($K19&lt;&gt;"","祝",IF(WEEKDAY($A19,2)=6,"土",IF(WEEKDAY($A19,2)=7,"日","平"))))</f>
        <v/>
      </c>
      <c r="N19" s="19">
        <f>IF(NOT(ISNUMBER($C19)),"",IF($C19&lt;1,$C19,(INT($C19/100)*60+MOD($C19,100))/1440))</f>
        <v/>
      </c>
      <c r="O19" s="19">
        <f>IF(NOT(ISNUMBER($D19)),"",IF($D19&lt;1,$D19,(INT($D19/100)*60+MOD($D19,100))/1440))</f>
        <v/>
      </c>
      <c r="P19" s="19">
        <f>IF(NOT(ISNUMBER($E19)),"",IF($E19&lt;1,$E19,(INT($E19/100)*60+MOD($E19,100))/1440))</f>
        <v/>
      </c>
      <c r="Q19" s="19">
        <f>IF(NOT(ISNUMBER($G19)),"",IF($G19&lt;1,$G19,(INT($G19/100)*60+MOD($G19,100))/1440))</f>
        <v/>
      </c>
      <c r="R19" s="19">
        <f>IF(NOT(ISNUMBER($H19)),"",IF($H19&lt;1,$H19,(INT($H19/100)*60+MOD($H19,100))/1440))</f>
        <v/>
      </c>
      <c r="S19" s="19">
        <f>IF(NOT(ISNUMBER($I19)),"",IF($I19&lt;1,$I19,(INT($I19/100)*60+MOD($I19,100))/1440))</f>
        <v/>
      </c>
      <c r="T19" s="19">
        <f>IF(NOT(ISNUMBER($J19)),"",IF($J19&lt;1,$J19,(INT($J19/100)*60+MOD($J19,100))/1440))</f>
        <v/>
      </c>
    </row>
    <row r="20" ht="19" customHeight="1">
      <c r="A20" s="13">
        <f>IF(A19="","",IF(MONTH(A19+1)=$D$4,A19+1,""))</f>
        <v/>
      </c>
      <c r="B20" s="14">
        <f>IF($A20="","",CHOOSE(WEEKDAY($A20,2),"月","火","水","木","金","土","日"))</f>
        <v/>
      </c>
      <c r="C20" s="15" t="n"/>
      <c r="D20" s="15" t="n"/>
      <c r="E20" s="15" t="n"/>
      <c r="F20" s="16">
        <f>IF(OR($N20="",$O20=""),"",MAX(0,MOD($O20-$N20,1)-IF($P20&lt;&gt;"",$P20,IF(MOD($O20-$N20,1)&gt;設定!$E$8,設定!$E$7,0))))</f>
        <v/>
      </c>
      <c r="G20" s="15" t="n"/>
      <c r="H20" s="15" t="n"/>
      <c r="I20" s="15" t="n"/>
      <c r="J20" s="15" t="n"/>
      <c r="K20" s="17">
        <f>IF($A20="","",IFERROR(VLOOKUP($A20,祝日リスト!$A$2:$C$40,3,0),""))</f>
        <v/>
      </c>
      <c r="L20" s="18" t="n"/>
      <c r="M20" s="19">
        <f>IF($A20="","",IF($K20&lt;&gt;"","祝",IF(WEEKDAY($A20,2)=6,"土",IF(WEEKDAY($A20,2)=7,"日","平"))))</f>
        <v/>
      </c>
      <c r="N20" s="19">
        <f>IF(NOT(ISNUMBER($C20)),"",IF($C20&lt;1,$C20,(INT($C20/100)*60+MOD($C20,100))/1440))</f>
        <v/>
      </c>
      <c r="O20" s="19">
        <f>IF(NOT(ISNUMBER($D20)),"",IF($D20&lt;1,$D20,(INT($D20/100)*60+MOD($D20,100))/1440))</f>
        <v/>
      </c>
      <c r="P20" s="19">
        <f>IF(NOT(ISNUMBER($E20)),"",IF($E20&lt;1,$E20,(INT($E20/100)*60+MOD($E20,100))/1440))</f>
        <v/>
      </c>
      <c r="Q20" s="19">
        <f>IF(NOT(ISNUMBER($G20)),"",IF($G20&lt;1,$G20,(INT($G20/100)*60+MOD($G20,100))/1440))</f>
        <v/>
      </c>
      <c r="R20" s="19">
        <f>IF(NOT(ISNUMBER($H20)),"",IF($H20&lt;1,$H20,(INT($H20/100)*60+MOD($H20,100))/1440))</f>
        <v/>
      </c>
      <c r="S20" s="19">
        <f>IF(NOT(ISNUMBER($I20)),"",IF($I20&lt;1,$I20,(INT($I20/100)*60+MOD($I20,100))/1440))</f>
        <v/>
      </c>
      <c r="T20" s="19">
        <f>IF(NOT(ISNUMBER($J20)),"",IF($J20&lt;1,$J20,(INT($J20/100)*60+MOD($J20,100))/1440))</f>
        <v/>
      </c>
    </row>
    <row r="21" ht="19" customHeight="1">
      <c r="A21" s="13">
        <f>IF(A20="","",IF(MONTH(A20+1)=$D$4,A20+1,""))</f>
        <v/>
      </c>
      <c r="B21" s="14">
        <f>IF($A21="","",CHOOSE(WEEKDAY($A21,2),"月","火","水","木","金","土","日"))</f>
        <v/>
      </c>
      <c r="C21" s="15" t="n"/>
      <c r="D21" s="15" t="n"/>
      <c r="E21" s="15" t="n"/>
      <c r="F21" s="16">
        <f>IF(OR($N21="",$O21=""),"",MAX(0,MOD($O21-$N21,1)-IF($P21&lt;&gt;"",$P21,IF(MOD($O21-$N21,1)&gt;設定!$E$8,設定!$E$7,0))))</f>
        <v/>
      </c>
      <c r="G21" s="15" t="n"/>
      <c r="H21" s="15" t="n"/>
      <c r="I21" s="15" t="n"/>
      <c r="J21" s="15" t="n"/>
      <c r="K21" s="17">
        <f>IF($A21="","",IFERROR(VLOOKUP($A21,祝日リスト!$A$2:$C$40,3,0),""))</f>
        <v/>
      </c>
      <c r="L21" s="18" t="n"/>
      <c r="M21" s="19">
        <f>IF($A21="","",IF($K21&lt;&gt;"","祝",IF(WEEKDAY($A21,2)=6,"土",IF(WEEKDAY($A21,2)=7,"日","平"))))</f>
        <v/>
      </c>
      <c r="N21" s="19">
        <f>IF(NOT(ISNUMBER($C21)),"",IF($C21&lt;1,$C21,(INT($C21/100)*60+MOD($C21,100))/1440))</f>
        <v/>
      </c>
      <c r="O21" s="19">
        <f>IF(NOT(ISNUMBER($D21)),"",IF($D21&lt;1,$D21,(INT($D21/100)*60+MOD($D21,100))/1440))</f>
        <v/>
      </c>
      <c r="P21" s="19">
        <f>IF(NOT(ISNUMBER($E21)),"",IF($E21&lt;1,$E21,(INT($E21/100)*60+MOD($E21,100))/1440))</f>
        <v/>
      </c>
      <c r="Q21" s="19">
        <f>IF(NOT(ISNUMBER($G21)),"",IF($G21&lt;1,$G21,(INT($G21/100)*60+MOD($G21,100))/1440))</f>
        <v/>
      </c>
      <c r="R21" s="19">
        <f>IF(NOT(ISNUMBER($H21)),"",IF($H21&lt;1,$H21,(INT($H21/100)*60+MOD($H21,100))/1440))</f>
        <v/>
      </c>
      <c r="S21" s="19">
        <f>IF(NOT(ISNUMBER($I21)),"",IF($I21&lt;1,$I21,(INT($I21/100)*60+MOD($I21,100))/1440))</f>
        <v/>
      </c>
      <c r="T21" s="19">
        <f>IF(NOT(ISNUMBER($J21)),"",IF($J21&lt;1,$J21,(INT($J21/100)*60+MOD($J21,100))/1440))</f>
        <v/>
      </c>
    </row>
    <row r="22" ht="19" customHeight="1">
      <c r="A22" s="13">
        <f>IF(A21="","",IF(MONTH(A21+1)=$D$4,A21+1,""))</f>
        <v/>
      </c>
      <c r="B22" s="14">
        <f>IF($A22="","",CHOOSE(WEEKDAY($A22,2),"月","火","水","木","金","土","日"))</f>
        <v/>
      </c>
      <c r="C22" s="15" t="n"/>
      <c r="D22" s="15" t="n"/>
      <c r="E22" s="15" t="n"/>
      <c r="F22" s="16">
        <f>IF(OR($N22="",$O22=""),"",MAX(0,MOD($O22-$N22,1)-IF($P22&lt;&gt;"",$P22,IF(MOD($O22-$N22,1)&gt;設定!$E$8,設定!$E$7,0))))</f>
        <v/>
      </c>
      <c r="G22" s="15" t="n"/>
      <c r="H22" s="15" t="n"/>
      <c r="I22" s="15" t="n"/>
      <c r="J22" s="15" t="n"/>
      <c r="K22" s="17">
        <f>IF($A22="","",IFERROR(VLOOKUP($A22,祝日リスト!$A$2:$C$40,3,0),""))</f>
        <v/>
      </c>
      <c r="L22" s="18" t="n"/>
      <c r="M22" s="19">
        <f>IF($A22="","",IF($K22&lt;&gt;"","祝",IF(WEEKDAY($A22,2)=6,"土",IF(WEEKDAY($A22,2)=7,"日","平"))))</f>
        <v/>
      </c>
      <c r="N22" s="19">
        <f>IF(NOT(ISNUMBER($C22)),"",IF($C22&lt;1,$C22,(INT($C22/100)*60+MOD($C22,100))/1440))</f>
        <v/>
      </c>
      <c r="O22" s="19">
        <f>IF(NOT(ISNUMBER($D22)),"",IF($D22&lt;1,$D22,(INT($D22/100)*60+MOD($D22,100))/1440))</f>
        <v/>
      </c>
      <c r="P22" s="19">
        <f>IF(NOT(ISNUMBER($E22)),"",IF($E22&lt;1,$E22,(INT($E22/100)*60+MOD($E22,100))/1440))</f>
        <v/>
      </c>
      <c r="Q22" s="19">
        <f>IF(NOT(ISNUMBER($G22)),"",IF($G22&lt;1,$G22,(INT($G22/100)*60+MOD($G22,100))/1440))</f>
        <v/>
      </c>
      <c r="R22" s="19">
        <f>IF(NOT(ISNUMBER($H22)),"",IF($H22&lt;1,$H22,(INT($H22/100)*60+MOD($H22,100))/1440))</f>
        <v/>
      </c>
      <c r="S22" s="19">
        <f>IF(NOT(ISNUMBER($I22)),"",IF($I22&lt;1,$I22,(INT($I22/100)*60+MOD($I22,100))/1440))</f>
        <v/>
      </c>
      <c r="T22" s="19">
        <f>IF(NOT(ISNUMBER($J22)),"",IF($J22&lt;1,$J22,(INT($J22/100)*60+MOD($J22,100))/1440))</f>
        <v/>
      </c>
    </row>
    <row r="23" ht="19" customHeight="1">
      <c r="A23" s="13">
        <f>IF(A22="","",IF(MONTH(A22+1)=$D$4,A22+1,""))</f>
        <v/>
      </c>
      <c r="B23" s="14">
        <f>IF($A23="","",CHOOSE(WEEKDAY($A23,2),"月","火","水","木","金","土","日"))</f>
        <v/>
      </c>
      <c r="C23" s="15" t="n"/>
      <c r="D23" s="15" t="n"/>
      <c r="E23" s="15" t="n"/>
      <c r="F23" s="16">
        <f>IF(OR($N23="",$O23=""),"",MAX(0,MOD($O23-$N23,1)-IF($P23&lt;&gt;"",$P23,IF(MOD($O23-$N23,1)&gt;設定!$E$8,設定!$E$7,0))))</f>
        <v/>
      </c>
      <c r="G23" s="15" t="n"/>
      <c r="H23" s="15" t="n"/>
      <c r="I23" s="15" t="n"/>
      <c r="J23" s="15" t="n"/>
      <c r="K23" s="17">
        <f>IF($A23="","",IFERROR(VLOOKUP($A23,祝日リスト!$A$2:$C$40,3,0),""))</f>
        <v/>
      </c>
      <c r="L23" s="18" t="n"/>
      <c r="M23" s="19">
        <f>IF($A23="","",IF($K23&lt;&gt;"","祝",IF(WEEKDAY($A23,2)=6,"土",IF(WEEKDAY($A23,2)=7,"日","平"))))</f>
        <v/>
      </c>
      <c r="N23" s="19">
        <f>IF(NOT(ISNUMBER($C23)),"",IF($C23&lt;1,$C23,(INT($C23/100)*60+MOD($C23,100))/1440))</f>
        <v/>
      </c>
      <c r="O23" s="19">
        <f>IF(NOT(ISNUMBER($D23)),"",IF($D23&lt;1,$D23,(INT($D23/100)*60+MOD($D23,100))/1440))</f>
        <v/>
      </c>
      <c r="P23" s="19">
        <f>IF(NOT(ISNUMBER($E23)),"",IF($E23&lt;1,$E23,(INT($E23/100)*60+MOD($E23,100))/1440))</f>
        <v/>
      </c>
      <c r="Q23" s="19">
        <f>IF(NOT(ISNUMBER($G23)),"",IF($G23&lt;1,$G23,(INT($G23/100)*60+MOD($G23,100))/1440))</f>
        <v/>
      </c>
      <c r="R23" s="19">
        <f>IF(NOT(ISNUMBER($H23)),"",IF($H23&lt;1,$H23,(INT($H23/100)*60+MOD($H23,100))/1440))</f>
        <v/>
      </c>
      <c r="S23" s="19">
        <f>IF(NOT(ISNUMBER($I23)),"",IF($I23&lt;1,$I23,(INT($I23/100)*60+MOD($I23,100))/1440))</f>
        <v/>
      </c>
      <c r="T23" s="19">
        <f>IF(NOT(ISNUMBER($J23)),"",IF($J23&lt;1,$J23,(INT($J23/100)*60+MOD($J23,100))/1440))</f>
        <v/>
      </c>
    </row>
    <row r="24" ht="19" customHeight="1">
      <c r="A24" s="13">
        <f>IF(A23="","",IF(MONTH(A23+1)=$D$4,A23+1,""))</f>
        <v/>
      </c>
      <c r="B24" s="14">
        <f>IF($A24="","",CHOOSE(WEEKDAY($A24,2),"月","火","水","木","金","土","日"))</f>
        <v/>
      </c>
      <c r="C24" s="15" t="n"/>
      <c r="D24" s="15" t="n"/>
      <c r="E24" s="15" t="n"/>
      <c r="F24" s="16">
        <f>IF(OR($N24="",$O24=""),"",MAX(0,MOD($O24-$N24,1)-IF($P24&lt;&gt;"",$P24,IF(MOD($O24-$N24,1)&gt;設定!$E$8,設定!$E$7,0))))</f>
        <v/>
      </c>
      <c r="G24" s="15" t="n"/>
      <c r="H24" s="15" t="n"/>
      <c r="I24" s="15" t="n"/>
      <c r="J24" s="15" t="n"/>
      <c r="K24" s="17">
        <f>IF($A24="","",IFERROR(VLOOKUP($A24,祝日リスト!$A$2:$C$40,3,0),""))</f>
        <v/>
      </c>
      <c r="L24" s="18" t="n"/>
      <c r="M24" s="19">
        <f>IF($A24="","",IF($K24&lt;&gt;"","祝",IF(WEEKDAY($A24,2)=6,"土",IF(WEEKDAY($A24,2)=7,"日","平"))))</f>
        <v/>
      </c>
      <c r="N24" s="19">
        <f>IF(NOT(ISNUMBER($C24)),"",IF($C24&lt;1,$C24,(INT($C24/100)*60+MOD($C24,100))/1440))</f>
        <v/>
      </c>
      <c r="O24" s="19">
        <f>IF(NOT(ISNUMBER($D24)),"",IF($D24&lt;1,$D24,(INT($D24/100)*60+MOD($D24,100))/1440))</f>
        <v/>
      </c>
      <c r="P24" s="19">
        <f>IF(NOT(ISNUMBER($E24)),"",IF($E24&lt;1,$E24,(INT($E24/100)*60+MOD($E24,100))/1440))</f>
        <v/>
      </c>
      <c r="Q24" s="19">
        <f>IF(NOT(ISNUMBER($G24)),"",IF($G24&lt;1,$G24,(INT($G24/100)*60+MOD($G24,100))/1440))</f>
        <v/>
      </c>
      <c r="R24" s="19">
        <f>IF(NOT(ISNUMBER($H24)),"",IF($H24&lt;1,$H24,(INT($H24/100)*60+MOD($H24,100))/1440))</f>
        <v/>
      </c>
      <c r="S24" s="19">
        <f>IF(NOT(ISNUMBER($I24)),"",IF($I24&lt;1,$I24,(INT($I24/100)*60+MOD($I24,100))/1440))</f>
        <v/>
      </c>
      <c r="T24" s="19">
        <f>IF(NOT(ISNUMBER($J24)),"",IF($J24&lt;1,$J24,(INT($J24/100)*60+MOD($J24,100))/1440))</f>
        <v/>
      </c>
    </row>
    <row r="25" ht="19" customHeight="1">
      <c r="A25" s="13">
        <f>IF(A24="","",IF(MONTH(A24+1)=$D$4,A24+1,""))</f>
        <v/>
      </c>
      <c r="B25" s="14">
        <f>IF($A25="","",CHOOSE(WEEKDAY($A25,2),"月","火","水","木","金","土","日"))</f>
        <v/>
      </c>
      <c r="C25" s="15" t="n"/>
      <c r="D25" s="15" t="n"/>
      <c r="E25" s="15" t="n"/>
      <c r="F25" s="16">
        <f>IF(OR($N25="",$O25=""),"",MAX(0,MOD($O25-$N25,1)-IF($P25&lt;&gt;"",$P25,IF(MOD($O25-$N25,1)&gt;設定!$E$8,設定!$E$7,0))))</f>
        <v/>
      </c>
      <c r="G25" s="15" t="n"/>
      <c r="H25" s="15" t="n"/>
      <c r="I25" s="15" t="n"/>
      <c r="J25" s="15" t="n"/>
      <c r="K25" s="17">
        <f>IF($A25="","",IFERROR(VLOOKUP($A25,祝日リスト!$A$2:$C$40,3,0),""))</f>
        <v/>
      </c>
      <c r="L25" s="18" t="n"/>
      <c r="M25" s="19">
        <f>IF($A25="","",IF($K25&lt;&gt;"","祝",IF(WEEKDAY($A25,2)=6,"土",IF(WEEKDAY($A25,2)=7,"日","平"))))</f>
        <v/>
      </c>
      <c r="N25" s="19">
        <f>IF(NOT(ISNUMBER($C25)),"",IF($C25&lt;1,$C25,(INT($C25/100)*60+MOD($C25,100))/1440))</f>
        <v/>
      </c>
      <c r="O25" s="19">
        <f>IF(NOT(ISNUMBER($D25)),"",IF($D25&lt;1,$D25,(INT($D25/100)*60+MOD($D25,100))/1440))</f>
        <v/>
      </c>
      <c r="P25" s="19">
        <f>IF(NOT(ISNUMBER($E25)),"",IF($E25&lt;1,$E25,(INT($E25/100)*60+MOD($E25,100))/1440))</f>
        <v/>
      </c>
      <c r="Q25" s="19">
        <f>IF(NOT(ISNUMBER($G25)),"",IF($G25&lt;1,$G25,(INT($G25/100)*60+MOD($G25,100))/1440))</f>
        <v/>
      </c>
      <c r="R25" s="19">
        <f>IF(NOT(ISNUMBER($H25)),"",IF($H25&lt;1,$H25,(INT($H25/100)*60+MOD($H25,100))/1440))</f>
        <v/>
      </c>
      <c r="S25" s="19">
        <f>IF(NOT(ISNUMBER($I25)),"",IF($I25&lt;1,$I25,(INT($I25/100)*60+MOD($I25,100))/1440))</f>
        <v/>
      </c>
      <c r="T25" s="19">
        <f>IF(NOT(ISNUMBER($J25)),"",IF($J25&lt;1,$J25,(INT($J25/100)*60+MOD($J25,100))/1440))</f>
        <v/>
      </c>
    </row>
    <row r="26" ht="19" customHeight="1">
      <c r="A26" s="13">
        <f>IF(A25="","",IF(MONTH(A25+1)=$D$4,A25+1,""))</f>
        <v/>
      </c>
      <c r="B26" s="14">
        <f>IF($A26="","",CHOOSE(WEEKDAY($A26,2),"月","火","水","木","金","土","日"))</f>
        <v/>
      </c>
      <c r="C26" s="15" t="n"/>
      <c r="D26" s="15" t="n"/>
      <c r="E26" s="15" t="n"/>
      <c r="F26" s="16">
        <f>IF(OR($N26="",$O26=""),"",MAX(0,MOD($O26-$N26,1)-IF($P26&lt;&gt;"",$P26,IF(MOD($O26-$N26,1)&gt;設定!$E$8,設定!$E$7,0))))</f>
        <v/>
      </c>
      <c r="G26" s="15" t="n"/>
      <c r="H26" s="15" t="n"/>
      <c r="I26" s="15" t="n"/>
      <c r="J26" s="15" t="n"/>
      <c r="K26" s="17">
        <f>IF($A26="","",IFERROR(VLOOKUP($A26,祝日リスト!$A$2:$C$40,3,0),""))</f>
        <v/>
      </c>
      <c r="L26" s="18" t="n"/>
      <c r="M26" s="19">
        <f>IF($A26="","",IF($K26&lt;&gt;"","祝",IF(WEEKDAY($A26,2)=6,"土",IF(WEEKDAY($A26,2)=7,"日","平"))))</f>
        <v/>
      </c>
      <c r="N26" s="19">
        <f>IF(NOT(ISNUMBER($C26)),"",IF($C26&lt;1,$C26,(INT($C26/100)*60+MOD($C26,100))/1440))</f>
        <v/>
      </c>
      <c r="O26" s="19">
        <f>IF(NOT(ISNUMBER($D26)),"",IF($D26&lt;1,$D26,(INT($D26/100)*60+MOD($D26,100))/1440))</f>
        <v/>
      </c>
      <c r="P26" s="19">
        <f>IF(NOT(ISNUMBER($E26)),"",IF($E26&lt;1,$E26,(INT($E26/100)*60+MOD($E26,100))/1440))</f>
        <v/>
      </c>
      <c r="Q26" s="19">
        <f>IF(NOT(ISNUMBER($G26)),"",IF($G26&lt;1,$G26,(INT($G26/100)*60+MOD($G26,100))/1440))</f>
        <v/>
      </c>
      <c r="R26" s="19">
        <f>IF(NOT(ISNUMBER($H26)),"",IF($H26&lt;1,$H26,(INT($H26/100)*60+MOD($H26,100))/1440))</f>
        <v/>
      </c>
      <c r="S26" s="19">
        <f>IF(NOT(ISNUMBER($I26)),"",IF($I26&lt;1,$I26,(INT($I26/100)*60+MOD($I26,100))/1440))</f>
        <v/>
      </c>
      <c r="T26" s="19">
        <f>IF(NOT(ISNUMBER($J26)),"",IF($J26&lt;1,$J26,(INT($J26/100)*60+MOD($J26,100))/1440))</f>
        <v/>
      </c>
    </row>
    <row r="27" ht="19" customHeight="1">
      <c r="A27" s="13">
        <f>IF(A26="","",IF(MONTH(A26+1)=$D$4,A26+1,""))</f>
        <v/>
      </c>
      <c r="B27" s="14">
        <f>IF($A27="","",CHOOSE(WEEKDAY($A27,2),"月","火","水","木","金","土","日"))</f>
        <v/>
      </c>
      <c r="C27" s="15" t="n"/>
      <c r="D27" s="15" t="n"/>
      <c r="E27" s="15" t="n"/>
      <c r="F27" s="16">
        <f>IF(OR($N27="",$O27=""),"",MAX(0,MOD($O27-$N27,1)-IF($P27&lt;&gt;"",$P27,IF(MOD($O27-$N27,1)&gt;設定!$E$8,設定!$E$7,0))))</f>
        <v/>
      </c>
      <c r="G27" s="15" t="n"/>
      <c r="H27" s="15" t="n"/>
      <c r="I27" s="15" t="n"/>
      <c r="J27" s="15" t="n"/>
      <c r="K27" s="17">
        <f>IF($A27="","",IFERROR(VLOOKUP($A27,祝日リスト!$A$2:$C$40,3,0),""))</f>
        <v/>
      </c>
      <c r="L27" s="18" t="n"/>
      <c r="M27" s="19">
        <f>IF($A27="","",IF($K27&lt;&gt;"","祝",IF(WEEKDAY($A27,2)=6,"土",IF(WEEKDAY($A27,2)=7,"日","平"))))</f>
        <v/>
      </c>
      <c r="N27" s="19">
        <f>IF(NOT(ISNUMBER($C27)),"",IF($C27&lt;1,$C27,(INT($C27/100)*60+MOD($C27,100))/1440))</f>
        <v/>
      </c>
      <c r="O27" s="19">
        <f>IF(NOT(ISNUMBER($D27)),"",IF($D27&lt;1,$D27,(INT($D27/100)*60+MOD($D27,100))/1440))</f>
        <v/>
      </c>
      <c r="P27" s="19">
        <f>IF(NOT(ISNUMBER($E27)),"",IF($E27&lt;1,$E27,(INT($E27/100)*60+MOD($E27,100))/1440))</f>
        <v/>
      </c>
      <c r="Q27" s="19">
        <f>IF(NOT(ISNUMBER($G27)),"",IF($G27&lt;1,$G27,(INT($G27/100)*60+MOD($G27,100))/1440))</f>
        <v/>
      </c>
      <c r="R27" s="19">
        <f>IF(NOT(ISNUMBER($H27)),"",IF($H27&lt;1,$H27,(INT($H27/100)*60+MOD($H27,100))/1440))</f>
        <v/>
      </c>
      <c r="S27" s="19">
        <f>IF(NOT(ISNUMBER($I27)),"",IF($I27&lt;1,$I27,(INT($I27/100)*60+MOD($I27,100))/1440))</f>
        <v/>
      </c>
      <c r="T27" s="19">
        <f>IF(NOT(ISNUMBER($J27)),"",IF($J27&lt;1,$J27,(INT($J27/100)*60+MOD($J27,100))/1440))</f>
        <v/>
      </c>
    </row>
    <row r="28" ht="19" customHeight="1">
      <c r="A28" s="13">
        <f>IF(A27="","",IF(MONTH(A27+1)=$D$4,A27+1,""))</f>
        <v/>
      </c>
      <c r="B28" s="14">
        <f>IF($A28="","",CHOOSE(WEEKDAY($A28,2),"月","火","水","木","金","土","日"))</f>
        <v/>
      </c>
      <c r="C28" s="15" t="n"/>
      <c r="D28" s="15" t="n"/>
      <c r="E28" s="15" t="n"/>
      <c r="F28" s="16">
        <f>IF(OR($N28="",$O28=""),"",MAX(0,MOD($O28-$N28,1)-IF($P28&lt;&gt;"",$P28,IF(MOD($O28-$N28,1)&gt;設定!$E$8,設定!$E$7,0))))</f>
        <v/>
      </c>
      <c r="G28" s="15" t="n"/>
      <c r="H28" s="15" t="n"/>
      <c r="I28" s="15" t="n"/>
      <c r="J28" s="15" t="n"/>
      <c r="K28" s="17">
        <f>IF($A28="","",IFERROR(VLOOKUP($A28,祝日リスト!$A$2:$C$40,3,0),""))</f>
        <v/>
      </c>
      <c r="L28" s="18" t="n"/>
      <c r="M28" s="19">
        <f>IF($A28="","",IF($K28&lt;&gt;"","祝",IF(WEEKDAY($A28,2)=6,"土",IF(WEEKDAY($A28,2)=7,"日","平"))))</f>
        <v/>
      </c>
      <c r="N28" s="19">
        <f>IF(NOT(ISNUMBER($C28)),"",IF($C28&lt;1,$C28,(INT($C28/100)*60+MOD($C28,100))/1440))</f>
        <v/>
      </c>
      <c r="O28" s="19">
        <f>IF(NOT(ISNUMBER($D28)),"",IF($D28&lt;1,$D28,(INT($D28/100)*60+MOD($D28,100))/1440))</f>
        <v/>
      </c>
      <c r="P28" s="19">
        <f>IF(NOT(ISNUMBER($E28)),"",IF($E28&lt;1,$E28,(INT($E28/100)*60+MOD($E28,100))/1440))</f>
        <v/>
      </c>
      <c r="Q28" s="19">
        <f>IF(NOT(ISNUMBER($G28)),"",IF($G28&lt;1,$G28,(INT($G28/100)*60+MOD($G28,100))/1440))</f>
        <v/>
      </c>
      <c r="R28" s="19">
        <f>IF(NOT(ISNUMBER($H28)),"",IF($H28&lt;1,$H28,(INT($H28/100)*60+MOD($H28,100))/1440))</f>
        <v/>
      </c>
      <c r="S28" s="19">
        <f>IF(NOT(ISNUMBER($I28)),"",IF($I28&lt;1,$I28,(INT($I28/100)*60+MOD($I28,100))/1440))</f>
        <v/>
      </c>
      <c r="T28" s="19">
        <f>IF(NOT(ISNUMBER($J28)),"",IF($J28&lt;1,$J28,(INT($J28/100)*60+MOD($J28,100))/1440))</f>
        <v/>
      </c>
    </row>
    <row r="29" ht="19" customHeight="1">
      <c r="A29" s="13">
        <f>IF(A28="","",IF(MONTH(A28+1)=$D$4,A28+1,""))</f>
        <v/>
      </c>
      <c r="B29" s="14">
        <f>IF($A29="","",CHOOSE(WEEKDAY($A29,2),"月","火","水","木","金","土","日"))</f>
        <v/>
      </c>
      <c r="C29" s="15" t="n"/>
      <c r="D29" s="15" t="n"/>
      <c r="E29" s="15" t="n"/>
      <c r="F29" s="16">
        <f>IF(OR($N29="",$O29=""),"",MAX(0,MOD($O29-$N29,1)-IF($P29&lt;&gt;"",$P29,IF(MOD($O29-$N29,1)&gt;設定!$E$8,設定!$E$7,0))))</f>
        <v/>
      </c>
      <c r="G29" s="15" t="n"/>
      <c r="H29" s="15" t="n"/>
      <c r="I29" s="15" t="n"/>
      <c r="J29" s="15" t="n"/>
      <c r="K29" s="17">
        <f>IF($A29="","",IFERROR(VLOOKUP($A29,祝日リスト!$A$2:$C$40,3,0),""))</f>
        <v/>
      </c>
      <c r="L29" s="18" t="n"/>
      <c r="M29" s="19">
        <f>IF($A29="","",IF($K29&lt;&gt;"","祝",IF(WEEKDAY($A29,2)=6,"土",IF(WEEKDAY($A29,2)=7,"日","平"))))</f>
        <v/>
      </c>
      <c r="N29" s="19">
        <f>IF(NOT(ISNUMBER($C29)),"",IF($C29&lt;1,$C29,(INT($C29/100)*60+MOD($C29,100))/1440))</f>
        <v/>
      </c>
      <c r="O29" s="19">
        <f>IF(NOT(ISNUMBER($D29)),"",IF($D29&lt;1,$D29,(INT($D29/100)*60+MOD($D29,100))/1440))</f>
        <v/>
      </c>
      <c r="P29" s="19">
        <f>IF(NOT(ISNUMBER($E29)),"",IF($E29&lt;1,$E29,(INT($E29/100)*60+MOD($E29,100))/1440))</f>
        <v/>
      </c>
      <c r="Q29" s="19">
        <f>IF(NOT(ISNUMBER($G29)),"",IF($G29&lt;1,$G29,(INT($G29/100)*60+MOD($G29,100))/1440))</f>
        <v/>
      </c>
      <c r="R29" s="19">
        <f>IF(NOT(ISNUMBER($H29)),"",IF($H29&lt;1,$H29,(INT($H29/100)*60+MOD($H29,100))/1440))</f>
        <v/>
      </c>
      <c r="S29" s="19">
        <f>IF(NOT(ISNUMBER($I29)),"",IF($I29&lt;1,$I29,(INT($I29/100)*60+MOD($I29,100))/1440))</f>
        <v/>
      </c>
      <c r="T29" s="19">
        <f>IF(NOT(ISNUMBER($J29)),"",IF($J29&lt;1,$J29,(INT($J29/100)*60+MOD($J29,100))/1440))</f>
        <v/>
      </c>
    </row>
    <row r="30" ht="19" customHeight="1">
      <c r="A30" s="13">
        <f>IF(A29="","",IF(MONTH(A29+1)=$D$4,A29+1,""))</f>
        <v/>
      </c>
      <c r="B30" s="14">
        <f>IF($A30="","",CHOOSE(WEEKDAY($A30,2),"月","火","水","木","金","土","日"))</f>
        <v/>
      </c>
      <c r="C30" s="15" t="n"/>
      <c r="D30" s="15" t="n"/>
      <c r="E30" s="15" t="n"/>
      <c r="F30" s="16">
        <f>IF(OR($N30="",$O30=""),"",MAX(0,MOD($O30-$N30,1)-IF($P30&lt;&gt;"",$P30,IF(MOD($O30-$N30,1)&gt;設定!$E$8,設定!$E$7,0))))</f>
        <v/>
      </c>
      <c r="G30" s="15" t="n"/>
      <c r="H30" s="15" t="n"/>
      <c r="I30" s="15" t="n"/>
      <c r="J30" s="15" t="n"/>
      <c r="K30" s="17">
        <f>IF($A30="","",IFERROR(VLOOKUP($A30,祝日リスト!$A$2:$C$40,3,0),""))</f>
        <v/>
      </c>
      <c r="L30" s="18" t="n"/>
      <c r="M30" s="19">
        <f>IF($A30="","",IF($K30&lt;&gt;"","祝",IF(WEEKDAY($A30,2)=6,"土",IF(WEEKDAY($A30,2)=7,"日","平"))))</f>
        <v/>
      </c>
      <c r="N30" s="19">
        <f>IF(NOT(ISNUMBER($C30)),"",IF($C30&lt;1,$C30,(INT($C30/100)*60+MOD($C30,100))/1440))</f>
        <v/>
      </c>
      <c r="O30" s="19">
        <f>IF(NOT(ISNUMBER($D30)),"",IF($D30&lt;1,$D30,(INT($D30/100)*60+MOD($D30,100))/1440))</f>
        <v/>
      </c>
      <c r="P30" s="19">
        <f>IF(NOT(ISNUMBER($E30)),"",IF($E30&lt;1,$E30,(INT($E30/100)*60+MOD($E30,100))/1440))</f>
        <v/>
      </c>
      <c r="Q30" s="19">
        <f>IF(NOT(ISNUMBER($G30)),"",IF($G30&lt;1,$G30,(INT($G30/100)*60+MOD($G30,100))/1440))</f>
        <v/>
      </c>
      <c r="R30" s="19">
        <f>IF(NOT(ISNUMBER($H30)),"",IF($H30&lt;1,$H30,(INT($H30/100)*60+MOD($H30,100))/1440))</f>
        <v/>
      </c>
      <c r="S30" s="19">
        <f>IF(NOT(ISNUMBER($I30)),"",IF($I30&lt;1,$I30,(INT($I30/100)*60+MOD($I30,100))/1440))</f>
        <v/>
      </c>
      <c r="T30" s="19">
        <f>IF(NOT(ISNUMBER($J30)),"",IF($J30&lt;1,$J30,(INT($J30/100)*60+MOD($J30,100))/1440))</f>
        <v/>
      </c>
    </row>
    <row r="31" ht="19" customHeight="1">
      <c r="A31" s="13">
        <f>IF(A30="","",IF(MONTH(A30+1)=$D$4,A30+1,""))</f>
        <v/>
      </c>
      <c r="B31" s="14">
        <f>IF($A31="","",CHOOSE(WEEKDAY($A31,2),"月","火","水","木","金","土","日"))</f>
        <v/>
      </c>
      <c r="C31" s="15" t="n"/>
      <c r="D31" s="15" t="n"/>
      <c r="E31" s="15" t="n"/>
      <c r="F31" s="16">
        <f>IF(OR($N31="",$O31=""),"",MAX(0,MOD($O31-$N31,1)-IF($P31&lt;&gt;"",$P31,IF(MOD($O31-$N31,1)&gt;設定!$E$8,設定!$E$7,0))))</f>
        <v/>
      </c>
      <c r="G31" s="15" t="n"/>
      <c r="H31" s="15" t="n"/>
      <c r="I31" s="15" t="n"/>
      <c r="J31" s="15" t="n"/>
      <c r="K31" s="17">
        <f>IF($A31="","",IFERROR(VLOOKUP($A31,祝日リスト!$A$2:$C$40,3,0),""))</f>
        <v/>
      </c>
      <c r="L31" s="18" t="n"/>
      <c r="M31" s="19">
        <f>IF($A31="","",IF($K31&lt;&gt;"","祝",IF(WEEKDAY($A31,2)=6,"土",IF(WEEKDAY($A31,2)=7,"日","平"))))</f>
        <v/>
      </c>
      <c r="N31" s="19">
        <f>IF(NOT(ISNUMBER($C31)),"",IF($C31&lt;1,$C31,(INT($C31/100)*60+MOD($C31,100))/1440))</f>
        <v/>
      </c>
      <c r="O31" s="19">
        <f>IF(NOT(ISNUMBER($D31)),"",IF($D31&lt;1,$D31,(INT($D31/100)*60+MOD($D31,100))/1440))</f>
        <v/>
      </c>
      <c r="P31" s="19">
        <f>IF(NOT(ISNUMBER($E31)),"",IF($E31&lt;1,$E31,(INT($E31/100)*60+MOD($E31,100))/1440))</f>
        <v/>
      </c>
      <c r="Q31" s="19">
        <f>IF(NOT(ISNUMBER($G31)),"",IF($G31&lt;1,$G31,(INT($G31/100)*60+MOD($G31,100))/1440))</f>
        <v/>
      </c>
      <c r="R31" s="19">
        <f>IF(NOT(ISNUMBER($H31)),"",IF($H31&lt;1,$H31,(INT($H31/100)*60+MOD($H31,100))/1440))</f>
        <v/>
      </c>
      <c r="S31" s="19">
        <f>IF(NOT(ISNUMBER($I31)),"",IF($I31&lt;1,$I31,(INT($I31/100)*60+MOD($I31,100))/1440))</f>
        <v/>
      </c>
      <c r="T31" s="19">
        <f>IF(NOT(ISNUMBER($J31)),"",IF($J31&lt;1,$J31,(INT($J31/100)*60+MOD($J31,100))/1440))</f>
        <v/>
      </c>
    </row>
    <row r="32" ht="19" customHeight="1">
      <c r="A32" s="13">
        <f>IF(A31="","",IF(MONTH(A31+1)=$D$4,A31+1,""))</f>
        <v/>
      </c>
      <c r="B32" s="14">
        <f>IF($A32="","",CHOOSE(WEEKDAY($A32,2),"月","火","水","木","金","土","日"))</f>
        <v/>
      </c>
      <c r="C32" s="15" t="n"/>
      <c r="D32" s="15" t="n"/>
      <c r="E32" s="15" t="n"/>
      <c r="F32" s="16">
        <f>IF(OR($N32="",$O32=""),"",MAX(0,MOD($O32-$N32,1)-IF($P32&lt;&gt;"",$P32,IF(MOD($O32-$N32,1)&gt;設定!$E$8,設定!$E$7,0))))</f>
        <v/>
      </c>
      <c r="G32" s="15" t="n"/>
      <c r="H32" s="15" t="n"/>
      <c r="I32" s="15" t="n"/>
      <c r="J32" s="15" t="n"/>
      <c r="K32" s="17">
        <f>IF($A32="","",IFERROR(VLOOKUP($A32,祝日リスト!$A$2:$C$40,3,0),""))</f>
        <v/>
      </c>
      <c r="L32" s="18" t="n"/>
      <c r="M32" s="19">
        <f>IF($A32="","",IF($K32&lt;&gt;"","祝",IF(WEEKDAY($A32,2)=6,"土",IF(WEEKDAY($A32,2)=7,"日","平"))))</f>
        <v/>
      </c>
      <c r="N32" s="19">
        <f>IF(NOT(ISNUMBER($C32)),"",IF($C32&lt;1,$C32,(INT($C32/100)*60+MOD($C32,100))/1440))</f>
        <v/>
      </c>
      <c r="O32" s="19">
        <f>IF(NOT(ISNUMBER($D32)),"",IF($D32&lt;1,$D32,(INT($D32/100)*60+MOD($D32,100))/1440))</f>
        <v/>
      </c>
      <c r="P32" s="19">
        <f>IF(NOT(ISNUMBER($E32)),"",IF($E32&lt;1,$E32,(INT($E32/100)*60+MOD($E32,100))/1440))</f>
        <v/>
      </c>
      <c r="Q32" s="19">
        <f>IF(NOT(ISNUMBER($G32)),"",IF($G32&lt;1,$G32,(INT($G32/100)*60+MOD($G32,100))/1440))</f>
        <v/>
      </c>
      <c r="R32" s="19">
        <f>IF(NOT(ISNUMBER($H32)),"",IF($H32&lt;1,$H32,(INT($H32/100)*60+MOD($H32,100))/1440))</f>
        <v/>
      </c>
      <c r="S32" s="19">
        <f>IF(NOT(ISNUMBER($I32)),"",IF($I32&lt;1,$I32,(INT($I32/100)*60+MOD($I32,100))/1440))</f>
        <v/>
      </c>
      <c r="T32" s="19">
        <f>IF(NOT(ISNUMBER($J32)),"",IF($J32&lt;1,$J32,(INT($J32/100)*60+MOD($J32,100))/1440))</f>
        <v/>
      </c>
    </row>
    <row r="33" ht="19" customHeight="1">
      <c r="A33" s="13">
        <f>IF(A32="","",IF(MONTH(A32+1)=$D$4,A32+1,""))</f>
        <v/>
      </c>
      <c r="B33" s="14">
        <f>IF($A33="","",CHOOSE(WEEKDAY($A33,2),"月","火","水","木","金","土","日"))</f>
        <v/>
      </c>
      <c r="C33" s="15" t="n"/>
      <c r="D33" s="15" t="n"/>
      <c r="E33" s="15" t="n"/>
      <c r="F33" s="16">
        <f>IF(OR($N33="",$O33=""),"",MAX(0,MOD($O33-$N33,1)-IF($P33&lt;&gt;"",$P33,IF(MOD($O33-$N33,1)&gt;設定!$E$8,設定!$E$7,0))))</f>
        <v/>
      </c>
      <c r="G33" s="15" t="n"/>
      <c r="H33" s="15" t="n"/>
      <c r="I33" s="15" t="n"/>
      <c r="J33" s="15" t="n"/>
      <c r="K33" s="17">
        <f>IF($A33="","",IFERROR(VLOOKUP($A33,祝日リスト!$A$2:$C$40,3,0),""))</f>
        <v/>
      </c>
      <c r="L33" s="18" t="n"/>
      <c r="M33" s="19">
        <f>IF($A33="","",IF($K33&lt;&gt;"","祝",IF(WEEKDAY($A33,2)=6,"土",IF(WEEKDAY($A33,2)=7,"日","平"))))</f>
        <v/>
      </c>
      <c r="N33" s="19">
        <f>IF(NOT(ISNUMBER($C33)),"",IF($C33&lt;1,$C33,(INT($C33/100)*60+MOD($C33,100))/1440))</f>
        <v/>
      </c>
      <c r="O33" s="19">
        <f>IF(NOT(ISNUMBER($D33)),"",IF($D33&lt;1,$D33,(INT($D33/100)*60+MOD($D33,100))/1440))</f>
        <v/>
      </c>
      <c r="P33" s="19">
        <f>IF(NOT(ISNUMBER($E33)),"",IF($E33&lt;1,$E33,(INT($E33/100)*60+MOD($E33,100))/1440))</f>
        <v/>
      </c>
      <c r="Q33" s="19">
        <f>IF(NOT(ISNUMBER($G33)),"",IF($G33&lt;1,$G33,(INT($G33/100)*60+MOD($G33,100))/1440))</f>
        <v/>
      </c>
      <c r="R33" s="19">
        <f>IF(NOT(ISNUMBER($H33)),"",IF($H33&lt;1,$H33,(INT($H33/100)*60+MOD($H33,100))/1440))</f>
        <v/>
      </c>
      <c r="S33" s="19">
        <f>IF(NOT(ISNUMBER($I33)),"",IF($I33&lt;1,$I33,(INT($I33/100)*60+MOD($I33,100))/1440))</f>
        <v/>
      </c>
      <c r="T33" s="19">
        <f>IF(NOT(ISNUMBER($J33)),"",IF($J33&lt;1,$J33,(INT($J33/100)*60+MOD($J33,100))/1440))</f>
        <v/>
      </c>
    </row>
    <row r="34" ht="19" customHeight="1">
      <c r="A34" s="13">
        <f>IF(A33="","",IF(MONTH(A33+1)=$D$4,A33+1,""))</f>
        <v/>
      </c>
      <c r="B34" s="14">
        <f>IF($A34="","",CHOOSE(WEEKDAY($A34,2),"月","火","水","木","金","土","日"))</f>
        <v/>
      </c>
      <c r="C34" s="15" t="n"/>
      <c r="D34" s="15" t="n"/>
      <c r="E34" s="15" t="n"/>
      <c r="F34" s="16">
        <f>IF(OR($N34="",$O34=""),"",MAX(0,MOD($O34-$N34,1)-IF($P34&lt;&gt;"",$P34,IF(MOD($O34-$N34,1)&gt;設定!$E$8,設定!$E$7,0))))</f>
        <v/>
      </c>
      <c r="G34" s="15" t="n"/>
      <c r="H34" s="15" t="n"/>
      <c r="I34" s="15" t="n"/>
      <c r="J34" s="15" t="n"/>
      <c r="K34" s="17">
        <f>IF($A34="","",IFERROR(VLOOKUP($A34,祝日リスト!$A$2:$C$40,3,0),""))</f>
        <v/>
      </c>
      <c r="L34" s="18" t="n"/>
      <c r="M34" s="19">
        <f>IF($A34="","",IF($K34&lt;&gt;"","祝",IF(WEEKDAY($A34,2)=6,"土",IF(WEEKDAY($A34,2)=7,"日","平"))))</f>
        <v/>
      </c>
      <c r="N34" s="19">
        <f>IF(NOT(ISNUMBER($C34)),"",IF($C34&lt;1,$C34,(INT($C34/100)*60+MOD($C34,100))/1440))</f>
        <v/>
      </c>
      <c r="O34" s="19">
        <f>IF(NOT(ISNUMBER($D34)),"",IF($D34&lt;1,$D34,(INT($D34/100)*60+MOD($D34,100))/1440))</f>
        <v/>
      </c>
      <c r="P34" s="19">
        <f>IF(NOT(ISNUMBER($E34)),"",IF($E34&lt;1,$E34,(INT($E34/100)*60+MOD($E34,100))/1440))</f>
        <v/>
      </c>
      <c r="Q34" s="19">
        <f>IF(NOT(ISNUMBER($G34)),"",IF($G34&lt;1,$G34,(INT($G34/100)*60+MOD($G34,100))/1440))</f>
        <v/>
      </c>
      <c r="R34" s="19">
        <f>IF(NOT(ISNUMBER($H34)),"",IF($H34&lt;1,$H34,(INT($H34/100)*60+MOD($H34,100))/1440))</f>
        <v/>
      </c>
      <c r="S34" s="19">
        <f>IF(NOT(ISNUMBER($I34)),"",IF($I34&lt;1,$I34,(INT($I34/100)*60+MOD($I34,100))/1440))</f>
        <v/>
      </c>
      <c r="T34" s="19">
        <f>IF(NOT(ISNUMBER($J34)),"",IF($J34&lt;1,$J34,(INT($J34/100)*60+MOD($J34,100))/1440))</f>
        <v/>
      </c>
    </row>
    <row r="35" ht="19" customHeight="1">
      <c r="A35" s="13">
        <f>IF(A34="","",IF(MONTH(A34+1)=$D$4,A34+1,""))</f>
        <v/>
      </c>
      <c r="B35" s="14">
        <f>IF($A35="","",CHOOSE(WEEKDAY($A35,2),"月","火","水","木","金","土","日"))</f>
        <v/>
      </c>
      <c r="C35" s="15" t="n"/>
      <c r="D35" s="15" t="n"/>
      <c r="E35" s="15" t="n"/>
      <c r="F35" s="16">
        <f>IF(OR($N35="",$O35=""),"",MAX(0,MOD($O35-$N35,1)-IF($P35&lt;&gt;"",$P35,IF(MOD($O35-$N35,1)&gt;設定!$E$8,設定!$E$7,0))))</f>
        <v/>
      </c>
      <c r="G35" s="15" t="n"/>
      <c r="H35" s="15" t="n"/>
      <c r="I35" s="15" t="n"/>
      <c r="J35" s="15" t="n"/>
      <c r="K35" s="17">
        <f>IF($A35="","",IFERROR(VLOOKUP($A35,祝日リスト!$A$2:$C$40,3,0),""))</f>
        <v/>
      </c>
      <c r="L35" s="18" t="n"/>
      <c r="M35" s="19">
        <f>IF($A35="","",IF($K35&lt;&gt;"","祝",IF(WEEKDAY($A35,2)=6,"土",IF(WEEKDAY($A35,2)=7,"日","平"))))</f>
        <v/>
      </c>
      <c r="N35" s="19">
        <f>IF(NOT(ISNUMBER($C35)),"",IF($C35&lt;1,$C35,(INT($C35/100)*60+MOD($C35,100))/1440))</f>
        <v/>
      </c>
      <c r="O35" s="19">
        <f>IF(NOT(ISNUMBER($D35)),"",IF($D35&lt;1,$D35,(INT($D35/100)*60+MOD($D35,100))/1440))</f>
        <v/>
      </c>
      <c r="P35" s="19">
        <f>IF(NOT(ISNUMBER($E35)),"",IF($E35&lt;1,$E35,(INT($E35/100)*60+MOD($E35,100))/1440))</f>
        <v/>
      </c>
      <c r="Q35" s="19">
        <f>IF(NOT(ISNUMBER($G35)),"",IF($G35&lt;1,$G35,(INT($G35/100)*60+MOD($G35,100))/1440))</f>
        <v/>
      </c>
      <c r="R35" s="19">
        <f>IF(NOT(ISNUMBER($H35)),"",IF($H35&lt;1,$H35,(INT($H35/100)*60+MOD($H35,100))/1440))</f>
        <v/>
      </c>
      <c r="S35" s="19">
        <f>IF(NOT(ISNUMBER($I35)),"",IF($I35&lt;1,$I35,(INT($I35/100)*60+MOD($I35,100))/1440))</f>
        <v/>
      </c>
      <c r="T35" s="19">
        <f>IF(NOT(ISNUMBER($J35)),"",IF($J35&lt;1,$J35,(INT($J35/100)*60+MOD($J35,100))/1440))</f>
        <v/>
      </c>
    </row>
    <row r="36" ht="19" customHeight="1">
      <c r="A36" s="13">
        <f>IF(A35="","",IF(MONTH(A35+1)=$D$4,A35+1,""))</f>
        <v/>
      </c>
      <c r="B36" s="14">
        <f>IF($A36="","",CHOOSE(WEEKDAY($A36,2),"月","火","水","木","金","土","日"))</f>
        <v/>
      </c>
      <c r="C36" s="15" t="n"/>
      <c r="D36" s="15" t="n"/>
      <c r="E36" s="15" t="n"/>
      <c r="F36" s="16">
        <f>IF(OR($N36="",$O36=""),"",MAX(0,MOD($O36-$N36,1)-IF($P36&lt;&gt;"",$P36,IF(MOD($O36-$N36,1)&gt;設定!$E$8,設定!$E$7,0))))</f>
        <v/>
      </c>
      <c r="G36" s="15" t="n"/>
      <c r="H36" s="15" t="n"/>
      <c r="I36" s="15" t="n"/>
      <c r="J36" s="15" t="n"/>
      <c r="K36" s="17">
        <f>IF($A36="","",IFERROR(VLOOKUP($A36,祝日リスト!$A$2:$C$40,3,0),""))</f>
        <v/>
      </c>
      <c r="L36" s="18" t="n"/>
      <c r="M36" s="19">
        <f>IF($A36="","",IF($K36&lt;&gt;"","祝",IF(WEEKDAY($A36,2)=6,"土",IF(WEEKDAY($A36,2)=7,"日","平"))))</f>
        <v/>
      </c>
      <c r="N36" s="19">
        <f>IF(NOT(ISNUMBER($C36)),"",IF($C36&lt;1,$C36,(INT($C36/100)*60+MOD($C36,100))/1440))</f>
        <v/>
      </c>
      <c r="O36" s="19">
        <f>IF(NOT(ISNUMBER($D36)),"",IF($D36&lt;1,$D36,(INT($D36/100)*60+MOD($D36,100))/1440))</f>
        <v/>
      </c>
      <c r="P36" s="19">
        <f>IF(NOT(ISNUMBER($E36)),"",IF($E36&lt;1,$E36,(INT($E36/100)*60+MOD($E36,100))/1440))</f>
        <v/>
      </c>
      <c r="Q36" s="19">
        <f>IF(NOT(ISNUMBER($G36)),"",IF($G36&lt;1,$G36,(INT($G36/100)*60+MOD($G36,100))/1440))</f>
        <v/>
      </c>
      <c r="R36" s="19">
        <f>IF(NOT(ISNUMBER($H36)),"",IF($H36&lt;1,$H36,(INT($H36/100)*60+MOD($H36,100))/1440))</f>
        <v/>
      </c>
      <c r="S36" s="19">
        <f>IF(NOT(ISNUMBER($I36)),"",IF($I36&lt;1,$I36,(INT($I36/100)*60+MOD($I36,100))/1440))</f>
        <v/>
      </c>
      <c r="T36" s="19">
        <f>IF(NOT(ISNUMBER($J36)),"",IF($J36&lt;1,$J36,(INT($J36/100)*60+MOD($J36,100))/1440))</f>
        <v/>
      </c>
    </row>
    <row r="37" ht="19" customHeight="1">
      <c r="A37" s="13">
        <f>IF(A36="","",IF(MONTH(A36+1)=$D$4,A36+1,""))</f>
        <v/>
      </c>
      <c r="B37" s="14">
        <f>IF($A37="","",CHOOSE(WEEKDAY($A37,2),"月","火","水","木","金","土","日"))</f>
        <v/>
      </c>
      <c r="C37" s="15" t="n"/>
      <c r="D37" s="15" t="n"/>
      <c r="E37" s="15" t="n"/>
      <c r="F37" s="16">
        <f>IF(OR($N37="",$O37=""),"",MAX(0,MOD($O37-$N37,1)-IF($P37&lt;&gt;"",$P37,IF(MOD($O37-$N37,1)&gt;設定!$E$8,設定!$E$7,0))))</f>
        <v/>
      </c>
      <c r="G37" s="15" t="n"/>
      <c r="H37" s="15" t="n"/>
      <c r="I37" s="15" t="n"/>
      <c r="J37" s="15" t="n"/>
      <c r="K37" s="17">
        <f>IF($A37="","",IFERROR(VLOOKUP($A37,祝日リスト!$A$2:$C$40,3,0),""))</f>
        <v/>
      </c>
      <c r="L37" s="18" t="n"/>
      <c r="M37" s="19">
        <f>IF($A37="","",IF($K37&lt;&gt;"","祝",IF(WEEKDAY($A37,2)=6,"土",IF(WEEKDAY($A37,2)=7,"日","平"))))</f>
        <v/>
      </c>
      <c r="N37" s="19">
        <f>IF(NOT(ISNUMBER($C37)),"",IF($C37&lt;1,$C37,(INT($C37/100)*60+MOD($C37,100))/1440))</f>
        <v/>
      </c>
      <c r="O37" s="19">
        <f>IF(NOT(ISNUMBER($D37)),"",IF($D37&lt;1,$D37,(INT($D37/100)*60+MOD($D37,100))/1440))</f>
        <v/>
      </c>
      <c r="P37" s="19">
        <f>IF(NOT(ISNUMBER($E37)),"",IF($E37&lt;1,$E37,(INT($E37/100)*60+MOD($E37,100))/1440))</f>
        <v/>
      </c>
      <c r="Q37" s="19">
        <f>IF(NOT(ISNUMBER($G37)),"",IF($G37&lt;1,$G37,(INT($G37/100)*60+MOD($G37,100))/1440))</f>
        <v/>
      </c>
      <c r="R37" s="19">
        <f>IF(NOT(ISNUMBER($H37)),"",IF($H37&lt;1,$H37,(INT($H37/100)*60+MOD($H37,100))/1440))</f>
        <v/>
      </c>
      <c r="S37" s="19">
        <f>IF(NOT(ISNUMBER($I37)),"",IF($I37&lt;1,$I37,(INT($I37/100)*60+MOD($I37,100))/1440))</f>
        <v/>
      </c>
      <c r="T37" s="19">
        <f>IF(NOT(ISNUMBER($J37)),"",IF($J37&lt;1,$J37,(INT($J37/100)*60+MOD($J37,100))/1440))</f>
        <v/>
      </c>
    </row>
    <row r="38" ht="19" customHeight="1">
      <c r="A38" s="20">
        <f>IF(A37="","",IF(MONTH(A37+1)=$D$4,A37+1,""))</f>
        <v/>
      </c>
      <c r="B38" s="21">
        <f>IF($A38="","",CHOOSE(WEEKDAY($A38,2),"月","火","水","木","金","土","日"))</f>
        <v/>
      </c>
      <c r="C38" s="22" t="n"/>
      <c r="D38" s="22" t="n"/>
      <c r="E38" s="22" t="n"/>
      <c r="F38" s="23">
        <f>IF(OR($N38="",$O38=""),"",MAX(0,MOD($O38-$N38,1)-IF($P38&lt;&gt;"",$P38,IF(MOD($O38-$N38,1)&gt;設定!$E$8,設定!$E$7,0))))</f>
        <v/>
      </c>
      <c r="G38" s="22" t="n"/>
      <c r="H38" s="22" t="n"/>
      <c r="I38" s="22" t="n"/>
      <c r="J38" s="22" t="n"/>
      <c r="K38" s="24">
        <f>IF($A38="","",IFERROR(VLOOKUP($A38,祝日リスト!$A$2:$C$40,3,0),""))</f>
        <v/>
      </c>
      <c r="L38" s="25" t="n"/>
      <c r="M38" s="19">
        <f>IF($A38="","",IF($K38&lt;&gt;"","祝",IF(WEEKDAY($A38,2)=6,"土",IF(WEEKDAY($A38,2)=7,"日","平"))))</f>
        <v/>
      </c>
      <c r="N38" s="19">
        <f>IF(NOT(ISNUMBER($C38)),"",IF($C38&lt;1,$C38,(INT($C38/100)*60+MOD($C38,100))/1440))</f>
        <v/>
      </c>
      <c r="O38" s="19">
        <f>IF(NOT(ISNUMBER($D38)),"",IF($D38&lt;1,$D38,(INT($D38/100)*60+MOD($D38,100))/1440))</f>
        <v/>
      </c>
      <c r="P38" s="19">
        <f>IF(NOT(ISNUMBER($E38)),"",IF($E38&lt;1,$E38,(INT($E38/100)*60+MOD($E38,100))/1440))</f>
        <v/>
      </c>
      <c r="Q38" s="19">
        <f>IF(NOT(ISNUMBER($G38)),"",IF($G38&lt;1,$G38,(INT($G38/100)*60+MOD($G38,100))/1440))</f>
        <v/>
      </c>
      <c r="R38" s="19">
        <f>IF(NOT(ISNUMBER($H38)),"",IF($H38&lt;1,$H38,(INT($H38/100)*60+MOD($H38,100))/1440))</f>
        <v/>
      </c>
      <c r="S38" s="19">
        <f>IF(NOT(ISNUMBER($I38)),"",IF($I38&lt;1,$I38,(INT($I38/100)*60+MOD($I38,100))/1440))</f>
        <v/>
      </c>
      <c r="T38" s="19">
        <f>IF(NOT(ISNUMBER($J38)),"",IF($J38&lt;1,$J38,(INT($J38/100)*60+MOD($J38,100))/1440))</f>
        <v/>
      </c>
    </row>
    <row r="40" ht="20" customHeight="1">
      <c r="A40" s="26" t="inlineStr">
        <is>
          <t>月次集計</t>
        </is>
      </c>
    </row>
    <row r="41" ht="18" customHeight="1">
      <c r="A41" s="27" t="inlineStr">
        <is>
          <t>出勤日数</t>
        </is>
      </c>
      <c r="D41" s="28">
        <f>COUNT($N$8:$N$38)</f>
        <v/>
      </c>
      <c r="E41" s="29" t="inlineStr">
        <is>
          <t>日</t>
        </is>
      </c>
      <c r="G41" s="27" t="inlineStr">
        <is>
          <t>通常残業</t>
        </is>
      </c>
      <c r="K41" s="30">
        <f>SUM($Q$8:$Q$38)</f>
        <v/>
      </c>
    </row>
    <row r="42" ht="18" customHeight="1">
      <c r="A42" s="27" t="inlineStr">
        <is>
          <t>実働時間 合計</t>
        </is>
      </c>
      <c r="D42" s="30">
        <f>SUM($F$8:$F$38)</f>
        <v/>
      </c>
      <c r="G42" s="27" t="inlineStr">
        <is>
          <t>深夜残業</t>
        </is>
      </c>
      <c r="K42" s="30">
        <f>SUM($R$8:$R$38)</f>
        <v/>
      </c>
    </row>
    <row r="43" ht="18" customHeight="1">
      <c r="A43" s="31" t="inlineStr">
        <is>
          <t xml:space="preserve">　うち 平日</t>
        </is>
      </c>
      <c r="D43" s="30">
        <f>SUMIF($M$8:$M$38,"平",$F$8:$F$38)</f>
        <v/>
      </c>
      <c r="G43" s="27" t="inlineStr">
        <is>
          <t>早朝残業</t>
        </is>
      </c>
      <c r="K43" s="30">
        <f>SUM($S$8:$S$38)</f>
        <v/>
      </c>
    </row>
    <row r="44" ht="18" customHeight="1">
      <c r="A44" s="31" t="inlineStr">
        <is>
          <t xml:space="preserve">　うち 土曜</t>
        </is>
      </c>
      <c r="D44" s="30">
        <f>SUMIF($M$8:$M$38,"土",$F$8:$F$38)</f>
        <v/>
      </c>
      <c r="G44" s="27" t="inlineStr">
        <is>
          <t>遅刻・早退</t>
        </is>
      </c>
      <c r="K44" s="30">
        <f>SUM($T$8:$T$38)</f>
        <v/>
      </c>
    </row>
    <row r="45" ht="18" customHeight="1">
      <c r="A45" s="31" t="inlineStr">
        <is>
          <t xml:space="preserve">　うち 日曜・祝日</t>
        </is>
      </c>
      <c r="D45" s="30">
        <f>SUMIF($M$8:$M$38,"日",$F$8:$F$38)+SUMIF($M$8:$M$38,"祝",$F$8:$F$38)</f>
        <v/>
      </c>
      <c r="G45" s="27" t="inlineStr">
        <is>
          <t>所定超過(実働-所定×出勤日数)</t>
        </is>
      </c>
      <c r="K45" s="30">
        <f>MAX(0,SUM($F$8:$F$38)-設定!$E$6*COUNT($N$8:$N$38))</f>
        <v/>
      </c>
    </row>
    <row r="47">
      <c r="A47" s="11" t="inlineStr">
        <is>
          <t>※ 残業欄は実働時間の内数です。実働は「退勤－出勤－休憩」で自動計算されます。</t>
        </is>
      </c>
    </row>
    <row r="49" ht="30" customHeight="1">
      <c r="G49" s="9" t="inlineStr">
        <is>
          <t>承認</t>
        </is>
      </c>
      <c r="H49" s="32" t="n"/>
      <c r="J49" s="32" t="n"/>
    </row>
    <row r="50">
      <c r="H50" s="33" t="inlineStr">
        <is>
          <t>本人</t>
        </is>
      </c>
      <c r="J50" s="33" t="inlineStr">
        <is>
          <t>上長</t>
        </is>
      </c>
    </row>
  </sheetData>
  <mergeCells count="15">
    <mergeCell ref="G44:J44"/>
    <mergeCell ref="A42:C42"/>
    <mergeCell ref="A41:C41"/>
    <mergeCell ref="A44:C44"/>
    <mergeCell ref="A45:C45"/>
    <mergeCell ref="G43:J43"/>
    <mergeCell ref="H49:I49"/>
    <mergeCell ref="J49:K49"/>
    <mergeCell ref="A40:L40"/>
    <mergeCell ref="J4:L4"/>
    <mergeCell ref="A2:D2"/>
    <mergeCell ref="G41:J41"/>
    <mergeCell ref="A43:C43"/>
    <mergeCell ref="G45:J45"/>
    <mergeCell ref="G42:J42"/>
  </mergeCells>
  <conditionalFormatting sqref="A8:L38">
    <cfRule type="expression" priority="1" dxfId="0" stopIfTrue="1">
      <formula>$A8=""</formula>
    </cfRule>
    <cfRule type="expression" priority="2" dxfId="1">
      <formula>OR($M8="祝",$M8="日")</formula>
    </cfRule>
    <cfRule type="expression" priority="3" dxfId="2">
      <formula>$M8="土"</formula>
    </cfRule>
  </conditionalFormatting>
  <conditionalFormatting sqref="D8:D38">
    <cfRule type="expression" priority="4" dxfId="3">
      <formula>AND($N8&lt;&gt;"",$O8="")</formula>
    </cfRule>
  </conditionalFormatting>
  <conditionalFormatting sqref="C8:C38">
    <cfRule type="expression" priority="5" dxfId="3">
      <formula>AND($O8&lt;&gt;"",$N8="")</formula>
    </cfRule>
  </conditionalFormatting>
  <dataValidations count="2">
    <dataValidation sqref="L8:L38" showDropDown="0" showInputMessage="1" showErrorMessage="0" allowBlank="1" promptTitle="備考" prompt="選択、または自由入力できます" type="list">
      <formula1>"有給,半休,欠勤,遅刻,早退,休日出勤,振替休日,直行,直帰,出張,特別休暇"</formula1>
    </dataValidation>
    <dataValidation sqref="C8:C38 D8:D38 E8:E38 G8:G38 H8:H38 I8:I38 J8:J38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=OR(AND(C8&gt;=0,C8&lt;1),AND(C8=INT(C8),C8&lt;=2359,MOD(C8,100)&lt;60))</formula1>
    </dataValidation>
  </dataValidations>
  <pageMargins left="0.3" right="0.3" top="0.4" bottom="0.4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FFC00000"/>
    <outlinePr summaryBelow="1" summaryRight="1"/>
    <pageSetUpPr fitToPage="1"/>
  </sheetPr>
  <dimension ref="A1:J1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4" customHeight="1">
      <c r="A1" s="34">
        <f>設定!$B$4&amp;"　"&amp;設定!$B$3&amp;"年 年間集計"</f>
        <v/>
      </c>
    </row>
    <row r="3" ht="22" customHeight="1">
      <c r="A3" s="35" t="inlineStr">
        <is>
          <t>月</t>
        </is>
      </c>
      <c r="B3" s="35" t="inlineStr">
        <is>
          <t>出勤日数</t>
        </is>
      </c>
      <c r="C3" s="35" t="inlineStr">
        <is>
          <t>実働時間</t>
        </is>
      </c>
      <c r="D3" s="35" t="inlineStr">
        <is>
          <t>平日</t>
        </is>
      </c>
      <c r="E3" s="35" t="inlineStr">
        <is>
          <t>土曜</t>
        </is>
      </c>
      <c r="F3" s="35" t="inlineStr">
        <is>
          <t>日祝</t>
        </is>
      </c>
      <c r="G3" s="35" t="inlineStr">
        <is>
          <t>通常残業</t>
        </is>
      </c>
      <c r="H3" s="35" t="inlineStr">
        <is>
          <t>深夜残業</t>
        </is>
      </c>
      <c r="I3" s="35" t="inlineStr">
        <is>
          <t>早朝残業</t>
        </is>
      </c>
      <c r="J3" s="35" t="inlineStr">
        <is>
          <t>遅刻・早退</t>
        </is>
      </c>
    </row>
    <row r="4" ht="18" customHeight="1">
      <c r="A4" s="36" t="inlineStr">
        <is>
          <t>1月</t>
        </is>
      </c>
      <c r="B4" s="37">
        <f>'1月'!D41</f>
        <v/>
      </c>
      <c r="C4" s="38">
        <f>'1月'!D42</f>
        <v/>
      </c>
      <c r="D4" s="38">
        <f>'1月'!D43</f>
        <v/>
      </c>
      <c r="E4" s="38">
        <f>'1月'!D44</f>
        <v/>
      </c>
      <c r="F4" s="38">
        <f>'1月'!D45</f>
        <v/>
      </c>
      <c r="G4" s="38">
        <f>'1月'!K41</f>
        <v/>
      </c>
      <c r="H4" s="38">
        <f>'1月'!K42</f>
        <v/>
      </c>
      <c r="I4" s="38">
        <f>'1月'!K43</f>
        <v/>
      </c>
      <c r="J4" s="38">
        <f>'1月'!K44</f>
        <v/>
      </c>
    </row>
    <row r="5" ht="18" customHeight="1">
      <c r="A5" s="36" t="inlineStr">
        <is>
          <t>2月</t>
        </is>
      </c>
      <c r="B5" s="37">
        <f>'2月'!D41</f>
        <v/>
      </c>
      <c r="C5" s="38">
        <f>'2月'!D42</f>
        <v/>
      </c>
      <c r="D5" s="38">
        <f>'2月'!D43</f>
        <v/>
      </c>
      <c r="E5" s="38">
        <f>'2月'!D44</f>
        <v/>
      </c>
      <c r="F5" s="38">
        <f>'2月'!D45</f>
        <v/>
      </c>
      <c r="G5" s="38">
        <f>'2月'!K41</f>
        <v/>
      </c>
      <c r="H5" s="38">
        <f>'2月'!K42</f>
        <v/>
      </c>
      <c r="I5" s="38">
        <f>'2月'!K43</f>
        <v/>
      </c>
      <c r="J5" s="38">
        <f>'2月'!K44</f>
        <v/>
      </c>
    </row>
    <row r="6" ht="18" customHeight="1">
      <c r="A6" s="36" t="inlineStr">
        <is>
          <t>3月</t>
        </is>
      </c>
      <c r="B6" s="37">
        <f>'3月'!D41</f>
        <v/>
      </c>
      <c r="C6" s="38">
        <f>'3月'!D42</f>
        <v/>
      </c>
      <c r="D6" s="38">
        <f>'3月'!D43</f>
        <v/>
      </c>
      <c r="E6" s="38">
        <f>'3月'!D44</f>
        <v/>
      </c>
      <c r="F6" s="38">
        <f>'3月'!D45</f>
        <v/>
      </c>
      <c r="G6" s="38">
        <f>'3月'!K41</f>
        <v/>
      </c>
      <c r="H6" s="38">
        <f>'3月'!K42</f>
        <v/>
      </c>
      <c r="I6" s="38">
        <f>'3月'!K43</f>
        <v/>
      </c>
      <c r="J6" s="38">
        <f>'3月'!K44</f>
        <v/>
      </c>
    </row>
    <row r="7" ht="18" customHeight="1">
      <c r="A7" s="36" t="inlineStr">
        <is>
          <t>4月</t>
        </is>
      </c>
      <c r="B7" s="37">
        <f>'4月'!D41</f>
        <v/>
      </c>
      <c r="C7" s="38">
        <f>'4月'!D42</f>
        <v/>
      </c>
      <c r="D7" s="38">
        <f>'4月'!D43</f>
        <v/>
      </c>
      <c r="E7" s="38">
        <f>'4月'!D44</f>
        <v/>
      </c>
      <c r="F7" s="38">
        <f>'4月'!D45</f>
        <v/>
      </c>
      <c r="G7" s="38">
        <f>'4月'!K41</f>
        <v/>
      </c>
      <c r="H7" s="38">
        <f>'4月'!K42</f>
        <v/>
      </c>
      <c r="I7" s="38">
        <f>'4月'!K43</f>
        <v/>
      </c>
      <c r="J7" s="38">
        <f>'4月'!K44</f>
        <v/>
      </c>
    </row>
    <row r="8" ht="18" customHeight="1">
      <c r="A8" s="36" t="inlineStr">
        <is>
          <t>5月</t>
        </is>
      </c>
      <c r="B8" s="37">
        <f>'5月'!D41</f>
        <v/>
      </c>
      <c r="C8" s="38">
        <f>'5月'!D42</f>
        <v/>
      </c>
      <c r="D8" s="38">
        <f>'5月'!D43</f>
        <v/>
      </c>
      <c r="E8" s="38">
        <f>'5月'!D44</f>
        <v/>
      </c>
      <c r="F8" s="38">
        <f>'5月'!D45</f>
        <v/>
      </c>
      <c r="G8" s="38">
        <f>'5月'!K41</f>
        <v/>
      </c>
      <c r="H8" s="38">
        <f>'5月'!K42</f>
        <v/>
      </c>
      <c r="I8" s="38">
        <f>'5月'!K43</f>
        <v/>
      </c>
      <c r="J8" s="38">
        <f>'5月'!K44</f>
        <v/>
      </c>
    </row>
    <row r="9" ht="18" customHeight="1">
      <c r="A9" s="36" t="inlineStr">
        <is>
          <t>6月</t>
        </is>
      </c>
      <c r="B9" s="37">
        <f>'6月'!D41</f>
        <v/>
      </c>
      <c r="C9" s="38">
        <f>'6月'!D42</f>
        <v/>
      </c>
      <c r="D9" s="38">
        <f>'6月'!D43</f>
        <v/>
      </c>
      <c r="E9" s="38">
        <f>'6月'!D44</f>
        <v/>
      </c>
      <c r="F9" s="38">
        <f>'6月'!D45</f>
        <v/>
      </c>
      <c r="G9" s="38">
        <f>'6月'!K41</f>
        <v/>
      </c>
      <c r="H9" s="38">
        <f>'6月'!K42</f>
        <v/>
      </c>
      <c r="I9" s="38">
        <f>'6月'!K43</f>
        <v/>
      </c>
      <c r="J9" s="38">
        <f>'6月'!K44</f>
        <v/>
      </c>
    </row>
    <row r="10" ht="18" customHeight="1">
      <c r="A10" s="36" t="inlineStr">
        <is>
          <t>7月</t>
        </is>
      </c>
      <c r="B10" s="37">
        <f>'7月'!D41</f>
        <v/>
      </c>
      <c r="C10" s="38">
        <f>'7月'!D42</f>
        <v/>
      </c>
      <c r="D10" s="38">
        <f>'7月'!D43</f>
        <v/>
      </c>
      <c r="E10" s="38">
        <f>'7月'!D44</f>
        <v/>
      </c>
      <c r="F10" s="38">
        <f>'7月'!D45</f>
        <v/>
      </c>
      <c r="G10" s="38">
        <f>'7月'!K41</f>
        <v/>
      </c>
      <c r="H10" s="38">
        <f>'7月'!K42</f>
        <v/>
      </c>
      <c r="I10" s="38">
        <f>'7月'!K43</f>
        <v/>
      </c>
      <c r="J10" s="38">
        <f>'7月'!K44</f>
        <v/>
      </c>
    </row>
    <row r="11" ht="18" customHeight="1">
      <c r="A11" s="36" t="inlineStr">
        <is>
          <t>8月</t>
        </is>
      </c>
      <c r="B11" s="37">
        <f>'8月'!D41</f>
        <v/>
      </c>
      <c r="C11" s="38">
        <f>'8月'!D42</f>
        <v/>
      </c>
      <c r="D11" s="38">
        <f>'8月'!D43</f>
        <v/>
      </c>
      <c r="E11" s="38">
        <f>'8月'!D44</f>
        <v/>
      </c>
      <c r="F11" s="38">
        <f>'8月'!D45</f>
        <v/>
      </c>
      <c r="G11" s="38">
        <f>'8月'!K41</f>
        <v/>
      </c>
      <c r="H11" s="38">
        <f>'8月'!K42</f>
        <v/>
      </c>
      <c r="I11" s="38">
        <f>'8月'!K43</f>
        <v/>
      </c>
      <c r="J11" s="38">
        <f>'8月'!K44</f>
        <v/>
      </c>
    </row>
    <row r="12" ht="18" customHeight="1">
      <c r="A12" s="36" t="inlineStr">
        <is>
          <t>9月</t>
        </is>
      </c>
      <c r="B12" s="37">
        <f>'9月'!D41</f>
        <v/>
      </c>
      <c r="C12" s="38">
        <f>'9月'!D42</f>
        <v/>
      </c>
      <c r="D12" s="38">
        <f>'9月'!D43</f>
        <v/>
      </c>
      <c r="E12" s="38">
        <f>'9月'!D44</f>
        <v/>
      </c>
      <c r="F12" s="38">
        <f>'9月'!D45</f>
        <v/>
      </c>
      <c r="G12" s="38">
        <f>'9月'!K41</f>
        <v/>
      </c>
      <c r="H12" s="38">
        <f>'9月'!K42</f>
        <v/>
      </c>
      <c r="I12" s="38">
        <f>'9月'!K43</f>
        <v/>
      </c>
      <c r="J12" s="38">
        <f>'9月'!K44</f>
        <v/>
      </c>
    </row>
    <row r="13" ht="18" customHeight="1">
      <c r="A13" s="36" t="inlineStr">
        <is>
          <t>10月</t>
        </is>
      </c>
      <c r="B13" s="37">
        <f>'10月'!D41</f>
        <v/>
      </c>
      <c r="C13" s="38">
        <f>'10月'!D42</f>
        <v/>
      </c>
      <c r="D13" s="38">
        <f>'10月'!D43</f>
        <v/>
      </c>
      <c r="E13" s="38">
        <f>'10月'!D44</f>
        <v/>
      </c>
      <c r="F13" s="38">
        <f>'10月'!D45</f>
        <v/>
      </c>
      <c r="G13" s="38">
        <f>'10月'!K41</f>
        <v/>
      </c>
      <c r="H13" s="38">
        <f>'10月'!K42</f>
        <v/>
      </c>
      <c r="I13" s="38">
        <f>'10月'!K43</f>
        <v/>
      </c>
      <c r="J13" s="38">
        <f>'10月'!K44</f>
        <v/>
      </c>
    </row>
    <row r="14" ht="18" customHeight="1">
      <c r="A14" s="36" t="inlineStr">
        <is>
          <t>11月</t>
        </is>
      </c>
      <c r="B14" s="37">
        <f>'11月'!D41</f>
        <v/>
      </c>
      <c r="C14" s="38">
        <f>'11月'!D42</f>
        <v/>
      </c>
      <c r="D14" s="38">
        <f>'11月'!D43</f>
        <v/>
      </c>
      <c r="E14" s="38">
        <f>'11月'!D44</f>
        <v/>
      </c>
      <c r="F14" s="38">
        <f>'11月'!D45</f>
        <v/>
      </c>
      <c r="G14" s="38">
        <f>'11月'!K41</f>
        <v/>
      </c>
      <c r="H14" s="38">
        <f>'11月'!K42</f>
        <v/>
      </c>
      <c r="I14" s="38">
        <f>'11月'!K43</f>
        <v/>
      </c>
      <c r="J14" s="38">
        <f>'11月'!K44</f>
        <v/>
      </c>
    </row>
    <row r="15" ht="18" customHeight="1">
      <c r="A15" s="36" t="inlineStr">
        <is>
          <t>12月</t>
        </is>
      </c>
      <c r="B15" s="37">
        <f>'12月'!D41</f>
        <v/>
      </c>
      <c r="C15" s="38">
        <f>'12月'!D42</f>
        <v/>
      </c>
      <c r="D15" s="38">
        <f>'12月'!D43</f>
        <v/>
      </c>
      <c r="E15" s="38">
        <f>'12月'!D44</f>
        <v/>
      </c>
      <c r="F15" s="38">
        <f>'12月'!D45</f>
        <v/>
      </c>
      <c r="G15" s="38">
        <f>'12月'!K41</f>
        <v/>
      </c>
      <c r="H15" s="38">
        <f>'12月'!K42</f>
        <v/>
      </c>
      <c r="I15" s="38">
        <f>'12月'!K43</f>
        <v/>
      </c>
      <c r="J15" s="38">
        <f>'12月'!K44</f>
        <v/>
      </c>
    </row>
    <row r="16" ht="22" customHeight="1">
      <c r="A16" s="39" t="inlineStr">
        <is>
          <t>合計</t>
        </is>
      </c>
      <c r="B16" s="40">
        <f>SUM(B4:B15)</f>
        <v/>
      </c>
      <c r="C16" s="41">
        <f>SUM(C4:C15)</f>
        <v/>
      </c>
      <c r="D16" s="41">
        <f>SUM(D4:D15)</f>
        <v/>
      </c>
      <c r="E16" s="41">
        <f>SUM(E4:E15)</f>
        <v/>
      </c>
      <c r="F16" s="41">
        <f>SUM(F4:F15)</f>
        <v/>
      </c>
      <c r="G16" s="41">
        <f>SUM(G4:G15)</f>
        <v/>
      </c>
      <c r="H16" s="41">
        <f>SUM(H4:H15)</f>
        <v/>
      </c>
      <c r="I16" s="41">
        <f>SUM(I4:I15)</f>
        <v/>
      </c>
      <c r="J16" s="41">
        <f>SUM(J4:J15)</f>
        <v/>
      </c>
    </row>
    <row r="18">
      <c r="A18" s="11" t="inlineStr">
        <is>
          <t>※ 各月シートの集計を自動で集めています。この表は直接編集しないでください。</t>
        </is>
      </c>
    </row>
  </sheetData>
  <pageMargins left="0.75" right="0.75" top="1" bottom="1" header="0.5" footer="0.5"/>
  <pageSetup orientation="landscape" fitToHeight="1" fitToWidth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20" customWidth="1" min="3" max="3"/>
    <col width="32" customWidth="1" min="4" max="4"/>
  </cols>
  <sheetData>
    <row r="1">
      <c r="A1" s="39" t="inlineStr">
        <is>
          <t>日付</t>
        </is>
      </c>
      <c r="B1" s="39" t="inlineStr">
        <is>
          <t>曜日</t>
        </is>
      </c>
      <c r="C1" s="39" t="inlineStr">
        <is>
          <t>名称</t>
        </is>
      </c>
      <c r="D1" s="39" t="inlineStr">
        <is>
          <t>備考</t>
        </is>
      </c>
    </row>
    <row r="2">
      <c r="A2" s="42" t="n">
        <v>46023</v>
      </c>
      <c r="B2" s="43">
        <f>IF(A2="","",CHOOSE(WEEKDAY(A2,2),"月","火","水","木","金","土","日"))</f>
        <v/>
      </c>
      <c r="C2" s="44" t="inlineStr">
        <is>
          <t>元日</t>
        </is>
      </c>
      <c r="D2" s="44" t="inlineStr"/>
    </row>
    <row r="3">
      <c r="A3" s="42" t="n">
        <v>46034</v>
      </c>
      <c r="B3" s="43">
        <f>IF(A3="","",CHOOSE(WEEKDAY(A3,2),"月","火","水","木","金","土","日"))</f>
        <v/>
      </c>
      <c r="C3" s="44" t="inlineStr">
        <is>
          <t>成人の日</t>
        </is>
      </c>
      <c r="D3" s="44" t="inlineStr"/>
    </row>
    <row r="4">
      <c r="A4" s="42" t="n">
        <v>46064</v>
      </c>
      <c r="B4" s="43">
        <f>IF(A4="","",CHOOSE(WEEKDAY(A4,2),"月","火","水","木","金","土","日"))</f>
        <v/>
      </c>
      <c r="C4" s="44" t="inlineStr">
        <is>
          <t>建国記念の日</t>
        </is>
      </c>
      <c r="D4" s="44" t="inlineStr"/>
    </row>
    <row r="5">
      <c r="A5" s="42" t="n">
        <v>46076</v>
      </c>
      <c r="B5" s="43">
        <f>IF(A5="","",CHOOSE(WEEKDAY(A5,2),"月","火","水","木","金","土","日"))</f>
        <v/>
      </c>
      <c r="C5" s="44" t="inlineStr">
        <is>
          <t>天皇誕生日</t>
        </is>
      </c>
      <c r="D5" s="44" t="inlineStr"/>
    </row>
    <row r="6">
      <c r="A6" s="42" t="n">
        <v>46101</v>
      </c>
      <c r="B6" s="43">
        <f>IF(A6="","",CHOOSE(WEEKDAY(A6,2),"月","火","水","木","金","土","日"))</f>
        <v/>
      </c>
      <c r="C6" s="44" t="inlineStr">
        <is>
          <t>春分の日</t>
        </is>
      </c>
      <c r="D6" s="44" t="inlineStr"/>
    </row>
    <row r="7">
      <c r="A7" s="42" t="n">
        <v>46141</v>
      </c>
      <c r="B7" s="43">
        <f>IF(A7="","",CHOOSE(WEEKDAY(A7,2),"月","火","水","木","金","土","日"))</f>
        <v/>
      </c>
      <c r="C7" s="44" t="inlineStr">
        <is>
          <t>昭和の日</t>
        </is>
      </c>
      <c r="D7" s="44" t="inlineStr"/>
    </row>
    <row r="8">
      <c r="A8" s="42" t="n">
        <v>46145</v>
      </c>
      <c r="B8" s="43">
        <f>IF(A8="","",CHOOSE(WEEKDAY(A8,2),"月","火","水","木","金","土","日"))</f>
        <v/>
      </c>
      <c r="C8" s="44" t="inlineStr">
        <is>
          <t>憲法記念日</t>
        </is>
      </c>
      <c r="D8" s="44" t="inlineStr"/>
    </row>
    <row r="9">
      <c r="A9" s="42" t="n">
        <v>46146</v>
      </c>
      <c r="B9" s="43">
        <f>IF(A9="","",CHOOSE(WEEKDAY(A9,2),"月","火","水","木","金","土","日"))</f>
        <v/>
      </c>
      <c r="C9" s="44" t="inlineStr">
        <is>
          <t>みどりの日</t>
        </is>
      </c>
      <c r="D9" s="44" t="inlineStr"/>
    </row>
    <row r="10">
      <c r="A10" s="42" t="n">
        <v>46147</v>
      </c>
      <c r="B10" s="43">
        <f>IF(A10="","",CHOOSE(WEEKDAY(A10,2),"月","火","水","木","金","土","日"))</f>
        <v/>
      </c>
      <c r="C10" s="44" t="inlineStr">
        <is>
          <t>こどもの日</t>
        </is>
      </c>
      <c r="D10" s="44" t="inlineStr"/>
    </row>
    <row r="11">
      <c r="A11" s="42" t="n">
        <v>46148</v>
      </c>
      <c r="B11" s="43">
        <f>IF(A11="","",CHOOSE(WEEKDAY(A11,2),"月","火","水","木","金","土","日"))</f>
        <v/>
      </c>
      <c r="C11" s="44" t="inlineStr">
        <is>
          <t>休日</t>
        </is>
      </c>
      <c r="D11" s="44" t="inlineStr">
        <is>
          <t>祝日法第3条第2項による休日</t>
        </is>
      </c>
    </row>
    <row r="12">
      <c r="A12" s="42" t="n">
        <v>46223</v>
      </c>
      <c r="B12" s="43">
        <f>IF(A12="","",CHOOSE(WEEKDAY(A12,2),"月","火","水","木","金","土","日"))</f>
        <v/>
      </c>
      <c r="C12" s="44" t="inlineStr">
        <is>
          <t>海の日</t>
        </is>
      </c>
      <c r="D12" s="44" t="inlineStr"/>
    </row>
    <row r="13">
      <c r="A13" s="42" t="n">
        <v>46245</v>
      </c>
      <c r="B13" s="43">
        <f>IF(A13="","",CHOOSE(WEEKDAY(A13,2),"月","火","水","木","金","土","日"))</f>
        <v/>
      </c>
      <c r="C13" s="44" t="inlineStr">
        <is>
          <t>山の日</t>
        </is>
      </c>
      <c r="D13" s="44" t="inlineStr"/>
    </row>
    <row r="14">
      <c r="A14" s="42" t="n">
        <v>46286</v>
      </c>
      <c r="B14" s="43">
        <f>IF(A14="","",CHOOSE(WEEKDAY(A14,2),"月","火","水","木","金","土","日"))</f>
        <v/>
      </c>
      <c r="C14" s="44" t="inlineStr">
        <is>
          <t>敬老の日</t>
        </is>
      </c>
      <c r="D14" s="44" t="inlineStr"/>
    </row>
    <row r="15">
      <c r="A15" s="42" t="n">
        <v>46287</v>
      </c>
      <c r="B15" s="43">
        <f>IF(A15="","",CHOOSE(WEEKDAY(A15,2),"月","火","水","木","金","土","日"))</f>
        <v/>
      </c>
      <c r="C15" s="44" t="inlineStr">
        <is>
          <t>国民の休日</t>
        </is>
      </c>
      <c r="D15" s="44" t="inlineStr">
        <is>
          <t>祝日法第3条第3項による休日</t>
        </is>
      </c>
    </row>
    <row r="16">
      <c r="A16" s="42" t="n">
        <v>46288</v>
      </c>
      <c r="B16" s="43">
        <f>IF(A16="","",CHOOSE(WEEKDAY(A16,2),"月","火","水","木","金","土","日"))</f>
        <v/>
      </c>
      <c r="C16" s="44" t="inlineStr">
        <is>
          <t>秋分の日</t>
        </is>
      </c>
      <c r="D16" s="44" t="inlineStr"/>
    </row>
    <row r="17">
      <c r="A17" s="42" t="n">
        <v>46307</v>
      </c>
      <c r="B17" s="43">
        <f>IF(A17="","",CHOOSE(WEEKDAY(A17,2),"月","火","水","木","金","土","日"))</f>
        <v/>
      </c>
      <c r="C17" s="44" t="inlineStr">
        <is>
          <t>スポーツの日</t>
        </is>
      </c>
      <c r="D17" s="44" t="inlineStr"/>
    </row>
    <row r="18">
      <c r="A18" s="42" t="n">
        <v>46329</v>
      </c>
      <c r="B18" s="43">
        <f>IF(A18="","",CHOOSE(WEEKDAY(A18,2),"月","火","水","木","金","土","日"))</f>
        <v/>
      </c>
      <c r="C18" s="44" t="inlineStr">
        <is>
          <t>文化の日</t>
        </is>
      </c>
      <c r="D18" s="44" t="inlineStr"/>
    </row>
    <row r="19">
      <c r="A19" s="42" t="n">
        <v>46349</v>
      </c>
      <c r="B19" s="43">
        <f>IF(A19="","",CHOOSE(WEEKDAY(A19,2),"月","火","水","木","金","土","日"))</f>
        <v/>
      </c>
      <c r="C19" s="44" t="inlineStr">
        <is>
          <t>勤労感謝の日</t>
        </is>
      </c>
      <c r="D19" s="44" t="inlineStr"/>
    </row>
    <row r="21">
      <c r="A21" s="4" t="inlineStr">
        <is>
          <t>※ 会社独自の休日もここに追加できます（40行目まで自動で参照されます）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2026-08-04T02:54:14Z</dcterms:created>
  <dcterms:modified xsi:type="dcterms:W3CDTF">2026-08-04T02:54:15Z</dcterms:modified>
</cp:coreProperties>
</file>